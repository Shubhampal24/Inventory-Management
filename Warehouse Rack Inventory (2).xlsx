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k Master" sheetId="2" r:id="rId5"/>
    <sheet state="visible" name="Material Master" sheetId="3" r:id="rId6"/>
    <sheet state="visible" name="Location Master" sheetId="4" r:id="rId7"/>
    <sheet state="visible" name="Stock Movement" sheetId="5" r:id="rId8"/>
    <sheet state="visible" name="Inventory" sheetId="6" r:id="rId9"/>
    <sheet state="visible" name="Rack Labels" sheetId="7" r:id="rId10"/>
    <sheet state="visible" name="Safety &amp; Rules" sheetId="8" r:id="rId11"/>
    <sheet state="visible" name="Source Mapping" sheetId="9" r:id="rId12"/>
    <sheet state="visible" name="Data Dictionary" sheetId="10" r:id="rId13"/>
    <sheet state="visible" name="Conversion Reference" sheetId="11" r:id="rId14"/>
  </sheets>
  <definedNames>
    <definedName hidden="1" localSheetId="1" name="_xlnm._FilterDatabase">'Material Master'!$A$1:$E$201</definedName>
    <definedName hidden="1" localSheetId="2" name="_xlnm._FilterDatabase">'Location Master'!$A$1:$E$202</definedName>
    <definedName hidden="1" localSheetId="3" name="_xlnm._FilterDatabase">'Stock Movement'!$A$1:$J$501</definedName>
    <definedName hidden="1" localSheetId="4" name="_xlnm._FilterDatabase">Inventory!$A$1:$K$201</definedName>
    <definedName hidden="1" localSheetId="5" name="_xlnm._FilterDatabase">'Rack Labels'!$A$1:$H$201</definedName>
    <definedName hidden="1" localSheetId="2" name="Z_DDEAF7E6_5997_4114_AC3F_7A96208C341F_.wvu.FilterData">'Location Master'!$A$1:$M$539</definedName>
    <definedName hidden="1" localSheetId="0" name="Z_2A365ABE_E4EA_4F3F_B0CF_8812846118FB_.wvu.FilterData">'Rack Master'!$A$1:$H$12</definedName>
    <definedName hidden="1" localSheetId="9" name="Z_55F3CDE4_0676_4558_8F17_D2E9DD5D5FF3_.wvu.FilterData">'Conversion Reference'!$A$1:$D$28</definedName>
    <definedName hidden="1" localSheetId="1" name="Z_F5D08C02_0A33_480E_ACE3_D945CB5410A1_.wvu.FilterData">'Material Master'!$A$1:$E$8</definedName>
    <definedName hidden="1" localSheetId="4" name="Z_B875A31D_6EC8_48A7_82C7_C3FE116B8686_.wvu.FilterData">Inventory!$A$1:$K$501</definedName>
    <definedName hidden="1" localSheetId="3" name="Z_ABB9B375_694D_4E7B_886B_28CD47BE9259_.wvu.FilterData">'Stock Movement'!$A$1:$J$501</definedName>
    <definedName hidden="1" localSheetId="5" name="Z_50D98741_8183_4CDE_A936_7E958D8A1B6D_.wvu.FilterData">'Rack Labels'!$A$1:$H$501</definedName>
  </definedNames>
  <calcPr/>
  <customWorkbookViews>
    <customWorkbookView activeSheetId="0" maximized="1" windowHeight="0" windowWidth="0" guid="{DDEAF7E6-5997-4114-AC3F-7A96208C341F}" name="LocationMasterTable filter view"/>
    <customWorkbookView activeSheetId="0" maximized="1" windowHeight="0" windowWidth="0" guid="{2A365ABE-E4EA-4F3F-B0CF-8812846118FB}" name="RackMasterTable filter view"/>
    <customWorkbookView activeSheetId="0" maximized="1" windowHeight="0" windowWidth="0" guid="{55F3CDE4-0676-4558-8F17-D2E9DD5D5FF3}" name="AIConversionReferenceTable filter view"/>
    <customWorkbookView activeSheetId="0" maximized="1" windowHeight="0" windowWidth="0" guid="{F5D08C02-0A33-480E-ACE3-D945CB5410A1}" name="MaterialMasterTable filter view"/>
    <customWorkbookView activeSheetId="0" maximized="1" windowHeight="0" windowWidth="0" guid="{B875A31D-6EC8-48A7-82C7-C3FE116B8686}" name="InventoryTable filter view"/>
    <customWorkbookView activeSheetId="0" maximized="1" windowHeight="0" windowWidth="0" guid="{ABB9B375-694D-4E7B-886B-28CD47BE9259}" name="StockMovementTable filter view"/>
    <customWorkbookView activeSheetId="0" maximized="1" windowHeight="0" windowWidth="0" guid="{50D98741-8183-4CDE-A936-7E958D8A1B6D}" name="RackLabelsTable filter view"/>
  </customWorkbookViews>
</workbook>
</file>

<file path=xl/sharedStrings.xml><?xml version="1.0" encoding="utf-8"?>
<sst xmlns="http://schemas.openxmlformats.org/spreadsheetml/2006/main" count="1021" uniqueCount="492">
  <si>
    <t>Rack</t>
  </si>
  <si>
    <t>Material ID</t>
  </si>
  <si>
    <t>Date</t>
  </si>
  <si>
    <t>Rack ID</t>
  </si>
  <si>
    <t>Material Description</t>
  </si>
  <si>
    <t>Bay</t>
  </si>
  <si>
    <t>Level</t>
  </si>
  <si>
    <t>Slot</t>
  </si>
  <si>
    <t>Location ID</t>
  </si>
  <si>
    <t>Category</t>
  </si>
  <si>
    <t>Status</t>
  </si>
  <si>
    <t>Unit</t>
  </si>
  <si>
    <t>Reorder Level</t>
  </si>
  <si>
    <t>Quantity</t>
  </si>
  <si>
    <t>Batch/Lot</t>
  </si>
  <si>
    <t>Material ID (Name)</t>
  </si>
  <si>
    <t>Notes</t>
  </si>
  <si>
    <t>MAT001</t>
  </si>
  <si>
    <t>BUBBLE WRAP</t>
  </si>
  <si>
    <t>R01</t>
  </si>
  <si>
    <t>PLUMBER</t>
  </si>
  <si>
    <t>PCS</t>
  </si>
  <si>
    <t>GL1</t>
  </si>
  <si>
    <t>A1</t>
  </si>
  <si>
    <t>MAT002</t>
  </si>
  <si>
    <t>CANDLE_LUGNARE_SCNTD</t>
  </si>
  <si>
    <t>DECOR</t>
  </si>
  <si>
    <t>MAT003</t>
  </si>
  <si>
    <t>EXTRA MCB</t>
  </si>
  <si>
    <t>ELECTRIC</t>
  </si>
  <si>
    <t>MAT004</t>
  </si>
  <si>
    <t>FOSSIAL</t>
  </si>
  <si>
    <t>CIVIL</t>
  </si>
  <si>
    <t>BAG</t>
  </si>
  <si>
    <t>MAT005</t>
  </si>
  <si>
    <t>GRANITE_ AVALANCHE</t>
  </si>
  <si>
    <t>SQF</t>
  </si>
  <si>
    <t>MAT006</t>
  </si>
  <si>
    <t>PLATE BLACK_12MODULE_ VIHAAN</t>
  </si>
  <si>
    <t>CARPENTER</t>
  </si>
  <si>
    <t>MAT001 (BUBBLE WRAP)</t>
  </si>
  <si>
    <t>MAT007</t>
  </si>
  <si>
    <t>POLYCAB_1.5SQ MM 90_METER</t>
  </si>
  <si>
    <t>MAT008</t>
  </si>
  <si>
    <t>SCREW_DRYWALL-BLACK 19X6</t>
  </si>
  <si>
    <t>MAT009</t>
  </si>
  <si>
    <t>SCREW_DRYWALL-BLACK-75X6</t>
  </si>
  <si>
    <t>MAT010</t>
  </si>
  <si>
    <t>SCREW_SELF THREAD_25X6</t>
  </si>
  <si>
    <t>MAT011</t>
  </si>
  <si>
    <t>Silicon_BOND</t>
  </si>
  <si>
    <t>MAT012</t>
  </si>
  <si>
    <t>SLUE PIPE_20MM</t>
  </si>
  <si>
    <t>AC</t>
  </si>
  <si>
    <t>MAT013</t>
  </si>
  <si>
    <t>1.5 SQ MM 90 METER POLYCAB</t>
  </si>
  <si>
    <t>MAT014</t>
  </si>
  <si>
    <t>10 A BELL PUSH_ WITH IND 2M_ENGLAZE</t>
  </si>
  <si>
    <t>MAT015</t>
  </si>
  <si>
    <t>16X13 BALCK WHITE</t>
  </si>
  <si>
    <t>FURNISHING</t>
  </si>
  <si>
    <t>MAT016</t>
  </si>
  <si>
    <t>2*10 WIRE NAIL</t>
  </si>
  <si>
    <t>LOT-2026-BW01</t>
  </si>
  <si>
    <t>Padded packaging roll; dry storage</t>
  </si>
  <si>
    <t>MAT017</t>
  </si>
  <si>
    <t>20 MITR PULLING</t>
  </si>
  <si>
    <t>MAT018</t>
  </si>
  <si>
    <t>20/25 O'LITE TRUNKING PROFILE</t>
  </si>
  <si>
    <t>MAT019</t>
  </si>
  <si>
    <t>20710IN-NA</t>
  </si>
  <si>
    <t>MAT020</t>
  </si>
  <si>
    <t>NOS</t>
  </si>
  <si>
    <t>MAT021</t>
  </si>
  <si>
    <t>AC_ 1.5 TON 5_SPLIT</t>
  </si>
  <si>
    <t>A2</t>
  </si>
  <si>
    <t>MAT022</t>
  </si>
  <si>
    <t>AC_1.0TON 5_SPLIT</t>
  </si>
  <si>
    <t>MAT023</t>
  </si>
  <si>
    <t>AC_1.5 TON_SAMSUNG</t>
  </si>
  <si>
    <t>MAT043 (ALL BERRY STEM BLUE GG10)</t>
  </si>
  <si>
    <t>MAT024</t>
  </si>
  <si>
    <t>AC_1.8TR 5_DAIKIN INVERTER</t>
  </si>
  <si>
    <t>MAT025</t>
  </si>
  <si>
    <t>AC_2-TON-5_SPLIT</t>
  </si>
  <si>
    <t>MAT026</t>
  </si>
  <si>
    <t>AC_2TON_SAMSUNG</t>
  </si>
  <si>
    <t>MAT027</t>
  </si>
  <si>
    <t>AC_2TR5_DAIKIN INVERTER_SPLIT</t>
  </si>
  <si>
    <t>MAT028</t>
  </si>
  <si>
    <t>AC_INVERTER SPLIT_1LTR_HYUNDAI</t>
  </si>
  <si>
    <t>MAT029</t>
  </si>
  <si>
    <t>AC-1WAY-0.8TR-CASSETTE</t>
  </si>
  <si>
    <t>MAT030</t>
  </si>
  <si>
    <t>AC-CASSETTE_2TR_1WAY</t>
  </si>
  <si>
    <t>BOX</t>
  </si>
  <si>
    <t>MAT031</t>
  </si>
  <si>
    <t>ACID</t>
  </si>
  <si>
    <t>MAT032</t>
  </si>
  <si>
    <t>ACP_12X4</t>
  </si>
  <si>
    <t>LOT-2026-BW02</t>
  </si>
  <si>
    <t>MAT033</t>
  </si>
  <si>
    <t>ACP_8X4</t>
  </si>
  <si>
    <t>MAT034</t>
  </si>
  <si>
    <t>ADAPTER</t>
  </si>
  <si>
    <t>B</t>
  </si>
  <si>
    <t>MAT035</t>
  </si>
  <si>
    <t>ADHESIVE</t>
  </si>
  <si>
    <t>MAT002 (CANDLE_LUGNARE_SCNTD)</t>
  </si>
  <si>
    <t>MAT036</t>
  </si>
  <si>
    <t>ADHESIVE _TUBE</t>
  </si>
  <si>
    <t>MAT037</t>
  </si>
  <si>
    <t>ADHESIVE_MARINE</t>
  </si>
  <si>
    <t>MAT038</t>
  </si>
  <si>
    <t>ADLAD SCNTD</t>
  </si>
  <si>
    <t>MAT039</t>
  </si>
  <si>
    <t>ADMIX</t>
  </si>
  <si>
    <t>MAT040</t>
  </si>
  <si>
    <t>AEROLITE</t>
  </si>
  <si>
    <t>MTR</t>
  </si>
  <si>
    <t>MAT041</t>
  </si>
  <si>
    <t>AIR COOLED-LG VRF( OUTDOOR UNITS)</t>
  </si>
  <si>
    <t>MAT042</t>
  </si>
  <si>
    <t>ALASKA_GREY</t>
  </si>
  <si>
    <t>MAT043</t>
  </si>
  <si>
    <t>ALL BERRY STEM BLUE GG10</t>
  </si>
  <si>
    <t>LOT-2026-CD02</t>
  </si>
  <si>
    <t>Scented candle cartons; keep away from direct heat</t>
  </si>
  <si>
    <t>MAT044</t>
  </si>
  <si>
    <t>ALL BERRY STEM GREEN GG1</t>
  </si>
  <si>
    <t>MAT045</t>
  </si>
  <si>
    <t>ALL BROAD PLANTER W STAN</t>
  </si>
  <si>
    <t>GL2</t>
  </si>
  <si>
    <t>A</t>
  </si>
  <si>
    <t>MAT046</t>
  </si>
  <si>
    <t>ALL FRILL UPR E</t>
  </si>
  <si>
    <t>MAT003 (EXTRA MCB)</t>
  </si>
  <si>
    <t>MAT047</t>
  </si>
  <si>
    <t>ALL FRUIT FORK S/4</t>
  </si>
  <si>
    <t>MAT048</t>
  </si>
  <si>
    <t>ALL KULLAR CHAI S/4</t>
  </si>
  <si>
    <t>MAT049</t>
  </si>
  <si>
    <t>ALL MOTTLED</t>
  </si>
  <si>
    <t>LOT-2026-MC03</t>
  </si>
  <si>
    <t>Electrical circuit breaker; secure dry bin</t>
  </si>
  <si>
    <t>MAT004 (FOSSIAL)</t>
  </si>
  <si>
    <t>LOT-2026-FS04</t>
  </si>
  <si>
    <t>Civil adhesive bag; palletized floor clearance</t>
  </si>
  <si>
    <t>MAT005 (GRANITE_ AVALANCHE)</t>
  </si>
  <si>
    <t>LOT-2026-GA05</t>
  </si>
  <si>
    <t>Heavy granite slabs; vertical rack storage</t>
  </si>
  <si>
    <t>MAT010 (SCREW_SELF THREAD_25X6)</t>
  </si>
  <si>
    <t>LOT-2026-SC10</t>
  </si>
  <si>
    <t>High-grade self threading screws carton</t>
  </si>
  <si>
    <t>MAT012 (SLUE PIPE_20MM)</t>
  </si>
  <si>
    <t>LOT-2026-SP12</t>
  </si>
  <si>
    <t>Pipe fittings; HVAC storage section</t>
  </si>
  <si>
    <t>GL3</t>
  </si>
  <si>
    <t>MAT016 (2*10 WIRE NAIL)</t>
  </si>
  <si>
    <t>LOT-2026-WN16</t>
  </si>
  <si>
    <t>Wire nails box; hardware rack section</t>
  </si>
  <si>
    <t>MAT033 (ACP_8X4)</t>
  </si>
  <si>
    <t>LOT-2026-WN17</t>
  </si>
  <si>
    <t>Open pallet position</t>
  </si>
  <si>
    <t>MAT049 (ALL MOTTLED)</t>
  </si>
  <si>
    <t>LOT-2026-B01</t>
  </si>
  <si>
    <t>Rack Type</t>
  </si>
  <si>
    <t>Transaction Type</t>
  </si>
  <si>
    <t>Source Description</t>
  </si>
  <si>
    <t>Reference</t>
  </si>
  <si>
    <t>User</t>
  </si>
  <si>
    <t>Bay Count (VERIFY)</t>
  </si>
  <si>
    <t>Levels</t>
  </si>
  <si>
    <t>Side Requirement (VERIFY)</t>
  </si>
  <si>
    <t>LOT-2026-WN19</t>
  </si>
  <si>
    <t>Source Note</t>
  </si>
  <si>
    <t>R02</t>
  </si>
  <si>
    <t>Pallet Rack</t>
  </si>
  <si>
    <t>Rack 1 (4 Bays, 6 Levels)</t>
  </si>
  <si>
    <t>GL1, GL2, GL3, SL4, SL5, SL6</t>
  </si>
  <si>
    <t>Double-sided</t>
  </si>
  <si>
    <t>Verified / Active</t>
  </si>
  <si>
    <t>Verified from actual rack layout sheet</t>
  </si>
  <si>
    <t>Rack 2 (4 Bays, 6 Levels)</t>
  </si>
  <si>
    <t>R03</t>
  </si>
  <si>
    <t>Rack 3 (4 Bays, 6 Levels)</t>
  </si>
  <si>
    <t>IN</t>
  </si>
  <si>
    <t>R04</t>
  </si>
  <si>
    <t>Rack 4 (4 Bays, 6 Levels)</t>
  </si>
  <si>
    <t>LOT-2026-WN20</t>
  </si>
  <si>
    <t>PO-1001</t>
  </si>
  <si>
    <t>Sanika</t>
  </si>
  <si>
    <t>Initial purchase order receipt</t>
  </si>
  <si>
    <t>R05</t>
  </si>
  <si>
    <t>Rack 5 (4 Bays, 6 Levels)</t>
  </si>
  <si>
    <t>A3</t>
  </si>
  <si>
    <t>R06</t>
  </si>
  <si>
    <t>Rack 6 (4 Bays, 6 Levels)</t>
  </si>
  <si>
    <t>MAT047 (ALL FRUIT FORK S/4)</t>
  </si>
  <si>
    <t>OUT</t>
  </si>
  <si>
    <t>R07</t>
  </si>
  <si>
    <t>SO-2041</t>
  </si>
  <si>
    <t>Rack 7 (4 Bays, 6 Levels)</t>
  </si>
  <si>
    <t>Dispatched to packing station</t>
  </si>
  <si>
    <t>R08</t>
  </si>
  <si>
    <t>Rack 8 (4 Bays, 6 Levels)</t>
  </si>
  <si>
    <t>LOT-2026-WN21</t>
  </si>
  <si>
    <t/>
  </si>
  <si>
    <t>R09</t>
  </si>
  <si>
    <t>Rack 9 (4 Bays, 6 Levels)</t>
  </si>
  <si>
    <t>PO-1002</t>
  </si>
  <si>
    <t>Pravin</t>
  </si>
  <si>
    <t>R10</t>
  </si>
  <si>
    <t>Bulk shipment received</t>
  </si>
  <si>
    <t>Rack 10 (4 Bays, 6 Levels)</t>
  </si>
  <si>
    <t>R11</t>
  </si>
  <si>
    <t>Rack 11 (4 Bays, 6 Levels)</t>
  </si>
  <si>
    <t>SO-2042</t>
  </si>
  <si>
    <t>Dispatched for retail display</t>
  </si>
  <si>
    <t>Level Code</t>
  </si>
  <si>
    <t>Level Category</t>
  </si>
  <si>
    <t>Standard / Description</t>
  </si>
  <si>
    <t>Sub-Level / Sub-Option Guidance</t>
  </si>
  <si>
    <t>Ground Level</t>
  </si>
  <si>
    <t>GL1 = Ground Level 1</t>
  </si>
  <si>
    <t>Sub-options: GL1-A, GL1-B (Subdivided shelving)</t>
  </si>
  <si>
    <t>GL2 = Ground Level 2</t>
  </si>
  <si>
    <t>Sub-options: GL2-A, GL2-B (Subdivided shelving)</t>
  </si>
  <si>
    <t>GL3 = Ground Level 3</t>
  </si>
  <si>
    <t>Sub-options: GL3-A, GL3-B (Subdivided shelving)</t>
  </si>
  <si>
    <t>SL1</t>
  </si>
  <si>
    <t>Stilt Level</t>
  </si>
  <si>
    <t>SL1 = Stilt Level 1 (Optional/Sub)</t>
  </si>
  <si>
    <t>Sub-options: SL1-A, SL1-B (Optional stilt tier)</t>
  </si>
  <si>
    <t>SL2</t>
  </si>
  <si>
    <t>SL2 = Ground/Stilt Option 2</t>
  </si>
  <si>
    <t>Sub-options: SL2-A, SL2-B (Optional stilt tier)</t>
  </si>
  <si>
    <t>SL3</t>
  </si>
  <si>
    <t>SL3 = Ground/Stilt Option 3</t>
  </si>
  <si>
    <t>Sub-options: SL3-A, SL3-B (Optional stilt tier)</t>
  </si>
  <si>
    <t>SL4</t>
  </si>
  <si>
    <t>SL4 = Stilt Level 4</t>
  </si>
  <si>
    <t>Sub-options: SL4-A, SL4-B (Upper tier staging)</t>
  </si>
  <si>
    <t>SL5</t>
  </si>
  <si>
    <t>SL5 = Stilt Level 5</t>
  </si>
  <si>
    <t>Sub-options: SL5-A, SL5-B (Upper tier staging)</t>
  </si>
  <si>
    <t>SL6</t>
  </si>
  <si>
    <t>SL6 = Stilt Level 6</t>
  </si>
  <si>
    <t>Sub-options: SL6-A, SL6-B (Top tier storage)</t>
  </si>
  <si>
    <t>PO-1003</t>
  </si>
  <si>
    <t>Electrical spare intake</t>
  </si>
  <si>
    <t>SO-2043</t>
  </si>
  <si>
    <t>Issued for panel maintenance</t>
  </si>
  <si>
    <t>PO-1004</t>
  </si>
  <si>
    <t>Civil adhesive bag delivery</t>
  </si>
  <si>
    <t>SO-2044</t>
  </si>
  <si>
    <t>Issued to site masonry</t>
  </si>
  <si>
    <t>PO-1005</t>
  </si>
  <si>
    <t>Avalanche granite crate received</t>
  </si>
  <si>
    <t>SO-2045</t>
  </si>
  <si>
    <t>Issued for countertop cutting</t>
  </si>
  <si>
    <t>PO-1006</t>
  </si>
  <si>
    <t>Self thread screws intake</t>
  </si>
  <si>
    <t>SO-2046</t>
  </si>
  <si>
    <t>Dispatched for metal framing</t>
  </si>
  <si>
    <t>PO-1007</t>
  </si>
  <si>
    <t>Slue pipe intake</t>
  </si>
  <si>
    <t>SO-2047</t>
  </si>
  <si>
    <t>Dispatched for HVAC drain lines</t>
  </si>
  <si>
    <t>PO-1008</t>
  </si>
  <si>
    <t>Opening Stock</t>
  </si>
  <si>
    <t>Stock IN</t>
  </si>
  <si>
    <t>Stock OUT</t>
  </si>
  <si>
    <t>Wire nails bulk box</t>
  </si>
  <si>
    <t>Current Stock</t>
  </si>
  <si>
    <t>Stock Status</t>
  </si>
  <si>
    <t>SO-2048</t>
  </si>
  <si>
    <t>Issued for wooden crates</t>
  </si>
  <si>
    <t>PO-8477</t>
  </si>
  <si>
    <t>new Stock Added</t>
  </si>
  <si>
    <t>PO-INIT</t>
  </si>
  <si>
    <t>Initial stock receipt upon slot assignment</t>
  </si>
  <si>
    <t>Print Status</t>
  </si>
  <si>
    <t>READY</t>
  </si>
  <si>
    <t>PENDING</t>
  </si>
  <si>
    <t>Topic</t>
  </si>
  <si>
    <t>Source-Derived Rule / Guidance</t>
  </si>
  <si>
    <t>Location structure</t>
  </si>
  <si>
    <t>[Rack]-[Bay]-[Level]-[Slot]; source example RA-B01-GL1-A.</t>
  </si>
  <si>
    <t>Bay numbering</t>
  </si>
  <si>
    <t>Use leading zeros: B01, B02, B03 ... to avoid spreadsheet sorting problems.</t>
  </si>
  <si>
    <t>GL1 = floor; GL2 = ground/accessible level; SL3 = lower stilt; SL4 = upper stilt, as proposed in source.</t>
  </si>
  <si>
    <t>Heavy materials</t>
  </si>
  <si>
    <t>Source proposes GL1 for heavy marble/stone/tile and warns to verify rack capacity.</t>
  </si>
  <si>
    <t>Wood</t>
  </si>
  <si>
    <t>Store wood horizontally/flat and in a humidity-controlled/dry area to reduce warping.</t>
  </si>
  <si>
    <t>Glass</t>
  </si>
  <si>
    <t>Use vertical A-frame or padded vertical dividers; source flags glass as fragile.</t>
  </si>
  <si>
    <t>Chemicals</t>
  </si>
  <si>
    <t>Keep industrial cleaning chemicals separated from clean linens/skin-care products; source recommends a dedicated rack section.</t>
  </si>
  <si>
    <t>Spill containment</t>
  </si>
  <si>
    <t>Use suitable bins or decking liners for liquid oils/muds where applicable.</t>
  </si>
  <si>
    <t>FIFO</t>
  </si>
  <si>
    <t>Use First-In, First-Out for products with shelf-life/expiry concerns and record batch dates where relevant.</t>
  </si>
  <si>
    <t>Tiles</t>
  </si>
  <si>
    <t>Source recommends recording batch/lot and color run to avoid mixing visibly different production batches.</t>
  </si>
  <si>
    <t>Crates / large items</t>
  </si>
  <si>
    <t>Keep front aisle termination zones clear for forklift turning when handling oversized crates, as proposed in source.</t>
  </si>
  <si>
    <t>Labels</t>
  </si>
  <si>
    <t>High-contrast physical labels; source suggests magnetic labels because layout may change.</t>
  </si>
  <si>
    <t>Barcode</t>
  </si>
  <si>
    <t>Source discusses barcode fonts such as Code 39/Code 128; barcode implementation should be tested before operational use.</t>
  </si>
  <si>
    <t>Verification</t>
  </si>
  <si>
    <t>The source does not provide exact rack capacities, exact bay counts, exact slot counts, or confirmed side codes; these must be verified from the actual blueprint/warehouse.</t>
  </si>
  <si>
    <t>Source Topic</t>
  </si>
  <si>
    <t>What the shared AI conversation establishes</t>
  </si>
  <si>
    <t>Use in workbook</t>
  </si>
  <si>
    <t>Verification Needed?</t>
  </si>
  <si>
    <t>Rack organization</t>
  </si>
  <si>
    <t>RA / RB1-RB5 / A2 naming was proposed for physical rack rows.</t>
  </si>
  <si>
    <t>Rack Master</t>
  </si>
  <si>
    <t>Yes – verify actual physical rows and A2 naming.</t>
  </si>
  <si>
    <t>Location code</t>
  </si>
  <si>
    <t>Four-part address: Rack – Bay – Level – Slot; example RA-B01-GL1-A.</t>
  </si>
  <si>
    <t>Location Master</t>
  </si>
  <si>
    <t>Yes – verify actual bay/slot structure.</t>
  </si>
  <si>
    <t>GL1, GL2, SL3, SL4 were proposed.</t>
  </si>
  <si>
    <t>Location Master / Safety &amp; Rules</t>
  </si>
  <si>
    <t>Yes – confirm physical level names.</t>
  </si>
  <si>
    <t>Slots</t>
  </si>
  <si>
    <t>A, B, C were proposed as left-to-right positions.</t>
  </si>
  <si>
    <t>Yes – confirm actual number of positions.</t>
  </si>
  <si>
    <t>Materials</t>
  </si>
  <si>
    <t>WET, TLE, WOD, PLM, GLS, LGT, FUR categories and examples were listed.</t>
  </si>
  <si>
    <t>Material Master</t>
  </si>
  <si>
    <t>No for category list; exact stock must be entered from actual inventory.</t>
  </si>
  <si>
    <t>Google Sheets</t>
  </si>
  <si>
    <t>The source explicitly selected Excel / Google Sheets as the management format.</t>
  </si>
  <si>
    <t>Workbook structure</t>
  </si>
  <si>
    <t>No.</t>
  </si>
  <si>
    <t>Formula</t>
  </si>
  <si>
    <t>Formula uses A, B, C, D fields and TEXT(B,00) to generate Location ID.</t>
  </si>
  <si>
    <t>No; formula is implemented with blank-safe IF wrapper.</t>
  </si>
  <si>
    <t>Bay counts</t>
  </si>
  <si>
    <t>The source asked for longest-row bay count, but the answer was skipped.</t>
  </si>
  <si>
    <t>YES – required before generating complete locations.</t>
  </si>
  <si>
    <t>Back-to-back side codes</t>
  </si>
  <si>
    <t>The source asked whether side codes were required, but the answer was skipped.</t>
  </si>
  <si>
    <t>Rack Master / Location Master</t>
  </si>
  <si>
    <t>YES – required if the same rack frame has separately managed faces.</t>
  </si>
  <si>
    <t>Blueprint dimensions</t>
  </si>
  <si>
    <t>Source mentions 17,300 mm width, 4,400 mm height and 18,000 mm depth in section descriptions.</t>
  </si>
  <si>
    <t>Reference only</t>
  </si>
  <si>
    <t>Yes – verify against actual drawing before engineering decisions.</t>
  </si>
  <si>
    <t>Field</t>
  </si>
  <si>
    <t>Meaning</t>
  </si>
  <si>
    <t>Example / Allowed Values</t>
  </si>
  <si>
    <t>Required?</t>
  </si>
  <si>
    <t>Physical rack row identifier.</t>
  </si>
  <si>
    <t>RA, RB1... / A2 (source-supported but verify)</t>
  </si>
  <si>
    <t>Yes for a location</t>
  </si>
  <si>
    <t>Vertical bay section number along the rack.</t>
  </si>
  <si>
    <t>1, 2, 3... stored as number; displayed in ID as 01, 02...</t>
  </si>
  <si>
    <t>Vertical storage level.</t>
  </si>
  <si>
    <t>GL1, GL2, SL3, SL4</t>
  </si>
  <si>
    <t>Horizontal position within a level.</t>
  </si>
  <si>
    <t>A, B, C</t>
  </si>
  <si>
    <t>Yes if slots are used</t>
  </si>
  <si>
    <t>Unique physical address generated by formula.</t>
  </si>
  <si>
    <t>RA-B01-GL1-A</t>
  </si>
  <si>
    <t>Unique material/item identifier.</t>
  </si>
  <si>
    <t>Company-defined; not supplied by source</t>
  </si>
  <si>
    <t>Yes for inventory</t>
  </si>
  <si>
    <t>Material zone/category.</t>
  </si>
  <si>
    <t>WET, TLE, WOD, PLM, GLS, LGT, FUR</t>
  </si>
  <si>
    <t>Recommended</t>
  </si>
  <si>
    <t>Current or transaction quantity.</t>
  </si>
  <si>
    <t>Actual warehouse quantity</t>
  </si>
  <si>
    <t>Yes for stock tracking</t>
  </si>
  <si>
    <t>Manufacturer/production batch reference.</t>
  </si>
  <si>
    <t>Actual batch/lot</t>
  </si>
  <si>
    <t>Where relevant</t>
  </si>
  <si>
    <t>Location or stock state.</t>
  </si>
  <si>
    <t>Available, Occupied, Blocked, Maintenance, Reserved</t>
  </si>
  <si>
    <t>Section</t>
  </si>
  <si>
    <t>Source-derived content to use / understand</t>
  </si>
  <si>
    <t>Operational use</t>
  </si>
  <si>
    <t>Do not assume without verification</t>
  </si>
  <si>
    <t>Original plan view</t>
  </si>
  <si>
    <t>The source describes six passages, P1–P6, with Rack A on the perimeter and Rack B structures in the central bays.</t>
  </si>
  <si>
    <t>Use the blueprint to verify physical rack rows and access sides.</t>
  </si>
  <si>
    <t>Exact rack/bay count and final naming must be verified from the actual drawing.</t>
  </si>
  <si>
    <t>Original rack types</t>
  </si>
  <si>
    <t>Rack A: single/double-entry perimeter locations; Rack B: back-to-back central rack structures; AH/BH: special end-of-row positions near the handrail boundary.</t>
  </si>
  <si>
    <t>Use these as structural concepts when mapping the physical warehouse.</t>
  </si>
  <si>
    <t>Do not convert AH/BH into normal inventory locations unless the physical layout confirms they are storage positions.</t>
  </si>
  <si>
    <t>Section X-X</t>
  </si>
  <si>
    <t>Source describes blue upright frames and green load beams, with a 17,300 mm overall width and 4,400 mm overall rack height.</t>
  </si>
  <si>
    <t>Reference for understanding the engineering drawing.</t>
  </si>
  <si>
    <t>Do not use these dimensions for rack capacity or engineering decisions without the actual engineering drawing.</t>
  </si>
  <si>
    <t>Section Y-Y</t>
  </si>
  <si>
    <t>Source describes a 4,400 mm high by 18,000 mm deep view and four storage levels.</t>
  </si>
  <si>
    <t>Supports the four-level concept.</t>
  </si>
  <si>
    <t>Confirm actual installed dimensions and levels.</t>
  </si>
  <si>
    <t>Core location address</t>
  </si>
  <si>
    <t>Rack – Bay – Level – Slot. Example from the source: RA-B01-GL1-A.</t>
  </si>
  <si>
    <t>This is the Location ID generated by the formula.</t>
  </si>
  <si>
    <t>The example is a format example; actual locations must be created from verified physical data.</t>
  </si>
  <si>
    <t>Rack naming</t>
  </si>
  <si>
    <t>The conversation proposed RA for the far-left rack, RB1–RB5 for central back-to-back racks, and A2 for the far-right perimeter rack.</t>
  </si>
  <si>
    <t>Rack Master contains these source-supported rack IDs.</t>
  </si>
  <si>
    <t>One later source line conflicts with A2 by mentioning RB2; this workbook flags A2 for physical verification.</t>
  </si>
  <si>
    <t>Bay naming</t>
  </si>
  <si>
    <t>Bay sections are numbered sequentially; leading zeros are recommended: B01, B02, B03 ... B10, B11.</t>
  </si>
  <si>
    <t>Location formula uses TEXT(Bay,"00").</t>
  </si>
  <si>
    <t>The actual number of bays on each rack was not supplied.</t>
  </si>
  <si>
    <t>Level naming</t>
  </si>
  <si>
    <t>GL1 = floor level; GL2 = upper ground/ergonomic level; SL3 = lower stilt; SL4 = top stilt.</t>
  </si>
  <si>
    <t>Use Level dropdown in Location Master.</t>
  </si>
  <si>
    <t>Confirm that the physical rack really has these four levels.</t>
  </si>
  <si>
    <t>Slot naming</t>
  </si>
  <si>
    <t>A, B, C are proposed left-to-right shelf positions.</t>
  </si>
  <si>
    <t>Use Slot dropdown in Location Master.</t>
  </si>
  <si>
    <t>Confirm actual number of horizontal positions per level.</t>
  </si>
  <si>
    <t>Material zones</t>
  </si>
  <si>
    <t>WET: waterproofing/grouts/cement; TLE: tiles/stone; WOD: wood; PLM: plumbing; GLS: glass; LGT: lighting/electrical; FUR: furniture/decor.</t>
  </si>
  <si>
    <t>Material Master contains these source-supported categories.</t>
  </si>
  <si>
    <t>Exact stock list is not supplied in the source and must come from actual inventory.</t>
  </si>
  <si>
    <t>Source proposes heavy stone/tile/pallet materials on lower levels and warns about rack capacity/decking.</t>
  </si>
  <si>
    <t>Use lower-level planning and safety review.</t>
  </si>
  <si>
    <t>Do not place heavy loads based only on this sheet; verify rack load capacity.</t>
  </si>
  <si>
    <t>Wood storage</t>
  </si>
  <si>
    <t>Source proposes horizontal/flat storage and humidity-controlled/dry conditions for sauna wood and acoustic materials.</t>
  </si>
  <si>
    <t>Use as a storage rule.</t>
  </si>
  <si>
    <t>Actual environmental requirements must follow material/manufacturer requirements.</t>
  </si>
  <si>
    <t>Glass storage</t>
  </si>
  <si>
    <t>Source proposes vertical A-frame or padded dividers for glass panels and flags them as fragile.</t>
  </si>
  <si>
    <t>Use as handling/storage guidance.</t>
  </si>
  <si>
    <t>Exact equipment and safe handling procedure must be confirmed by the responsible warehouse/safety team.</t>
  </si>
  <si>
    <t>Fixtures</t>
  </si>
  <si>
    <t>Source mentions original foam-padded packaging for high-end brass/matte-black fixtures.</t>
  </si>
  <si>
    <t>Use as a handling guideline.</t>
  </si>
  <si>
    <t>Follow manufacturer packaging/storage instructions.</t>
  </si>
  <si>
    <t>Source says industrial cleaning chemicals should be separated from clean linens and skin-contact products.</t>
  </si>
  <si>
    <t>Use dedicated/segregated chemical storage.</t>
  </si>
  <si>
    <t>Exact chemical segregation requirements must follow applicable safety rules and SDS/manufacturer guidance.</t>
  </si>
  <si>
    <t>Source recommends suitable bins or wire-decking liners for liquid oils/muds where applicable.</t>
  </si>
  <si>
    <t>Use spill-control planning.</t>
  </si>
  <si>
    <t>Select containment based on the actual chemical/material and safety requirements.</t>
  </si>
  <si>
    <t>Source recommends First-In, First-Out for products with shelf-life/expiry concerns and batch-date labeling.</t>
  </si>
  <si>
    <t>Use Batch/Lot in Location Master/Inventory.</t>
  </si>
  <si>
    <t>Actual expiry controls should follow product requirements.</t>
  </si>
  <si>
    <t>Tile batch/color run</t>
  </si>
  <si>
    <t>Source recommends recording batch/lot and color run to avoid visible mismatch between tile production batches.</t>
  </si>
  <si>
    <t>Use Batch/Lot field; add Color Run if needed.</t>
  </si>
  <si>
    <t>Color-run field is not pre-created because the source did not require it as a core location field.</t>
  </si>
  <si>
    <t>Large crates</t>
  </si>
  <si>
    <t>Source says AH/BH front termination areas should remain clear for forklift turning when handling oversized crates.</t>
  </si>
  <si>
    <t>Keep access/turning areas clear if confirmed by the actual layout.</t>
  </si>
  <si>
    <t>Do not treat these areas as storage without physical verification.</t>
  </si>
  <si>
    <t>Physical labels</t>
  </si>
  <si>
    <t>Source suggests high-visibility labels and magnetic labels because layout may change.</t>
  </si>
  <si>
    <t>Use Rack Labels sheet for printing.</t>
  </si>
  <si>
    <t>Exact label size/material/printer not specified.</t>
  </si>
  <si>
    <t>Color coding</t>
  </si>
  <si>
    <t>Source suggests visual color accents for GL vs SL and category-based visual coding.</t>
  </si>
  <si>
    <t>Can be implemented as conditional formatting/print design.</t>
  </si>
  <si>
    <t>Color must not replace the written Location ID.</t>
  </si>
  <si>
    <t>Barcode idea</t>
  </si>
  <si>
    <t>Source discusses using Code 39/Code 128 fonts to turn location strings into barcodes.</t>
  </si>
  <si>
    <t>Optional future enhancement.</t>
  </si>
  <si>
    <t>Test scanner/font/printing compatibility before operational deployment.</t>
  </si>
  <si>
    <t>Google Sheets choice</t>
  </si>
  <si>
    <t>The source's selected management format is Excel / Google Sheets.</t>
  </si>
  <si>
    <t>This workbook is designed to upload/open in Google Sheets.</t>
  </si>
  <si>
    <t>This file cannot create a Google Drive link inside the user's account.</t>
  </si>
  <si>
    <t>Bay-count question</t>
  </si>
  <si>
    <t>The source asked for the total vertical bay sections on the longest rack row; the answer was skipped.</t>
  </si>
  <si>
    <t>Rack Master intentionally leaves Bay Count blank.</t>
  </si>
  <si>
    <t>Must be obtained from the actual blueprint/warehouse.</t>
  </si>
  <si>
    <t>Back-to-back side question</t>
  </si>
  <si>
    <t>The source asked whether B racks need separate side codes; the answer was skipped.</t>
  </si>
  <si>
    <t>Rack Master leaves Side Requirement blank.</t>
  </si>
  <si>
    <t>Must be decided from actual warehouse operations.</t>
  </si>
  <si>
    <t>Source formula: =A2&amp;"-"&amp;"B"&amp;TEXT(B2,"00")&amp;"-"&amp;C2&amp;"-"&amp;D2.</t>
  </si>
  <si>
    <t>Workbook implements the same formula with a blank-safe IF wrapper.</t>
  </si>
  <si>
    <t>Formula generates IDs only after actual Rack/Bay/Level/Slot are entered.</t>
  </si>
  <si>
    <t>No dummy data</t>
  </si>
  <si>
    <t>The source provides examples but not the user's actual complete inventory, bay counts, quantities, batches, or exact physical locations.</t>
  </si>
  <si>
    <t>Workbook leaves operational Location/Inventory/Stock Movement rows blank.</t>
  </si>
  <si>
    <t>Enter only verified real warehouse records.</t>
  </si>
  <si>
    <t>Generated for Rack R01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</si>
</sst>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b/>
      <sz val="10.0"/>
      <color rgb="FFFFFFFF"/>
      <name val="Roboto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Roboto"/>
    </font>
    <font>
      <b/>
      <sz val="10.0"/>
      <color theme="1"/>
      <name val="Roboto"/>
    </font>
    <font>
      <sz val="10.0"/>
      <color rgb="FF1F2937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D3A8A"/>
        <bgColor rgb="FF1D3A8A"/>
      </patternFill>
    </fill>
    <fill>
      <patternFill patternType="solid">
        <fgColor rgb="FF1F4E78"/>
        <bgColor rgb="FF1F4E78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4F7FC"/>
        <bgColor rgb="FFF4F7FC"/>
      </patternFill>
    </fill>
  </fills>
  <borders count="17">
    <border/>
    <border>
      <left style="thin">
        <color rgb="FFBFCCD8"/>
      </left>
      <right style="thin">
        <color rgb="FFE0E5ED"/>
      </right>
      <top style="thin">
        <color rgb="FF1D3A8A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1D3A8A"/>
      </top>
      <bottom style="thin">
        <color rgb="FFE0E5ED"/>
      </bottom>
    </border>
    <border>
      <left style="thin">
        <color rgb="FFE0E5ED"/>
      </left>
      <right style="thin">
        <color rgb="FFBFCCD8"/>
      </right>
      <top style="thin">
        <color rgb="FF1D3A8A"/>
      </top>
      <bottom style="thin">
        <color rgb="FFE0E5ED"/>
      </bottom>
    </border>
    <border>
      <right style="thin">
        <color rgb="FFC9D7E5"/>
      </right>
      <top style="thin">
        <color rgb="FFC9D7E5"/>
      </top>
      <bottom style="thin">
        <color rgb="FFC9D7E5"/>
      </bottom>
    </border>
    <border>
      <left style="thin">
        <color rgb="FFBFCCD8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BFCCD8"/>
      </right>
      <top style="thin">
        <color rgb="FFE0E5ED"/>
      </top>
      <bottom style="thin">
        <color rgb="FFE0E5ED"/>
      </bottom>
    </border>
    <border>
      <left style="thin">
        <color rgb="FFBFCCD8"/>
      </left>
      <right style="thin">
        <color rgb="FFE0E5ED"/>
      </right>
      <top style="thin">
        <color rgb="FFE0E5ED"/>
      </top>
      <bottom style="thin">
        <color rgb="FFBFCCD8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BFCCD8"/>
      </bottom>
    </border>
    <border>
      <left style="thin">
        <color rgb="FFE0E5ED"/>
      </left>
      <right style="thin">
        <color rgb="FFBFCCD8"/>
      </right>
      <top style="thin">
        <color rgb="FFE0E5ED"/>
      </top>
      <bottom style="thin">
        <color rgb="FFBFCCD8"/>
      </bottom>
    </border>
    <border>
      <left style="thin">
        <color rgb="FFC9D7E5"/>
      </left>
      <right style="thin">
        <color rgb="FFC9D7E5"/>
      </right>
      <bottom style="thin">
        <color rgb="FFC9D7E5"/>
      </bottom>
    </border>
    <border>
      <left style="thin">
        <color rgb="FFC9D7E5"/>
      </left>
      <right style="thin">
        <color rgb="FFC9D7E5"/>
      </right>
      <top style="thin">
        <color rgb="FFC9D7E5"/>
      </top>
      <bottom style="thin">
        <color rgb="FFC9D7E5"/>
      </bottom>
    </border>
    <border>
      <left style="thin">
        <color rgb="FFBFCCD8"/>
      </left>
      <right style="thin">
        <color rgb="FFBFCCD8"/>
      </right>
      <top style="thin">
        <color rgb="FF1D3A8A"/>
      </top>
      <bottom style="thin">
        <color rgb="FFE0E5ED"/>
      </bottom>
    </border>
    <border>
      <left style="thin">
        <color rgb="FFBFCCD8"/>
      </left>
      <right style="thin">
        <color rgb="FFBFCCD8"/>
      </right>
      <top style="thin">
        <color rgb="FFE0E5ED"/>
      </top>
      <bottom style="thin">
        <color rgb="FFE0E5ED"/>
      </bottom>
    </border>
    <border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3" fillId="2" fontId="1" numFmtId="0" xfId="0" applyAlignment="1" applyBorder="1" applyFill="1" applyFont="1">
      <alignment readingOrder="0" shrinkToFit="0" vertical="center" wrapText="1"/>
    </xf>
    <xf borderId="5" fillId="4" fontId="4" numFmtId="0" xfId="0" applyAlignment="1" applyBorder="1" applyFill="1" applyFont="1">
      <alignment horizontal="center" readingOrder="0" vertical="center"/>
    </xf>
    <xf borderId="6" fillId="4" fontId="4" numFmtId="0" xfId="0" applyAlignment="1" applyBorder="1" applyFill="1" applyFont="1">
      <alignment horizontal="center" readingOrder="0" vertical="center"/>
    </xf>
    <xf borderId="6" fillId="4" fontId="4" numFmtId="1" xfId="0" applyAlignment="1" applyBorder="1" applyFill="1" applyFont="1" applyNumberFormat="1">
      <alignment horizontal="center" readingOrder="0" vertical="center"/>
    </xf>
    <xf borderId="7" fillId="4" fontId="4" numFmtId="3" xfId="0" applyAlignment="1" applyBorder="1" applyFill="1" applyFont="1" applyNumberFormat="1">
      <alignment horizontal="center" readingOrder="0" vertical="center"/>
    </xf>
    <xf borderId="6" fillId="4" fontId="4" numFmtId="0" xfId="0" applyAlignment="1" applyBorder="1" applyFill="1" applyFont="1">
      <alignment readingOrder="0" vertical="center"/>
    </xf>
    <xf borderId="6" fillId="4" fontId="4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center" readingOrder="0" vertical="center"/>
    </xf>
    <xf borderId="6" fillId="5" fontId="4" numFmtId="0" xfId="0" applyAlignment="1" applyBorder="1" applyFill="1" applyFont="1">
      <alignment horizontal="center" readingOrder="0" vertical="center"/>
    </xf>
    <xf borderId="6" fillId="4" fontId="5" numFmtId="0" xfId="0" applyAlignment="1" applyBorder="1" applyFill="1" applyFont="1">
      <alignment horizontal="center" readingOrder="0" shrinkToFit="0" vertical="center" wrapText="1"/>
    </xf>
    <xf borderId="7" fillId="5" fontId="4" numFmtId="3" xfId="0" applyAlignment="1" applyBorder="1" applyFill="1" applyFont="1" applyNumberFormat="1">
      <alignment horizontal="center" readingOrder="0" vertical="center"/>
    </xf>
    <xf borderId="6" fillId="4" fontId="4" numFmtId="0" xfId="0" applyAlignment="1" applyBorder="1" applyFill="1" applyFont="1">
      <alignment horizontal="left"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7" fillId="0" fontId="4" numFmtId="3" xfId="0" applyAlignment="1" applyBorder="1" applyFont="1" applyNumberFormat="1">
      <alignment horizontal="center" readingOrder="0" vertical="center"/>
    </xf>
    <xf borderId="6" fillId="4" fontId="4" numFmtId="4" xfId="0" applyAlignment="1" applyBorder="1" applyFill="1" applyFont="1" applyNumberFormat="1">
      <alignment horizontal="right" readingOrder="0" shrinkToFit="0" vertical="center" wrapText="1"/>
    </xf>
    <xf borderId="6" fillId="4" fontId="4" numFmtId="0" xfId="0" applyAlignment="1" applyBorder="1" applyFill="1" applyFont="1">
      <alignment horizontal="center" readingOrder="0" shrinkToFit="0" vertical="center" wrapText="1"/>
    </xf>
    <xf borderId="7" fillId="4" fontId="4" numFmtId="0" xfId="0" applyAlignment="1" applyBorder="1" applyFill="1" applyFont="1">
      <alignment horizontal="left" readingOrder="0" shrinkToFit="0" vertical="center" wrapText="1"/>
    </xf>
    <xf borderId="6" fillId="5" fontId="4" numFmtId="1" xfId="0" applyAlignment="1" applyBorder="1" applyFill="1" applyFont="1" applyNumberFormat="1">
      <alignment horizontal="center" readingOrder="0" vertical="center"/>
    </xf>
    <xf borderId="6" fillId="5" fontId="4" numFmtId="0" xfId="0" applyAlignment="1" applyBorder="1" applyFill="1" applyFont="1">
      <alignment readingOrder="0" vertical="center"/>
    </xf>
    <xf borderId="6" fillId="5" fontId="4" numFmtId="0" xfId="0" applyAlignment="1" applyBorder="1" applyFill="1" applyFont="1">
      <alignment horizontal="center" vertical="center"/>
    </xf>
    <xf borderId="6" fillId="5" fontId="5" numFmtId="0" xfId="0" applyAlignment="1" applyBorder="1" applyFill="1" applyFont="1">
      <alignment horizontal="center" readingOrder="0" shrinkToFit="0" vertical="center" wrapText="1"/>
    </xf>
    <xf borderId="6" fillId="5" fontId="4" numFmtId="0" xfId="0" applyAlignment="1" applyBorder="1" applyFill="1" applyFont="1">
      <alignment horizontal="left" readingOrder="0" shrinkToFit="0" vertical="center" wrapText="1"/>
    </xf>
    <xf borderId="6" fillId="5" fontId="4" numFmtId="4" xfId="0" applyAlignment="1" applyBorder="1" applyFill="1" applyFont="1" applyNumberFormat="1">
      <alignment horizontal="right" readingOrder="0" shrinkToFit="0" vertical="center" wrapText="1"/>
    </xf>
    <xf borderId="6" fillId="5" fontId="4" numFmtId="0" xfId="0" applyAlignment="1" applyBorder="1" applyFill="1" applyFont="1">
      <alignment horizontal="center" readingOrder="0" shrinkToFit="0" vertical="center" wrapText="1"/>
    </xf>
    <xf borderId="7" fillId="5" fontId="4" numFmtId="0" xfId="0" applyAlignment="1" applyBorder="1" applyFill="1" applyFont="1">
      <alignment horizontal="left" readingOrder="0" shrinkToFit="0" vertical="center" wrapText="1"/>
    </xf>
    <xf borderId="8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10" fillId="0" fontId="4" numFmtId="3" xfId="0" applyAlignment="1" applyBorder="1" applyFont="1" applyNumberFormat="1">
      <alignment horizontal="center" readingOrder="0" vertical="center"/>
    </xf>
    <xf borderId="11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6" fillId="4" fontId="4" numFmtId="0" xfId="0" applyAlignment="1" applyBorder="1" applyFill="1" applyFont="1">
      <alignment horizontal="left" shrinkToFit="0" vertical="center" wrapText="1"/>
    </xf>
    <xf borderId="6" fillId="4" fontId="4" numFmtId="0" xfId="0" applyAlignment="1" applyBorder="1" applyFill="1" applyFont="1">
      <alignment horizontal="center" shrinkToFit="0" vertical="center" wrapText="1"/>
    </xf>
    <xf borderId="6" fillId="5" fontId="4" numFmtId="0" xfId="0" applyAlignment="1" applyBorder="1" applyFill="1" applyFont="1">
      <alignment horizontal="left" shrinkToFit="0" vertical="center" wrapText="1"/>
    </xf>
    <xf borderId="6" fillId="5" fontId="4" numFmtId="0" xfId="0" applyAlignment="1" applyBorder="1" applyFill="1" applyFont="1">
      <alignment horizontal="center" shrinkToFit="0" vertical="center" wrapText="1"/>
    </xf>
    <xf borderId="6" fillId="4" fontId="4" numFmtId="4" xfId="0" applyAlignment="1" applyBorder="1" applyFill="1" applyFont="1" applyNumberFormat="1">
      <alignment horizontal="right" shrinkToFit="0" vertical="center" wrapText="1"/>
    </xf>
    <xf borderId="8" fillId="5" fontId="4" numFmtId="0" xfId="0" applyAlignment="1" applyBorder="1" applyFill="1" applyFont="1">
      <alignment horizontal="center" readingOrder="0" vertical="center"/>
    </xf>
    <xf borderId="9" fillId="5" fontId="4" numFmtId="1" xfId="0" applyAlignment="1" applyBorder="1" applyFill="1" applyFont="1" applyNumberFormat="1">
      <alignment horizontal="center" readingOrder="0" vertical="center"/>
    </xf>
    <xf borderId="9" fillId="5" fontId="4" numFmtId="0" xfId="0" applyAlignment="1" applyBorder="1" applyFill="1" applyFont="1">
      <alignment horizontal="center" readingOrder="0" vertical="center"/>
    </xf>
    <xf borderId="9" fillId="5" fontId="4" numFmtId="0" xfId="0" applyAlignment="1" applyBorder="1" applyFill="1" applyFont="1">
      <alignment readingOrder="0" vertical="center"/>
    </xf>
    <xf borderId="9" fillId="5" fontId="4" numFmtId="0" xfId="0" applyAlignment="1" applyBorder="1" applyFill="1" applyFont="1">
      <alignment horizontal="center" vertical="center"/>
    </xf>
    <xf borderId="9" fillId="5" fontId="5" numFmtId="0" xfId="0" applyAlignment="1" applyBorder="1" applyFill="1" applyFont="1">
      <alignment horizontal="center" readingOrder="0" shrinkToFit="0" vertical="center" wrapText="1"/>
    </xf>
    <xf borderId="9" fillId="5" fontId="4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left" readingOrder="0" shrinkToFit="0" vertical="center" wrapText="1"/>
    </xf>
    <xf borderId="9" fillId="5" fontId="4" numFmtId="4" xfId="0" applyAlignment="1" applyBorder="1" applyFill="1" applyFont="1" applyNumberFormat="1">
      <alignment horizontal="right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9" fillId="5" fontId="4" numFmtId="0" xfId="0" applyAlignment="1" applyBorder="1" applyFill="1" applyFont="1">
      <alignment horizontal="center" shrinkToFit="0" vertical="center" wrapText="1"/>
    </xf>
    <xf borderId="10" fillId="5" fontId="4" numFmtId="0" xfId="0" applyAlignment="1" applyBorder="1" applyFill="1" applyFont="1">
      <alignment horizontal="left" readingOrder="0" shrinkToFit="0" vertical="center" wrapText="1"/>
    </xf>
    <xf borderId="3" fillId="2" fontId="1" numFmtId="0" xfId="0" applyAlignment="1" applyBorder="1" applyFill="1" applyFont="1">
      <alignment horizontal="left" readingOrder="0" shrinkToFit="0" vertical="center" wrapText="1"/>
    </xf>
    <xf borderId="5" fillId="0" fontId="4" numFmtId="164" xfId="0" applyAlignment="1" applyBorder="1" applyFont="1" applyNumberForma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1"/>
    </xf>
    <xf borderId="11" fillId="4" fontId="4" numFmtId="0" xfId="0" applyAlignment="1" applyBorder="1" applyFill="1" applyFont="1">
      <alignment horizontal="center" readingOrder="0" vertical="center"/>
    </xf>
    <xf borderId="6" fillId="0" fontId="4" numFmtId="0" xfId="0" applyAlignment="1" applyBorder="1" applyFont="1">
      <alignment horizontal="center" readingOrder="0" shrinkToFit="0" vertical="center" wrapText="1"/>
    </xf>
    <xf borderId="11" fillId="4" fontId="4" numFmtId="1" xfId="0" applyAlignment="1" applyBorder="1" applyFill="1" applyFont="1" applyNumberFormat="1">
      <alignment horizontal="center" readingOrder="0" vertical="center"/>
    </xf>
    <xf borderId="6" fillId="0" fontId="4" numFmtId="0" xfId="0" applyAlignment="1" applyBorder="1" applyFont="1">
      <alignment horizontal="left" readingOrder="0" shrinkToFit="0" vertical="center" wrapText="1"/>
    </xf>
    <xf borderId="11" fillId="4" fontId="4" numFmtId="0" xfId="0" applyAlignment="1" applyBorder="1" applyFill="1" applyFont="1">
      <alignment readingOrder="0" vertical="center"/>
    </xf>
    <xf borderId="11" fillId="4" fontId="4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 readingOrder="0" shrinkToFit="0" vertical="center" wrapText="0"/>
    </xf>
    <xf borderId="9" fillId="4" fontId="5" numFmtId="0" xfId="0" applyAlignment="1" applyBorder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left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center" readingOrder="0" shrinkToFit="0" vertical="center" wrapText="0"/>
    </xf>
    <xf borderId="0" fillId="4" fontId="4" numFmtId="4" xfId="0" applyAlignment="1" applyFill="1" applyFont="1" applyNumberFormat="1">
      <alignment horizontal="right" shrinkToFit="0" vertical="center" wrapText="1"/>
    </xf>
    <xf borderId="6" fillId="0" fontId="4" numFmtId="4" xfId="0" applyAlignment="1" applyBorder="1" applyFont="1" applyNumberFormat="1">
      <alignment horizontal="center" readingOrder="0" shrinkToFit="0" vertical="center" wrapText="0"/>
    </xf>
    <xf borderId="0" fillId="4" fontId="4" numFmtId="0" xfId="0" applyAlignment="1" applyFill="1" applyFont="1">
      <alignment horizontal="center" shrinkToFit="0" vertical="center" wrapText="1"/>
    </xf>
    <xf borderId="12" fillId="5" fontId="4" numFmtId="0" xfId="0" applyAlignment="1" applyBorder="1" applyFill="1" applyFont="1">
      <alignment horizontal="center" readingOrder="0" vertical="center"/>
    </xf>
    <xf borderId="7" fillId="0" fontId="4" numFmtId="0" xfId="0" applyAlignment="1" applyBorder="1" applyFont="1">
      <alignment horizontal="center" readingOrder="0" shrinkToFit="0" vertical="center" wrapText="0"/>
    </xf>
    <xf borderId="12" fillId="5" fontId="4" numFmtId="1" xfId="0" applyAlignment="1" applyBorder="1" applyFill="1" applyFont="1" applyNumberFormat="1">
      <alignment horizontal="center" readingOrder="0" vertical="center"/>
    </xf>
    <xf borderId="12" fillId="5" fontId="4" numFmtId="0" xfId="0" applyAlignment="1" applyBorder="1" applyFill="1" applyFont="1">
      <alignment readingOrder="0" vertical="center"/>
    </xf>
    <xf borderId="12" fillId="5" fontId="4" numFmtId="0" xfId="0" applyAlignment="1" applyBorder="1" applyFill="1" applyFont="1">
      <alignment horizontal="center" vertical="center"/>
    </xf>
    <xf borderId="0" fillId="5" fontId="5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horizontal="left" readingOrder="0" shrinkToFit="0" vertical="center" wrapText="1"/>
    </xf>
    <xf borderId="0" fillId="5" fontId="4" numFmtId="0" xfId="0" applyAlignment="1" applyFill="1" applyFont="1">
      <alignment horizontal="left" shrinkToFit="0" vertical="center" wrapText="1"/>
    </xf>
    <xf borderId="0" fillId="5" fontId="4" numFmtId="4" xfId="0" applyAlignment="1" applyFill="1" applyFont="1" applyNumberFormat="1">
      <alignment horizontal="right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12" fillId="4" fontId="4" numFmtId="0" xfId="0" applyAlignment="1" applyBorder="1" applyFill="1" applyFont="1">
      <alignment horizontal="center" vertical="center"/>
    </xf>
    <xf borderId="12" fillId="4" fontId="4" numFmtId="1" xfId="0" applyAlignment="1" applyBorder="1" applyFill="1" applyFont="1" applyNumberFormat="1">
      <alignment horizontal="center" vertical="center"/>
    </xf>
    <xf borderId="12" fillId="4" fontId="4" numFmtId="0" xfId="0" applyAlignment="1" applyBorder="1" applyFill="1" applyFont="1">
      <alignment vertical="center"/>
    </xf>
    <xf borderId="0" fillId="4" fontId="5" numFmtId="0" xfId="0" applyAlignment="1" applyFill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left" readingOrder="0" shrinkToFit="0" vertical="center" wrapText="1"/>
    </xf>
    <xf borderId="12" fillId="5" fontId="4" numFmtId="1" xfId="0" applyAlignment="1" applyBorder="1" applyFill="1" applyFont="1" applyNumberFormat="1">
      <alignment horizontal="center" vertical="center"/>
    </xf>
    <xf borderId="12" fillId="5" fontId="4" numFmtId="0" xfId="0" applyAlignment="1" applyBorder="1" applyFill="1" applyFont="1">
      <alignment vertical="center"/>
    </xf>
    <xf borderId="0" fillId="0" fontId="3" numFmtId="0" xfId="0" applyFont="1"/>
    <xf borderId="13" fillId="2" fontId="1" numFmtId="0" xfId="0" applyAlignment="1" applyBorder="1" applyFill="1" applyFont="1">
      <alignment horizontal="left" readingOrder="0" shrinkToFit="0" vertical="center" wrapText="1"/>
    </xf>
    <xf borderId="14" fillId="6" fontId="4" numFmtId="0" xfId="0" applyAlignment="1" applyBorder="1" applyFill="1" applyFont="1">
      <alignment horizontal="left" readingOrder="0" shrinkToFit="0" vertical="center" wrapText="1"/>
    </xf>
    <xf borderId="6" fillId="4" fontId="4" numFmtId="0" xfId="0" applyAlignment="1" applyBorder="1" applyFill="1" applyFont="1">
      <alignment horizontal="left" vertical="center"/>
    </xf>
    <xf borderId="9" fillId="0" fontId="4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9" fillId="0" fontId="4" numFmtId="4" xfId="0" applyAlignment="1" applyBorder="1" applyFont="1" applyNumberFormat="1">
      <alignment horizontal="center"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6" fillId="4" fontId="4" numFmtId="4" xfId="0" applyAlignment="1" applyBorder="1" applyFill="1" applyFont="1" applyNumberFormat="1">
      <alignment horizontal="right" readingOrder="0" vertical="center"/>
    </xf>
    <xf borderId="11" fillId="0" fontId="4" numFmtId="0" xfId="0" applyAlignment="1" applyBorder="1" applyFont="1">
      <alignment horizontal="center" readingOrder="0" shrinkToFit="0" vertical="center" wrapText="0"/>
    </xf>
    <xf borderId="11" fillId="0" fontId="4" numFmtId="4" xfId="0" applyAlignment="1" applyBorder="1" applyFont="1" applyNumberFormat="1">
      <alignment horizontal="center" readingOrder="0" shrinkToFit="0" vertical="center" wrapText="0"/>
    </xf>
    <xf borderId="12" fillId="0" fontId="4" numFmtId="164" xfId="0" applyAlignment="1" applyBorder="1" applyFont="1" applyNumberFormat="1">
      <alignment horizontal="center" shrinkToFit="0" vertical="center" wrapText="0"/>
    </xf>
    <xf borderId="12" fillId="0" fontId="4" numFmtId="0" xfId="0" applyAlignment="1" applyBorder="1" applyFont="1">
      <alignment horizontal="center" shrinkToFit="0" vertical="center" wrapText="0"/>
    </xf>
    <xf borderId="6" fillId="4" fontId="4" numFmtId="4" xfId="0" applyAlignment="1" applyBorder="1" applyFill="1" applyFont="1" applyNumberFormat="1">
      <alignment horizontal="right" vertical="center"/>
    </xf>
    <xf borderId="12" fillId="0" fontId="4" numFmtId="0" xfId="0" applyAlignment="1" applyBorder="1" applyFont="1">
      <alignment horizontal="center" shrinkToFit="0" vertical="center" wrapText="0"/>
    </xf>
    <xf borderId="12" fillId="0" fontId="4" numFmtId="4" xfId="0" applyAlignment="1" applyBorder="1" applyFont="1" applyNumberFormat="1">
      <alignment horizontal="center" shrinkToFit="0" vertical="center" wrapText="0"/>
    </xf>
    <xf borderId="7" fillId="4" fontId="5" numFmtId="0" xfId="0" applyAlignment="1" applyBorder="1" applyFill="1" applyFont="1">
      <alignment horizontal="center" vertical="center"/>
    </xf>
    <xf borderId="6" fillId="5" fontId="4" numFmtId="0" xfId="0" applyAlignment="1" applyBorder="1" applyFill="1" applyFont="1">
      <alignment horizontal="left" vertical="center"/>
    </xf>
    <xf borderId="6" fillId="5" fontId="4" numFmtId="4" xfId="0" applyAlignment="1" applyBorder="1" applyFill="1" applyFont="1" applyNumberFormat="1">
      <alignment horizontal="right" readingOrder="0" vertical="center"/>
    </xf>
    <xf borderId="6" fillId="5" fontId="4" numFmtId="4" xfId="0" applyAlignment="1" applyBorder="1" applyFill="1" applyFont="1" applyNumberFormat="1">
      <alignment horizontal="right" vertical="center"/>
    </xf>
    <xf borderId="7" fillId="5" fontId="5" numFmtId="0" xfId="0" applyAlignment="1" applyBorder="1" applyFill="1" applyFont="1">
      <alignment horizontal="center" vertical="center"/>
    </xf>
    <xf borderId="9" fillId="5" fontId="4" numFmtId="0" xfId="0" applyAlignment="1" applyBorder="1" applyFill="1" applyFont="1">
      <alignment horizontal="left" vertical="center"/>
    </xf>
    <xf borderId="9" fillId="5" fontId="4" numFmtId="4" xfId="0" applyAlignment="1" applyBorder="1" applyFill="1" applyFont="1" applyNumberFormat="1">
      <alignment horizontal="right" readingOrder="0" vertical="center"/>
    </xf>
    <xf borderId="9" fillId="5" fontId="4" numFmtId="4" xfId="0" applyAlignment="1" applyBorder="1" applyFill="1" applyFont="1" applyNumberFormat="1">
      <alignment horizontal="right" vertical="center"/>
    </xf>
    <xf borderId="10" fillId="5" fontId="5" numFmtId="0" xfId="0" applyAlignment="1" applyBorder="1" applyFill="1" applyFont="1">
      <alignment horizontal="center" vertical="center"/>
    </xf>
    <xf borderId="11" fillId="4" fontId="4" numFmtId="0" xfId="0" applyAlignment="1" applyBorder="1" applyFill="1" applyFont="1">
      <alignment horizontal="left" vertical="center"/>
    </xf>
    <xf borderId="11" fillId="4" fontId="4" numFmtId="4" xfId="0" applyAlignment="1" applyBorder="1" applyFill="1" applyFont="1" applyNumberFormat="1">
      <alignment horizontal="right" vertical="center"/>
    </xf>
    <xf borderId="11" fillId="4" fontId="5" numFmtId="0" xfId="0" applyAlignment="1" applyBorder="1" applyFill="1" applyFont="1">
      <alignment horizontal="center" vertical="center"/>
    </xf>
    <xf borderId="12" fillId="5" fontId="4" numFmtId="0" xfId="0" applyAlignment="1" applyBorder="1" applyFill="1" applyFont="1">
      <alignment horizontal="left" vertical="center"/>
    </xf>
    <xf borderId="12" fillId="5" fontId="4" numFmtId="4" xfId="0" applyAlignment="1" applyBorder="1" applyFill="1" applyFont="1" applyNumberFormat="1">
      <alignment horizontal="right" vertical="center"/>
    </xf>
    <xf borderId="12" fillId="5" fontId="5" numFmtId="0" xfId="0" applyAlignment="1" applyBorder="1" applyFill="1" applyFont="1">
      <alignment horizontal="center" vertical="center"/>
    </xf>
    <xf borderId="12" fillId="4" fontId="4" numFmtId="0" xfId="0" applyAlignment="1" applyBorder="1" applyFill="1" applyFont="1">
      <alignment horizontal="left" vertical="center"/>
    </xf>
    <xf borderId="12" fillId="4" fontId="4" numFmtId="4" xfId="0" applyAlignment="1" applyBorder="1" applyFill="1" applyFont="1" applyNumberFormat="1">
      <alignment horizontal="right" vertical="center"/>
    </xf>
    <xf borderId="12" fillId="4" fontId="5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readingOrder="0" vertical="center"/>
    </xf>
    <xf borderId="5" fillId="5" fontId="5" numFmtId="0" xfId="0" applyAlignment="1" applyBorder="1" applyFill="1" applyFont="1">
      <alignment horizontal="center" vertical="center"/>
    </xf>
    <xf borderId="7" fillId="5" fontId="4" numFmtId="0" xfId="0" applyAlignment="1" applyBorder="1" applyFill="1" applyFont="1">
      <alignment horizontal="center" readingOrder="0" vertical="center"/>
    </xf>
    <xf borderId="8" fillId="4" fontId="5" numFmtId="0" xfId="0" applyAlignment="1" applyBorder="1" applyFill="1" applyFont="1">
      <alignment horizontal="center" vertical="center"/>
    </xf>
    <xf borderId="9" fillId="4" fontId="4" numFmtId="0" xfId="0" applyAlignment="1" applyBorder="1" applyFill="1" applyFont="1">
      <alignment horizontal="left" vertical="center"/>
    </xf>
    <xf borderId="9" fillId="4" fontId="4" numFmtId="0" xfId="0" applyAlignment="1" applyBorder="1" applyFill="1" applyFont="1">
      <alignment horizontal="center" vertical="center"/>
    </xf>
    <xf borderId="10" fillId="4" fontId="4" numFmtId="0" xfId="0" applyAlignment="1" applyBorder="1" applyFill="1" applyFont="1">
      <alignment horizontal="center" readingOrder="0" vertical="center"/>
    </xf>
    <xf borderId="11" fillId="5" fontId="5" numFmtId="0" xfId="0" applyAlignment="1" applyBorder="1" applyFill="1" applyFont="1">
      <alignment horizontal="center" vertical="center"/>
    </xf>
    <xf borderId="11" fillId="5" fontId="4" numFmtId="0" xfId="0" applyAlignment="1" applyBorder="1" applyFill="1" applyFont="1">
      <alignment horizontal="left" vertical="center"/>
    </xf>
    <xf borderId="11" fillId="5" fontId="4" numFmtId="0" xfId="0" applyAlignment="1" applyBorder="1" applyFill="1" applyFont="1">
      <alignment horizontal="center" vertical="center"/>
    </xf>
    <xf borderId="0" fillId="5" fontId="4" numFmtId="0" xfId="0" applyAlignment="1" applyFill="1" applyFont="1">
      <alignment horizontal="center" vertical="center"/>
    </xf>
    <xf borderId="0" fillId="5" fontId="4" numFmtId="1" xfId="0" applyAlignment="1" applyFill="1" applyFont="1" applyNumberFormat="1">
      <alignment horizontal="center" vertical="center"/>
    </xf>
    <xf borderId="0" fillId="5" fontId="4" numFmtId="0" xfId="0" applyAlignment="1" applyFill="1" applyFont="1">
      <alignment vertical="center"/>
    </xf>
    <xf borderId="0" fillId="4" fontId="4" numFmtId="0" xfId="0" applyAlignment="1" applyFill="1" applyFont="1">
      <alignment horizontal="center" vertical="center"/>
    </xf>
    <xf borderId="0" fillId="4" fontId="4" numFmtId="1" xfId="0" applyAlignment="1" applyFill="1" applyFont="1" applyNumberFormat="1">
      <alignment horizontal="center" vertical="center"/>
    </xf>
    <xf borderId="0" fillId="4" fontId="4" numFmtId="0" xfId="0" applyAlignment="1" applyFill="1" applyFont="1">
      <alignment vertical="center"/>
    </xf>
    <xf borderId="0" fillId="4" fontId="4" numFmtId="0" xfId="0" applyAlignment="1" applyFill="1" applyFont="1">
      <alignment horizontal="left" vertical="center"/>
    </xf>
    <xf borderId="0" fillId="4" fontId="4" numFmtId="4" xfId="0" applyAlignment="1" applyFill="1" applyFont="1" applyNumberFormat="1">
      <alignment horizontal="right" vertical="center"/>
    </xf>
    <xf borderId="0" fillId="5" fontId="4" numFmtId="0" xfId="0" applyAlignment="1" applyFill="1" applyFont="1">
      <alignment horizontal="left" vertical="center"/>
    </xf>
    <xf borderId="0" fillId="5" fontId="4" numFmtId="4" xfId="0" applyAlignment="1" applyFill="1" applyFont="1" applyNumberFormat="1">
      <alignment horizontal="right" vertical="center"/>
    </xf>
    <xf borderId="1" fillId="2" fontId="1" numFmtId="0" xfId="0" applyAlignment="1" applyBorder="1" applyFill="1" applyFont="1">
      <alignment shrinkToFit="0" vertical="center" wrapText="1"/>
    </xf>
    <xf borderId="3" fillId="2" fontId="1" numFmtId="0" xfId="0" applyAlignment="1" applyBorder="1" applyFill="1" applyFont="1">
      <alignment shrinkToFit="0" vertical="center" wrapText="1"/>
    </xf>
    <xf borderId="5" fillId="0" fontId="6" numFmtId="0" xfId="0" applyAlignment="1" applyBorder="1" applyFon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8" fillId="0" fontId="6" numFmtId="0" xfId="0" applyAlignment="1" applyBorder="1" applyFont="1">
      <alignment shrinkToFit="0" vertical="top" wrapText="1"/>
    </xf>
    <xf borderId="10" fillId="0" fontId="6" numFmtId="0" xfId="0" applyAlignment="1" applyBorder="1" applyFont="1">
      <alignment shrinkToFit="0" vertical="top" wrapText="1"/>
    </xf>
    <xf borderId="15" fillId="2" fontId="1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top" wrapText="1"/>
    </xf>
    <xf borderId="2" fillId="2" fontId="1" numFmtId="0" xfId="0" applyAlignment="1" applyBorder="1" applyFill="1" applyFont="1">
      <alignment shrinkToFit="0" vertical="center" wrapText="1"/>
    </xf>
    <xf borderId="6" fillId="0" fontId="6" numFmtId="0" xfId="0" applyAlignment="1" applyBorder="1" applyFont="1">
      <alignment shrinkToFit="0" vertical="top" wrapText="1"/>
    </xf>
    <xf borderId="9" fillId="0" fontId="6" numFmtId="0" xfId="0" applyAlignment="1" applyBorder="1" applyFont="1">
      <alignment shrinkToFit="0" vertical="top" wrapText="1"/>
    </xf>
    <xf borderId="16" fillId="2" fontId="1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0C7226"/>
      </font>
      <fill>
        <patternFill patternType="solid">
          <fgColor rgb="FFD8F2E0"/>
          <bgColor rgb="FFD8F2E0"/>
        </patternFill>
      </fill>
      <border/>
    </dxf>
    <dxf>
      <font>
        <b/>
        <color rgb="FFA50C19"/>
      </font>
      <fill>
        <patternFill patternType="solid">
          <fgColor rgb="FFF9DBDB"/>
          <bgColor rgb="FFF9DBDB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  <tableStyles count="3">
    <tableStyle count="4" pivot="0" name="Stock Mov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ck 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version Refere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2" displayName="RackMasterTable" name="RackMasterTable" id="1">
  <tableColumns count="8">
    <tableColumn name="Rack ID" id="1"/>
    <tableColumn name="Rack Type" id="2"/>
    <tableColumn name="Source Description" id="3"/>
    <tableColumn name="Bay Count (VERIFY)" id="4"/>
    <tableColumn name="Levels" id="5"/>
    <tableColumn name="Side Requirement (VERIFY)" id="6"/>
    <tableColumn name="Status" id="7"/>
    <tableColumn name="Source Note" id="8"/>
  </tableColumns>
  <tableStyleInfo name="Rack Master-style" showColumnStripes="0" showFirstColumn="1" showLastColumn="1" showRowStripes="1"/>
</table>
</file>

<file path=xl/tables/table2.xml><?xml version="1.0" encoding="utf-8"?>
<table xmlns="http://schemas.openxmlformats.org/spreadsheetml/2006/main" ref="A1:J501" displayName="StockMovementTable" name="StockMovementTable" id="2">
  <autoFilter ref="$A$1:$J$501"/>
  <tableColumns count="10">
    <tableColumn name="Date" id="1"/>
    <tableColumn name="Material ID" id="2"/>
    <tableColumn name="Material Description" id="3"/>
    <tableColumn name="Location ID" id="4"/>
    <tableColumn name="Transaction Type" id="5"/>
    <tableColumn name="Quantity" id="6"/>
    <tableColumn name="Unit" id="7"/>
    <tableColumn name="Reference" id="8"/>
    <tableColumn name="User" id="9"/>
    <tableColumn name="Notes" id="10"/>
  </tableColumns>
  <tableStyleInfo name="Stock Movement-style" showColumnStripes="0" showFirstColumn="1" showLastColumn="1" showRowStripes="1"/>
</table>
</file>

<file path=xl/tables/table3.xml><?xml version="1.0" encoding="utf-8"?>
<table xmlns="http://schemas.openxmlformats.org/spreadsheetml/2006/main" ref="A1:D28" displayName="AIConversionReferenceTable" name="AIConversionReferenceTable" id="3">
  <tableColumns count="4">
    <tableColumn name="Section" id="1"/>
    <tableColumn name="Source-derived content to use / understand" id="2"/>
    <tableColumn name="Operational use" id="3"/>
    <tableColumn name="Do not assume without verification" id="4"/>
  </tableColumns>
  <tableStyleInfo name="Conversion Refer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1.29"/>
    <col customWidth="1" min="3" max="3" width="21.43"/>
    <col customWidth="1" min="4" max="4" width="25.86"/>
    <col customWidth="1" min="5" max="5" width="34.29"/>
    <col customWidth="1" min="6" max="6" width="27.43"/>
    <col customWidth="1" min="7" max="7" width="31.14"/>
    <col customWidth="1" min="8" max="8" width="31.86"/>
    <col customWidth="1" min="9" max="26" width="8.71"/>
  </cols>
  <sheetData>
    <row r="1" ht="25.5" customHeight="1">
      <c r="A1" s="51" t="s">
        <v>3</v>
      </c>
      <c r="B1" s="53" t="s">
        <v>166</v>
      </c>
      <c r="C1" s="53" t="s">
        <v>168</v>
      </c>
      <c r="D1" s="53" t="s">
        <v>171</v>
      </c>
      <c r="E1" s="53" t="s">
        <v>172</v>
      </c>
      <c r="F1" s="53" t="s">
        <v>173</v>
      </c>
      <c r="G1" s="53" t="s">
        <v>10</v>
      </c>
      <c r="H1" s="58" t="s">
        <v>175</v>
      </c>
    </row>
    <row r="2">
      <c r="A2" s="60" t="s">
        <v>19</v>
      </c>
      <c r="B2" s="62" t="s">
        <v>177</v>
      </c>
      <c r="C2" s="64" t="s">
        <v>178</v>
      </c>
      <c r="D2" s="62">
        <v>4.0</v>
      </c>
      <c r="E2" s="62" t="s">
        <v>179</v>
      </c>
      <c r="F2" s="70" t="s">
        <v>180</v>
      </c>
      <c r="G2" s="71" t="s">
        <v>181</v>
      </c>
      <c r="H2" s="72" t="s">
        <v>182</v>
      </c>
    </row>
    <row r="3">
      <c r="A3" s="60" t="s">
        <v>176</v>
      </c>
      <c r="B3" s="62" t="s">
        <v>177</v>
      </c>
      <c r="C3" s="64" t="s">
        <v>183</v>
      </c>
      <c r="D3" s="62">
        <v>4.0</v>
      </c>
      <c r="E3" s="62" t="s">
        <v>179</v>
      </c>
      <c r="F3" s="70" t="s">
        <v>180</v>
      </c>
      <c r="G3" s="71" t="s">
        <v>181</v>
      </c>
      <c r="H3" s="72" t="s">
        <v>182</v>
      </c>
    </row>
    <row r="4">
      <c r="A4" s="60" t="s">
        <v>184</v>
      </c>
      <c r="B4" s="62" t="s">
        <v>177</v>
      </c>
      <c r="C4" s="64" t="s">
        <v>185</v>
      </c>
      <c r="D4" s="62">
        <v>4.0</v>
      </c>
      <c r="E4" s="62" t="s">
        <v>179</v>
      </c>
      <c r="F4" s="70" t="s">
        <v>180</v>
      </c>
      <c r="G4" s="71" t="s">
        <v>181</v>
      </c>
      <c r="H4" s="72" t="s">
        <v>182</v>
      </c>
    </row>
    <row r="5">
      <c r="A5" s="60" t="s">
        <v>187</v>
      </c>
      <c r="B5" s="62" t="s">
        <v>177</v>
      </c>
      <c r="C5" s="64" t="s">
        <v>188</v>
      </c>
      <c r="D5" s="62">
        <v>4.0</v>
      </c>
      <c r="E5" s="62" t="s">
        <v>179</v>
      </c>
      <c r="F5" s="70" t="s">
        <v>180</v>
      </c>
      <c r="G5" s="71" t="s">
        <v>181</v>
      </c>
      <c r="H5" s="72" t="s">
        <v>182</v>
      </c>
    </row>
    <row r="6">
      <c r="A6" s="60" t="s">
        <v>193</v>
      </c>
      <c r="B6" s="62" t="s">
        <v>177</v>
      </c>
      <c r="C6" s="64" t="s">
        <v>194</v>
      </c>
      <c r="D6" s="62">
        <v>4.0</v>
      </c>
      <c r="E6" s="62" t="s">
        <v>179</v>
      </c>
      <c r="F6" s="70" t="s">
        <v>180</v>
      </c>
      <c r="G6" s="71" t="s">
        <v>181</v>
      </c>
      <c r="H6" s="72" t="s">
        <v>182</v>
      </c>
    </row>
    <row r="7">
      <c r="A7" s="60" t="s">
        <v>196</v>
      </c>
      <c r="B7" s="62" t="s">
        <v>177</v>
      </c>
      <c r="C7" s="64" t="s">
        <v>197</v>
      </c>
      <c r="D7" s="62">
        <v>4.0</v>
      </c>
      <c r="E7" s="62" t="s">
        <v>179</v>
      </c>
      <c r="F7" s="70" t="s">
        <v>180</v>
      </c>
      <c r="G7" s="71" t="s">
        <v>181</v>
      </c>
      <c r="H7" s="72" t="s">
        <v>182</v>
      </c>
    </row>
    <row r="8">
      <c r="A8" s="60" t="s">
        <v>200</v>
      </c>
      <c r="B8" s="62" t="s">
        <v>177</v>
      </c>
      <c r="C8" s="64" t="s">
        <v>202</v>
      </c>
      <c r="D8" s="62">
        <v>4.0</v>
      </c>
      <c r="E8" s="62" t="s">
        <v>179</v>
      </c>
      <c r="F8" s="70" t="s">
        <v>180</v>
      </c>
      <c r="G8" s="71" t="s">
        <v>181</v>
      </c>
      <c r="H8" s="72" t="s">
        <v>182</v>
      </c>
    </row>
    <row r="9">
      <c r="A9" s="60" t="s">
        <v>204</v>
      </c>
      <c r="B9" s="62" t="s">
        <v>177</v>
      </c>
      <c r="C9" s="64" t="s">
        <v>205</v>
      </c>
      <c r="D9" s="62">
        <v>4.0</v>
      </c>
      <c r="E9" s="62" t="s">
        <v>179</v>
      </c>
      <c r="F9" s="70" t="s">
        <v>180</v>
      </c>
      <c r="G9" s="71" t="s">
        <v>181</v>
      </c>
      <c r="H9" s="72" t="s">
        <v>182</v>
      </c>
    </row>
    <row r="10">
      <c r="A10" s="60" t="s">
        <v>208</v>
      </c>
      <c r="B10" s="62" t="s">
        <v>177</v>
      </c>
      <c r="C10" s="64" t="s">
        <v>209</v>
      </c>
      <c r="D10" s="62">
        <v>4.0</v>
      </c>
      <c r="E10" s="62" t="s">
        <v>179</v>
      </c>
      <c r="F10" s="70" t="s">
        <v>180</v>
      </c>
      <c r="G10" s="71" t="s">
        <v>181</v>
      </c>
      <c r="H10" s="72" t="s">
        <v>182</v>
      </c>
    </row>
    <row r="11">
      <c r="A11" s="60" t="s">
        <v>212</v>
      </c>
      <c r="B11" s="62" t="s">
        <v>177</v>
      </c>
      <c r="C11" s="64" t="s">
        <v>214</v>
      </c>
      <c r="D11" s="62">
        <v>4.0</v>
      </c>
      <c r="E11" s="62" t="s">
        <v>179</v>
      </c>
      <c r="F11" s="70" t="s">
        <v>180</v>
      </c>
      <c r="G11" s="71" t="s">
        <v>181</v>
      </c>
      <c r="H11" s="72" t="s">
        <v>182</v>
      </c>
    </row>
    <row r="12">
      <c r="A12" s="92" t="s">
        <v>215</v>
      </c>
      <c r="B12" s="93" t="s">
        <v>177</v>
      </c>
      <c r="C12" s="94" t="s">
        <v>216</v>
      </c>
      <c r="D12" s="93">
        <v>4.0</v>
      </c>
      <c r="E12" s="93" t="s">
        <v>179</v>
      </c>
      <c r="F12" s="95" t="s">
        <v>180</v>
      </c>
      <c r="G12" s="96" t="s">
        <v>181</v>
      </c>
      <c r="H12" s="97" t="s">
        <v>182</v>
      </c>
    </row>
    <row r="13">
      <c r="F13" s="100"/>
    </row>
    <row r="14">
      <c r="F14" s="100"/>
    </row>
    <row r="15">
      <c r="A15" s="101" t="s">
        <v>219</v>
      </c>
      <c r="B15" s="101" t="s">
        <v>220</v>
      </c>
      <c r="C15" s="101" t="s">
        <v>221</v>
      </c>
      <c r="D15" s="101" t="s">
        <v>222</v>
      </c>
      <c r="F15" s="100"/>
    </row>
    <row r="16">
      <c r="A16" s="102" t="s">
        <v>22</v>
      </c>
      <c r="B16" s="102" t="s">
        <v>223</v>
      </c>
      <c r="C16" s="102" t="s">
        <v>224</v>
      </c>
      <c r="D16" s="102" t="s">
        <v>225</v>
      </c>
      <c r="F16" s="100"/>
    </row>
    <row r="17">
      <c r="A17" s="102" t="s">
        <v>132</v>
      </c>
      <c r="B17" s="102" t="s">
        <v>223</v>
      </c>
      <c r="C17" s="102" t="s">
        <v>226</v>
      </c>
      <c r="D17" s="102" t="s">
        <v>227</v>
      </c>
      <c r="F17" s="100"/>
    </row>
    <row r="18">
      <c r="A18" s="102" t="s">
        <v>157</v>
      </c>
      <c r="B18" s="102" t="s">
        <v>223</v>
      </c>
      <c r="C18" s="102" t="s">
        <v>228</v>
      </c>
      <c r="D18" s="102" t="s">
        <v>229</v>
      </c>
      <c r="F18" s="100"/>
    </row>
    <row r="19">
      <c r="A19" s="102" t="s">
        <v>230</v>
      </c>
      <c r="B19" s="102" t="s">
        <v>231</v>
      </c>
      <c r="C19" s="102" t="s">
        <v>232</v>
      </c>
      <c r="D19" s="102" t="s">
        <v>233</v>
      </c>
      <c r="F19" s="100"/>
    </row>
    <row r="20">
      <c r="A20" s="102" t="s">
        <v>234</v>
      </c>
      <c r="B20" s="102" t="s">
        <v>231</v>
      </c>
      <c r="C20" s="102" t="s">
        <v>235</v>
      </c>
      <c r="D20" s="102" t="s">
        <v>236</v>
      </c>
      <c r="F20" s="100"/>
    </row>
    <row r="21" ht="15.75" customHeight="1">
      <c r="A21" s="102" t="s">
        <v>237</v>
      </c>
      <c r="B21" s="102" t="s">
        <v>231</v>
      </c>
      <c r="C21" s="102" t="s">
        <v>238</v>
      </c>
      <c r="D21" s="102" t="s">
        <v>239</v>
      </c>
      <c r="F21" s="100"/>
    </row>
    <row r="22" ht="15.75" customHeight="1">
      <c r="A22" s="102" t="s">
        <v>240</v>
      </c>
      <c r="B22" s="102" t="s">
        <v>231</v>
      </c>
      <c r="C22" s="102" t="s">
        <v>241</v>
      </c>
      <c r="D22" s="102" t="s">
        <v>242</v>
      </c>
      <c r="F22" s="100"/>
    </row>
    <row r="23" ht="15.75" customHeight="1">
      <c r="A23" s="102" t="s">
        <v>243</v>
      </c>
      <c r="B23" s="102" t="s">
        <v>231</v>
      </c>
      <c r="C23" s="102" t="s">
        <v>244</v>
      </c>
      <c r="D23" s="102" t="s">
        <v>245</v>
      </c>
      <c r="F23" s="100"/>
    </row>
    <row r="24" ht="15.75" customHeight="1">
      <c r="A24" s="102" t="s">
        <v>246</v>
      </c>
      <c r="B24" s="102" t="s">
        <v>231</v>
      </c>
      <c r="C24" s="102" t="s">
        <v>247</v>
      </c>
      <c r="D24" s="102" t="s">
        <v>248</v>
      </c>
      <c r="F24" s="100"/>
    </row>
    <row r="25" ht="15.75" customHeight="1">
      <c r="F25" s="100"/>
    </row>
    <row r="26" ht="15.75" customHeight="1">
      <c r="F26" s="100"/>
    </row>
    <row r="27" ht="15.75" customHeight="1">
      <c r="F27" s="100"/>
    </row>
    <row r="28" ht="15.75" customHeight="1">
      <c r="F28" s="100"/>
    </row>
    <row r="29" ht="15.75" customHeight="1">
      <c r="F29" s="100"/>
    </row>
    <row r="30" ht="15.75" customHeight="1">
      <c r="F30" s="100"/>
    </row>
    <row r="31" ht="15.75" customHeight="1">
      <c r="F31" s="100"/>
    </row>
    <row r="32" ht="15.75" customHeight="1">
      <c r="F32" s="100"/>
    </row>
    <row r="33" ht="15.75" customHeight="1">
      <c r="F33" s="100"/>
    </row>
    <row r="34" ht="15.75" customHeight="1">
      <c r="F34" s="100"/>
    </row>
    <row r="35" ht="15.75" customHeight="1">
      <c r="F35" s="100"/>
    </row>
    <row r="36" ht="15.75" customHeight="1">
      <c r="F36" s="100"/>
    </row>
    <row r="37" ht="15.75" customHeight="1">
      <c r="F37" s="100"/>
    </row>
    <row r="38" ht="15.75" customHeight="1">
      <c r="F38" s="100"/>
    </row>
    <row r="39" ht="15.75" customHeight="1">
      <c r="F39" s="100"/>
    </row>
    <row r="40" ht="15.75" customHeight="1">
      <c r="F40" s="100"/>
    </row>
    <row r="41" ht="15.75" customHeight="1">
      <c r="F41" s="100"/>
    </row>
    <row r="42" ht="15.75" customHeight="1">
      <c r="F42" s="100"/>
    </row>
    <row r="43" ht="15.75" customHeight="1">
      <c r="F43" s="100"/>
    </row>
    <row r="44" ht="15.75" customHeight="1">
      <c r="F44" s="100"/>
    </row>
    <row r="45" ht="15.75" customHeight="1">
      <c r="F45" s="100"/>
    </row>
    <row r="46" ht="15.75" customHeight="1">
      <c r="F46" s="100"/>
    </row>
    <row r="47" ht="15.75" customHeight="1">
      <c r="F47" s="100"/>
    </row>
    <row r="48" ht="15.75" customHeight="1">
      <c r="F48" s="100"/>
    </row>
    <row r="49" ht="15.75" customHeight="1">
      <c r="F49" s="100"/>
    </row>
    <row r="50" ht="15.75" customHeight="1">
      <c r="F50" s="10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A365ABE-E4EA-4F3F-B0CF-8812846118FB}" filter="1" showAutoFilter="1">
      <autoFilter ref="$A$1:$H$12"/>
    </customSheetView>
  </customSheetViews>
  <conditionalFormatting sqref="G2:G12">
    <cfRule type="containsText" dxfId="5" priority="1" stopIfTrue="1" operator="containsText" text="Active">
      <formula>NOT(ISERROR(SEARCH(("Active"),(G2))))</formula>
    </cfRule>
  </conditionalFormatting>
  <dataValidations>
    <dataValidation type="list" allowBlank="1" sqref="F2:F50">
      <formula1>"Double-sided,Single-sided"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86"/>
  </cols>
  <sheetData>
    <row r="1" ht="25.5" customHeight="1">
      <c r="A1" s="1" t="s">
        <v>1</v>
      </c>
      <c r="B1" s="2" t="s">
        <v>4</v>
      </c>
      <c r="C1" s="2" t="s">
        <v>9</v>
      </c>
      <c r="D1" s="2" t="s">
        <v>11</v>
      </c>
      <c r="E1" s="4" t="s">
        <v>12</v>
      </c>
      <c r="F1" s="5" t="s">
        <v>15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8" t="s">
        <v>17</v>
      </c>
      <c r="B2" s="9" t="s">
        <v>18</v>
      </c>
      <c r="C2" s="9" t="s">
        <v>20</v>
      </c>
      <c r="D2" s="9" t="s">
        <v>21</v>
      </c>
      <c r="E2" s="11">
        <v>10.0</v>
      </c>
      <c r="F2" s="6" t="str">
        <f t="shared" ref="F2:F201" si="1">IF(A2="","",A2 &amp; " (" &amp; B2 &amp; ")")</f>
        <v>MAT001 (BUBBLE WRAP)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14" t="s">
        <v>24</v>
      </c>
      <c r="B3" s="15" t="s">
        <v>25</v>
      </c>
      <c r="C3" s="15" t="s">
        <v>26</v>
      </c>
      <c r="D3" s="15" t="s">
        <v>21</v>
      </c>
      <c r="E3" s="17">
        <v>25.0</v>
      </c>
      <c r="F3" s="6" t="str">
        <f t="shared" si="1"/>
        <v>MAT002 (CANDLE_LUGNARE_SCNTD)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8" t="s">
        <v>27</v>
      </c>
      <c r="B4" s="9" t="s">
        <v>28</v>
      </c>
      <c r="C4" s="9" t="s">
        <v>29</v>
      </c>
      <c r="D4" s="9" t="s">
        <v>21</v>
      </c>
      <c r="E4" s="11">
        <v>5.0</v>
      </c>
      <c r="F4" s="6" t="str">
        <f t="shared" si="1"/>
        <v>MAT003 (EXTRA MCB)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14" t="s">
        <v>30</v>
      </c>
      <c r="B5" s="15" t="s">
        <v>31</v>
      </c>
      <c r="C5" s="15" t="s">
        <v>32</v>
      </c>
      <c r="D5" s="15" t="s">
        <v>33</v>
      </c>
      <c r="E5" s="17">
        <v>5.0</v>
      </c>
      <c r="F5" s="6" t="str">
        <f t="shared" si="1"/>
        <v>MAT004 (FOSSIAL)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8" t="s">
        <v>34</v>
      </c>
      <c r="B6" s="9" t="s">
        <v>35</v>
      </c>
      <c r="C6" s="9" t="s">
        <v>32</v>
      </c>
      <c r="D6" s="9" t="s">
        <v>36</v>
      </c>
      <c r="E6" s="11">
        <v>20.0</v>
      </c>
      <c r="F6" s="6" t="str">
        <f t="shared" si="1"/>
        <v>MAT005 (GRANITE_ AVALANCHE)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14" t="s">
        <v>37</v>
      </c>
      <c r="B7" s="15" t="s">
        <v>38</v>
      </c>
      <c r="C7" s="15" t="s">
        <v>39</v>
      </c>
      <c r="D7" s="15" t="s">
        <v>21</v>
      </c>
      <c r="E7" s="17">
        <v>10.0</v>
      </c>
      <c r="F7" s="6" t="str">
        <f t="shared" si="1"/>
        <v>MAT006 (PLATE BLACK_12MODULE_ VIHAAN)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8" t="s">
        <v>41</v>
      </c>
      <c r="B8" s="9" t="s">
        <v>42</v>
      </c>
      <c r="C8" s="9" t="s">
        <v>39</v>
      </c>
      <c r="D8" s="9" t="s">
        <v>21</v>
      </c>
      <c r="E8" s="11">
        <v>10.0</v>
      </c>
      <c r="F8" s="6" t="str">
        <f t="shared" si="1"/>
        <v>MAT007 (POLYCAB_1.5SQ MM 90_METER)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19" t="s">
        <v>43</v>
      </c>
      <c r="B9" s="20" t="s">
        <v>44</v>
      </c>
      <c r="C9" s="20" t="s">
        <v>29</v>
      </c>
      <c r="D9" s="20" t="s">
        <v>21</v>
      </c>
      <c r="E9" s="21">
        <v>50.0</v>
      </c>
      <c r="F9" s="6" t="str">
        <f t="shared" si="1"/>
        <v>MAT008 (SCREW_DRYWALL-BLACK 19X6)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19" t="s">
        <v>45</v>
      </c>
      <c r="B10" s="20" t="s">
        <v>46</v>
      </c>
      <c r="C10" s="20" t="s">
        <v>29</v>
      </c>
      <c r="D10" s="20" t="s">
        <v>21</v>
      </c>
      <c r="E10" s="21">
        <v>50.0</v>
      </c>
      <c r="F10" s="6" t="str">
        <f t="shared" si="1"/>
        <v>MAT009 (SCREW_DRYWALL-BLACK-75X6)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19" t="s">
        <v>47</v>
      </c>
      <c r="B11" s="20" t="s">
        <v>48</v>
      </c>
      <c r="C11" s="20" t="s">
        <v>29</v>
      </c>
      <c r="D11" s="20" t="s">
        <v>21</v>
      </c>
      <c r="E11" s="21">
        <v>10.0</v>
      </c>
      <c r="F11" s="6" t="str">
        <f t="shared" si="1"/>
        <v>MAT010 (SCREW_SELF THREAD_25X6)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19" t="s">
        <v>49</v>
      </c>
      <c r="B12" s="20" t="s">
        <v>50</v>
      </c>
      <c r="C12" s="20" t="s">
        <v>29</v>
      </c>
      <c r="D12" s="20" t="s">
        <v>21</v>
      </c>
      <c r="E12" s="21">
        <v>10.0</v>
      </c>
      <c r="F12" s="6" t="str">
        <f t="shared" si="1"/>
        <v>MAT011 (Silicon_BOND)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19" t="s">
        <v>51</v>
      </c>
      <c r="B13" s="20" t="s">
        <v>52</v>
      </c>
      <c r="C13" s="20" t="s">
        <v>53</v>
      </c>
      <c r="D13" s="20" t="s">
        <v>21</v>
      </c>
      <c r="E13" s="21">
        <v>5.0</v>
      </c>
      <c r="F13" s="6" t="str">
        <f t="shared" si="1"/>
        <v>MAT012 (SLUE PIPE_20MM)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19" t="s">
        <v>54</v>
      </c>
      <c r="B14" s="20" t="s">
        <v>55</v>
      </c>
      <c r="C14" s="20" t="s">
        <v>39</v>
      </c>
      <c r="D14" s="20" t="s">
        <v>21</v>
      </c>
      <c r="E14" s="21">
        <v>10.0</v>
      </c>
      <c r="F14" s="6" t="str">
        <f t="shared" si="1"/>
        <v>MAT013 (1.5 SQ MM 90 METER POLYCAB)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19" t="s">
        <v>56</v>
      </c>
      <c r="B15" s="20" t="s">
        <v>57</v>
      </c>
      <c r="C15" s="20" t="s">
        <v>39</v>
      </c>
      <c r="D15" s="20" t="s">
        <v>36</v>
      </c>
      <c r="E15" s="21">
        <v>5.0</v>
      </c>
      <c r="F15" s="6" t="str">
        <f t="shared" si="1"/>
        <v>MAT014 (10 A BELL PUSH_ WITH IND 2M_ENGLAZE)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19" t="s">
        <v>58</v>
      </c>
      <c r="B16" s="20" t="s">
        <v>59</v>
      </c>
      <c r="C16" s="20" t="s">
        <v>60</v>
      </c>
      <c r="D16" s="20" t="s">
        <v>21</v>
      </c>
      <c r="E16" s="21">
        <v>5.0</v>
      </c>
      <c r="F16" s="6" t="str">
        <f t="shared" si="1"/>
        <v>MAT015 (16X13 BALCK WHITE)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19" t="s">
        <v>61</v>
      </c>
      <c r="B17" s="20" t="s">
        <v>62</v>
      </c>
      <c r="C17" s="20" t="s">
        <v>60</v>
      </c>
      <c r="D17" s="20" t="s">
        <v>21</v>
      </c>
      <c r="E17" s="21">
        <v>10.0</v>
      </c>
      <c r="F17" s="6" t="str">
        <f t="shared" si="1"/>
        <v>MAT016 (2*10 WIRE NAIL)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19" t="s">
        <v>65</v>
      </c>
      <c r="B18" s="20" t="s">
        <v>66</v>
      </c>
      <c r="C18" s="20" t="s">
        <v>29</v>
      </c>
      <c r="D18" s="20" t="s">
        <v>21</v>
      </c>
      <c r="E18" s="21">
        <v>10.0</v>
      </c>
      <c r="F18" s="6" t="str">
        <f t="shared" si="1"/>
        <v>MAT017 (20 MITR PULLING)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19" t="s">
        <v>67</v>
      </c>
      <c r="B19" s="20" t="s">
        <v>68</v>
      </c>
      <c r="C19" s="20" t="s">
        <v>39</v>
      </c>
      <c r="D19" s="20" t="s">
        <v>21</v>
      </c>
      <c r="E19" s="21">
        <v>10.0</v>
      </c>
      <c r="F19" s="6" t="str">
        <f t="shared" si="1"/>
        <v>MAT018 (20/25 O'LITE TRUNKING PROFILE)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19" t="s">
        <v>69</v>
      </c>
      <c r="B20" s="20" t="s">
        <v>70</v>
      </c>
      <c r="C20" s="20" t="s">
        <v>20</v>
      </c>
      <c r="D20" s="20" t="s">
        <v>21</v>
      </c>
      <c r="E20" s="21">
        <v>5.0</v>
      </c>
      <c r="F20" s="6" t="str">
        <f t="shared" si="1"/>
        <v>MAT019 (20710IN-NA)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19" t="s">
        <v>71</v>
      </c>
      <c r="B21" s="20" t="s">
        <v>53</v>
      </c>
      <c r="C21" s="20" t="s">
        <v>20</v>
      </c>
      <c r="D21" s="20" t="s">
        <v>72</v>
      </c>
      <c r="E21" s="21">
        <v>2.0</v>
      </c>
      <c r="F21" s="6" t="str">
        <f t="shared" si="1"/>
        <v>MAT020 (AC)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19" t="s">
        <v>73</v>
      </c>
      <c r="B22" s="20" t="s">
        <v>74</v>
      </c>
      <c r="C22" s="20" t="s">
        <v>29</v>
      </c>
      <c r="D22" s="20" t="s">
        <v>21</v>
      </c>
      <c r="E22" s="21">
        <v>2.0</v>
      </c>
      <c r="F22" s="6" t="str">
        <f t="shared" si="1"/>
        <v>MAT021 (AC_ 1.5 TON 5_SPLIT)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19" t="s">
        <v>76</v>
      </c>
      <c r="B23" s="20" t="s">
        <v>77</v>
      </c>
      <c r="C23" s="20" t="s">
        <v>29</v>
      </c>
      <c r="D23" s="20" t="s">
        <v>21</v>
      </c>
      <c r="E23" s="21">
        <v>2.0</v>
      </c>
      <c r="F23" s="6" t="str">
        <f t="shared" si="1"/>
        <v>MAT022 (AC_1.0TON 5_SPLIT)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19" t="s">
        <v>78</v>
      </c>
      <c r="B24" s="20" t="s">
        <v>79</v>
      </c>
      <c r="C24" s="20" t="s">
        <v>29</v>
      </c>
      <c r="D24" s="20" t="s">
        <v>21</v>
      </c>
      <c r="E24" s="21">
        <v>10.0</v>
      </c>
      <c r="F24" s="6" t="str">
        <f t="shared" si="1"/>
        <v>MAT023 (AC_1.5 TON_SAMSUNG)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19" t="s">
        <v>81</v>
      </c>
      <c r="B25" s="20" t="s">
        <v>82</v>
      </c>
      <c r="C25" s="20" t="s">
        <v>60</v>
      </c>
      <c r="D25" s="20" t="s">
        <v>21</v>
      </c>
      <c r="E25" s="21">
        <v>2.0</v>
      </c>
      <c r="F25" s="6" t="str">
        <f t="shared" si="1"/>
        <v>MAT024 (AC_1.8TR 5_DAIKIN INVERTER)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19" t="s">
        <v>83</v>
      </c>
      <c r="B26" s="20" t="s">
        <v>84</v>
      </c>
      <c r="C26" s="20" t="s">
        <v>53</v>
      </c>
      <c r="D26" s="20" t="s">
        <v>21</v>
      </c>
      <c r="E26" s="21">
        <v>2.0</v>
      </c>
      <c r="F26" s="6" t="str">
        <f t="shared" si="1"/>
        <v>MAT025 (AC_2-TON-5_SPLIT)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19" t="s">
        <v>85</v>
      </c>
      <c r="B27" s="20" t="s">
        <v>86</v>
      </c>
      <c r="C27" s="20" t="s">
        <v>53</v>
      </c>
      <c r="D27" s="20" t="s">
        <v>21</v>
      </c>
      <c r="E27" s="21">
        <v>2.0</v>
      </c>
      <c r="F27" s="6" t="str">
        <f t="shared" si="1"/>
        <v>MAT026 (AC_2TON_SAMSUNG)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19" t="s">
        <v>87</v>
      </c>
      <c r="B28" s="20" t="s">
        <v>88</v>
      </c>
      <c r="C28" s="20" t="s">
        <v>53</v>
      </c>
      <c r="D28" s="20" t="s">
        <v>21</v>
      </c>
      <c r="E28" s="21">
        <v>2.0</v>
      </c>
      <c r="F28" s="6" t="str">
        <f t="shared" si="1"/>
        <v>MAT027 (AC_2TR5_DAIKIN INVERTER_SPLIT)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19" t="s">
        <v>89</v>
      </c>
      <c r="B29" s="20" t="s">
        <v>90</v>
      </c>
      <c r="C29" s="20" t="s">
        <v>53</v>
      </c>
      <c r="D29" s="20" t="s">
        <v>21</v>
      </c>
      <c r="E29" s="21">
        <v>2.0</v>
      </c>
      <c r="F29" s="6" t="str">
        <f t="shared" si="1"/>
        <v>MAT028 (AC_INVERTER SPLIT_1LTR_HYUNDAI)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19" t="s">
        <v>91</v>
      </c>
      <c r="B30" s="20" t="s">
        <v>92</v>
      </c>
      <c r="C30" s="20" t="s">
        <v>53</v>
      </c>
      <c r="D30" s="20" t="s">
        <v>21</v>
      </c>
      <c r="E30" s="21">
        <v>2.0</v>
      </c>
      <c r="F30" s="6" t="str">
        <f t="shared" si="1"/>
        <v>MAT029 (AC-1WAY-0.8TR-CASSETTE)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19" t="s">
        <v>93</v>
      </c>
      <c r="B31" s="20" t="s">
        <v>94</v>
      </c>
      <c r="C31" s="20" t="s">
        <v>53</v>
      </c>
      <c r="D31" s="20" t="s">
        <v>95</v>
      </c>
      <c r="E31" s="21">
        <v>2.0</v>
      </c>
      <c r="F31" s="6" t="str">
        <f t="shared" si="1"/>
        <v>MAT030 (AC-CASSETTE_2TR_1WAY)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19" t="s">
        <v>96</v>
      </c>
      <c r="B32" s="20" t="s">
        <v>97</v>
      </c>
      <c r="C32" s="20" t="s">
        <v>29</v>
      </c>
      <c r="D32" s="20" t="s">
        <v>21</v>
      </c>
      <c r="E32" s="21">
        <v>10.0</v>
      </c>
      <c r="F32" s="6" t="str">
        <f t="shared" si="1"/>
        <v>MAT031 (ACID)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19" t="s">
        <v>98</v>
      </c>
      <c r="B33" s="20" t="s">
        <v>99</v>
      </c>
      <c r="C33" s="20" t="s">
        <v>29</v>
      </c>
      <c r="D33" s="20" t="s">
        <v>21</v>
      </c>
      <c r="E33" s="21">
        <v>15.0</v>
      </c>
      <c r="F33" s="6" t="str">
        <f t="shared" si="1"/>
        <v>MAT032 (ACP_12X4)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19" t="s">
        <v>101</v>
      </c>
      <c r="B34" s="20" t="s">
        <v>102</v>
      </c>
      <c r="C34" s="20" t="s">
        <v>29</v>
      </c>
      <c r="D34" s="20" t="s">
        <v>21</v>
      </c>
      <c r="E34" s="21">
        <v>10.0</v>
      </c>
      <c r="F34" s="6" t="str">
        <f t="shared" si="1"/>
        <v>MAT033 (ACP_8X4)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19" t="s">
        <v>103</v>
      </c>
      <c r="B35" s="20" t="s">
        <v>104</v>
      </c>
      <c r="C35" s="20" t="s">
        <v>29</v>
      </c>
      <c r="D35" s="20" t="s">
        <v>21</v>
      </c>
      <c r="E35" s="21">
        <v>10.0</v>
      </c>
      <c r="F35" s="6" t="str">
        <f t="shared" si="1"/>
        <v>MAT034 (ADAPTER)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19" t="s">
        <v>106</v>
      </c>
      <c r="B36" s="20" t="s">
        <v>107</v>
      </c>
      <c r="C36" s="20" t="s">
        <v>29</v>
      </c>
      <c r="D36" s="20" t="s">
        <v>21</v>
      </c>
      <c r="E36" s="21">
        <v>20.0</v>
      </c>
      <c r="F36" s="6" t="str">
        <f t="shared" si="1"/>
        <v>MAT035 (ADHESIVE)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19" t="s">
        <v>109</v>
      </c>
      <c r="B37" s="20" t="s">
        <v>110</v>
      </c>
      <c r="C37" s="20" t="s">
        <v>29</v>
      </c>
      <c r="D37" s="20" t="s">
        <v>21</v>
      </c>
      <c r="E37" s="21">
        <v>20.0</v>
      </c>
      <c r="F37" s="6" t="str">
        <f t="shared" si="1"/>
        <v>MAT036 (ADHESIVE _TUBE)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19" t="s">
        <v>111</v>
      </c>
      <c r="B38" s="20" t="s">
        <v>112</v>
      </c>
      <c r="C38" s="20" t="s">
        <v>29</v>
      </c>
      <c r="D38" s="20" t="s">
        <v>21</v>
      </c>
      <c r="E38" s="21">
        <v>10.0</v>
      </c>
      <c r="F38" s="6" t="str">
        <f t="shared" si="1"/>
        <v>MAT037 (ADHESIVE_MARINE)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19" t="s">
        <v>113</v>
      </c>
      <c r="B39" s="20" t="s">
        <v>114</v>
      </c>
      <c r="C39" s="20" t="s">
        <v>29</v>
      </c>
      <c r="D39" s="20" t="s">
        <v>95</v>
      </c>
      <c r="E39" s="21">
        <v>10.0</v>
      </c>
      <c r="F39" s="6" t="str">
        <f t="shared" si="1"/>
        <v>MAT038 (ADLAD SCNTD)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19" t="s">
        <v>115</v>
      </c>
      <c r="B40" s="20" t="s">
        <v>116</v>
      </c>
      <c r="C40" s="20" t="s">
        <v>29</v>
      </c>
      <c r="D40" s="20" t="s">
        <v>21</v>
      </c>
      <c r="E40" s="21">
        <v>5.0</v>
      </c>
      <c r="F40" s="6" t="str">
        <f t="shared" si="1"/>
        <v>MAT039 (ADMIX)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19" t="s">
        <v>117</v>
      </c>
      <c r="B41" s="20" t="s">
        <v>118</v>
      </c>
      <c r="C41" s="20" t="s">
        <v>29</v>
      </c>
      <c r="D41" s="20" t="s">
        <v>119</v>
      </c>
      <c r="E41" s="21">
        <v>10.0</v>
      </c>
      <c r="F41" s="6" t="str">
        <f t="shared" si="1"/>
        <v>MAT040 (AEROLITE)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19" t="s">
        <v>120</v>
      </c>
      <c r="B42" s="20" t="s">
        <v>121</v>
      </c>
      <c r="C42" s="20" t="s">
        <v>29</v>
      </c>
      <c r="D42" s="20" t="s">
        <v>21</v>
      </c>
      <c r="E42" s="21">
        <v>2.0</v>
      </c>
      <c r="F42" s="6" t="str">
        <f t="shared" si="1"/>
        <v>MAT041 (AIR COOLED-LG VRF( OUTDOOR UNITS))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19" t="s">
        <v>122</v>
      </c>
      <c r="B43" s="20" t="s">
        <v>123</v>
      </c>
      <c r="C43" s="20" t="s">
        <v>20</v>
      </c>
      <c r="D43" s="20" t="s">
        <v>21</v>
      </c>
      <c r="E43" s="21">
        <v>5.0</v>
      </c>
      <c r="F43" s="6" t="str">
        <f t="shared" si="1"/>
        <v>MAT042 (ALASKA_GREY)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19" t="s">
        <v>124</v>
      </c>
      <c r="B44" s="20" t="s">
        <v>125</v>
      </c>
      <c r="C44" s="20" t="s">
        <v>29</v>
      </c>
      <c r="D44" s="20" t="s">
        <v>21</v>
      </c>
      <c r="E44" s="21">
        <v>10.0</v>
      </c>
      <c r="F44" s="6" t="str">
        <f t="shared" si="1"/>
        <v>MAT043 (ALL BERRY STEM BLUE GG10)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19" t="s">
        <v>128</v>
      </c>
      <c r="B45" s="20" t="s">
        <v>129</v>
      </c>
      <c r="C45" s="20" t="s">
        <v>20</v>
      </c>
      <c r="D45" s="20" t="s">
        <v>21</v>
      </c>
      <c r="E45" s="21">
        <v>5.0</v>
      </c>
      <c r="F45" s="6" t="str">
        <f t="shared" si="1"/>
        <v>MAT044 (ALL BERRY STEM GREEN GG1)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19" t="s">
        <v>130</v>
      </c>
      <c r="B46" s="20" t="s">
        <v>131</v>
      </c>
      <c r="C46" s="20" t="s">
        <v>39</v>
      </c>
      <c r="D46" s="20" t="s">
        <v>21</v>
      </c>
      <c r="E46" s="21">
        <v>5.0</v>
      </c>
      <c r="F46" s="6" t="str">
        <f t="shared" si="1"/>
        <v>MAT045 (ALL BROAD PLANTER W STAN)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19" t="s">
        <v>134</v>
      </c>
      <c r="B47" s="20" t="s">
        <v>135</v>
      </c>
      <c r="C47" s="20" t="s">
        <v>39</v>
      </c>
      <c r="D47" s="20" t="s">
        <v>21</v>
      </c>
      <c r="E47" s="21">
        <v>5.0</v>
      </c>
      <c r="F47" s="6" t="str">
        <f t="shared" si="1"/>
        <v>MAT046 (ALL FRILL UPR E)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19" t="s">
        <v>137</v>
      </c>
      <c r="B48" s="20" t="s">
        <v>138</v>
      </c>
      <c r="C48" s="20" t="s">
        <v>39</v>
      </c>
      <c r="D48" s="20" t="s">
        <v>21</v>
      </c>
      <c r="E48" s="21">
        <v>10.0</v>
      </c>
      <c r="F48" s="6" t="str">
        <f t="shared" si="1"/>
        <v>MAT047 (ALL FRUIT FORK S/4)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19" t="s">
        <v>139</v>
      </c>
      <c r="B49" s="20" t="s">
        <v>140</v>
      </c>
      <c r="C49" s="20" t="s">
        <v>29</v>
      </c>
      <c r="D49" s="20" t="s">
        <v>21</v>
      </c>
      <c r="E49" s="21">
        <v>10.0</v>
      </c>
      <c r="F49" s="6" t="str">
        <f t="shared" si="1"/>
        <v>MAT048 (ALL KULLAR CHAI S/4)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33" t="s">
        <v>141</v>
      </c>
      <c r="B50" s="34" t="s">
        <v>142</v>
      </c>
      <c r="C50" s="34" t="s">
        <v>29</v>
      </c>
      <c r="D50" s="34" t="s">
        <v>21</v>
      </c>
      <c r="E50" s="35">
        <v>10.0</v>
      </c>
      <c r="F50" s="6" t="str">
        <f t="shared" si="1"/>
        <v>MAT049 (ALL MOTTLED)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36"/>
      <c r="B51" s="36"/>
      <c r="C51" s="36"/>
      <c r="D51" s="36"/>
      <c r="E51" s="36"/>
      <c r="F51" s="6" t="str">
        <f t="shared" si="1"/>
        <v/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37"/>
      <c r="B52" s="37"/>
      <c r="C52" s="37"/>
      <c r="D52" s="37"/>
      <c r="E52" s="37"/>
      <c r="F52" s="6" t="str">
        <f t="shared" si="1"/>
        <v/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37"/>
      <c r="B53" s="37"/>
      <c r="C53" s="37"/>
      <c r="D53" s="37"/>
      <c r="E53" s="37"/>
      <c r="F53" s="6" t="str">
        <f t="shared" si="1"/>
        <v/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37"/>
      <c r="B54" s="37"/>
      <c r="C54" s="37"/>
      <c r="D54" s="37"/>
      <c r="E54" s="37"/>
      <c r="F54" s="6" t="str">
        <f t="shared" si="1"/>
        <v/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37"/>
      <c r="B55" s="37"/>
      <c r="C55" s="37"/>
      <c r="D55" s="37"/>
      <c r="E55" s="37"/>
      <c r="F55" s="6" t="str">
        <f t="shared" si="1"/>
        <v/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37"/>
      <c r="B56" s="37"/>
      <c r="C56" s="37"/>
      <c r="D56" s="37"/>
      <c r="E56" s="37"/>
      <c r="F56" s="6" t="str">
        <f t="shared" si="1"/>
        <v/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37"/>
      <c r="B57" s="37"/>
      <c r="C57" s="37"/>
      <c r="D57" s="37"/>
      <c r="E57" s="37"/>
      <c r="F57" s="6" t="str">
        <f t="shared" si="1"/>
        <v/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37"/>
      <c r="B58" s="37"/>
      <c r="C58" s="37"/>
      <c r="D58" s="37"/>
      <c r="E58" s="37"/>
      <c r="F58" s="6" t="str">
        <f t="shared" si="1"/>
        <v/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37"/>
      <c r="B59" s="37"/>
      <c r="C59" s="37"/>
      <c r="D59" s="37"/>
      <c r="E59" s="37"/>
      <c r="F59" s="6" t="str">
        <f t="shared" si="1"/>
        <v/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37"/>
      <c r="B60" s="37"/>
      <c r="C60" s="37"/>
      <c r="D60" s="37"/>
      <c r="E60" s="37"/>
      <c r="F60" s="6" t="str">
        <f t="shared" si="1"/>
        <v/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37"/>
      <c r="B61" s="37"/>
      <c r="C61" s="37"/>
      <c r="D61" s="37"/>
      <c r="E61" s="37"/>
      <c r="F61" s="6" t="str">
        <f t="shared" si="1"/>
        <v/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37"/>
      <c r="B62" s="37"/>
      <c r="C62" s="37"/>
      <c r="D62" s="37"/>
      <c r="E62" s="37"/>
      <c r="F62" s="6" t="str">
        <f t="shared" si="1"/>
        <v/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37"/>
      <c r="B63" s="37"/>
      <c r="C63" s="37"/>
      <c r="D63" s="37"/>
      <c r="E63" s="37"/>
      <c r="F63" s="6" t="str">
        <f t="shared" si="1"/>
        <v/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37"/>
      <c r="B64" s="37"/>
      <c r="C64" s="37"/>
      <c r="D64" s="37"/>
      <c r="E64" s="37"/>
      <c r="F64" s="6" t="str">
        <f t="shared" si="1"/>
        <v/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37"/>
      <c r="B65" s="37"/>
      <c r="C65" s="37"/>
      <c r="D65" s="37"/>
      <c r="E65" s="37"/>
      <c r="F65" s="6" t="str">
        <f t="shared" si="1"/>
        <v/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37"/>
      <c r="B66" s="37"/>
      <c r="C66" s="37"/>
      <c r="D66" s="37"/>
      <c r="E66" s="37"/>
      <c r="F66" s="6" t="str">
        <f t="shared" si="1"/>
        <v/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37"/>
      <c r="B67" s="37"/>
      <c r="C67" s="37"/>
      <c r="D67" s="37"/>
      <c r="E67" s="37"/>
      <c r="F67" s="6" t="str">
        <f t="shared" si="1"/>
        <v/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37"/>
      <c r="B68" s="37"/>
      <c r="C68" s="37"/>
      <c r="D68" s="37"/>
      <c r="E68" s="37"/>
      <c r="F68" s="6" t="str">
        <f t="shared" si="1"/>
        <v/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37"/>
      <c r="B69" s="37"/>
      <c r="C69" s="37"/>
      <c r="D69" s="37"/>
      <c r="E69" s="37"/>
      <c r="F69" s="6" t="str">
        <f t="shared" si="1"/>
        <v/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37"/>
      <c r="B70" s="37"/>
      <c r="C70" s="37"/>
      <c r="D70" s="37"/>
      <c r="E70" s="37"/>
      <c r="F70" s="6" t="str">
        <f t="shared" si="1"/>
        <v/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37"/>
      <c r="B71" s="37"/>
      <c r="C71" s="37"/>
      <c r="D71" s="37"/>
      <c r="E71" s="37"/>
      <c r="F71" s="6" t="str">
        <f t="shared" si="1"/>
        <v/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37"/>
      <c r="B72" s="37"/>
      <c r="C72" s="37"/>
      <c r="D72" s="37"/>
      <c r="E72" s="37"/>
      <c r="F72" s="6" t="str">
        <f t="shared" si="1"/>
        <v/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37"/>
      <c r="B73" s="37"/>
      <c r="C73" s="37"/>
      <c r="D73" s="37"/>
      <c r="E73" s="37"/>
      <c r="F73" s="6" t="str">
        <f t="shared" si="1"/>
        <v/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37"/>
      <c r="B74" s="37"/>
      <c r="C74" s="37"/>
      <c r="D74" s="37"/>
      <c r="E74" s="37"/>
      <c r="F74" s="6" t="str">
        <f t="shared" si="1"/>
        <v/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37"/>
      <c r="B75" s="37"/>
      <c r="C75" s="37"/>
      <c r="D75" s="37"/>
      <c r="E75" s="37"/>
      <c r="F75" s="6" t="str">
        <f t="shared" si="1"/>
        <v/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37"/>
      <c r="B76" s="37"/>
      <c r="C76" s="37"/>
      <c r="D76" s="37"/>
      <c r="E76" s="37"/>
      <c r="F76" s="6" t="str">
        <f t="shared" si="1"/>
        <v/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37"/>
      <c r="B77" s="37"/>
      <c r="C77" s="37"/>
      <c r="D77" s="37"/>
      <c r="E77" s="37"/>
      <c r="F77" s="6" t="str">
        <f t="shared" si="1"/>
        <v/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37"/>
      <c r="B78" s="37"/>
      <c r="C78" s="37"/>
      <c r="D78" s="37"/>
      <c r="E78" s="37"/>
      <c r="F78" s="6" t="str">
        <f t="shared" si="1"/>
        <v/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37"/>
      <c r="B79" s="37"/>
      <c r="C79" s="37"/>
      <c r="D79" s="37"/>
      <c r="E79" s="37"/>
      <c r="F79" s="6" t="str">
        <f t="shared" si="1"/>
        <v/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37"/>
      <c r="B80" s="37"/>
      <c r="C80" s="37"/>
      <c r="D80" s="37"/>
      <c r="E80" s="37"/>
      <c r="F80" s="6" t="str">
        <f t="shared" si="1"/>
        <v/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37"/>
      <c r="B81" s="37"/>
      <c r="C81" s="37"/>
      <c r="D81" s="37"/>
      <c r="E81" s="37"/>
      <c r="F81" s="6" t="str">
        <f t="shared" si="1"/>
        <v/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37"/>
      <c r="B82" s="37"/>
      <c r="C82" s="37"/>
      <c r="D82" s="37"/>
      <c r="E82" s="37"/>
      <c r="F82" s="6" t="str">
        <f t="shared" si="1"/>
        <v/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37"/>
      <c r="B83" s="37"/>
      <c r="C83" s="37"/>
      <c r="D83" s="37"/>
      <c r="E83" s="37"/>
      <c r="F83" s="6" t="str">
        <f t="shared" si="1"/>
        <v/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37"/>
      <c r="B84" s="37"/>
      <c r="C84" s="37"/>
      <c r="D84" s="37"/>
      <c r="E84" s="37"/>
      <c r="F84" s="6" t="str">
        <f t="shared" si="1"/>
        <v/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37"/>
      <c r="B85" s="37"/>
      <c r="C85" s="37"/>
      <c r="D85" s="37"/>
      <c r="E85" s="37"/>
      <c r="F85" s="6" t="str">
        <f t="shared" si="1"/>
        <v/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37"/>
      <c r="B86" s="37"/>
      <c r="C86" s="37"/>
      <c r="D86" s="37"/>
      <c r="E86" s="37"/>
      <c r="F86" s="6" t="str">
        <f t="shared" si="1"/>
        <v/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37"/>
      <c r="B87" s="37"/>
      <c r="C87" s="37"/>
      <c r="D87" s="37"/>
      <c r="E87" s="37"/>
      <c r="F87" s="6" t="str">
        <f t="shared" si="1"/>
        <v/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37"/>
      <c r="B88" s="37"/>
      <c r="C88" s="37"/>
      <c r="D88" s="37"/>
      <c r="E88" s="37"/>
      <c r="F88" s="6" t="str">
        <f t="shared" si="1"/>
        <v/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37"/>
      <c r="B89" s="37"/>
      <c r="C89" s="37"/>
      <c r="D89" s="37"/>
      <c r="E89" s="37"/>
      <c r="F89" s="6" t="str">
        <f t="shared" si="1"/>
        <v/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37"/>
      <c r="B90" s="37"/>
      <c r="C90" s="37"/>
      <c r="D90" s="37"/>
      <c r="E90" s="37"/>
      <c r="F90" s="6" t="str">
        <f t="shared" si="1"/>
        <v/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37"/>
      <c r="B91" s="37"/>
      <c r="C91" s="37"/>
      <c r="D91" s="37"/>
      <c r="E91" s="37"/>
      <c r="F91" s="6" t="str">
        <f t="shared" si="1"/>
        <v/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37"/>
      <c r="B92" s="37"/>
      <c r="C92" s="37"/>
      <c r="D92" s="37"/>
      <c r="E92" s="37"/>
      <c r="F92" s="6" t="str">
        <f t="shared" si="1"/>
        <v/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37"/>
      <c r="B93" s="37"/>
      <c r="C93" s="37"/>
      <c r="D93" s="37"/>
      <c r="E93" s="37"/>
      <c r="F93" s="6" t="str">
        <f t="shared" si="1"/>
        <v/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37"/>
      <c r="B94" s="37"/>
      <c r="C94" s="37"/>
      <c r="D94" s="37"/>
      <c r="E94" s="37"/>
      <c r="F94" s="6" t="str">
        <f t="shared" si="1"/>
        <v/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4.0" customHeight="1">
      <c r="A95" s="37"/>
      <c r="B95" s="37"/>
      <c r="C95" s="37"/>
      <c r="D95" s="37"/>
      <c r="E95" s="37"/>
      <c r="F95" s="6" t="str">
        <f t="shared" si="1"/>
        <v/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37"/>
      <c r="B96" s="37"/>
      <c r="C96" s="37"/>
      <c r="D96" s="37"/>
      <c r="E96" s="37"/>
      <c r="F96" s="6" t="str">
        <f t="shared" si="1"/>
        <v/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4.0" customHeight="1">
      <c r="A97" s="37"/>
      <c r="B97" s="37"/>
      <c r="C97" s="37"/>
      <c r="D97" s="37"/>
      <c r="E97" s="37"/>
      <c r="F97" s="6" t="str">
        <f t="shared" si="1"/>
        <v/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4.0" customHeight="1">
      <c r="A98" s="37"/>
      <c r="B98" s="37"/>
      <c r="C98" s="37"/>
      <c r="D98" s="37"/>
      <c r="E98" s="37"/>
      <c r="F98" s="6" t="str">
        <f t="shared" si="1"/>
        <v/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0" customHeight="1">
      <c r="A99" s="37"/>
      <c r="B99" s="37"/>
      <c r="C99" s="37"/>
      <c r="D99" s="37"/>
      <c r="E99" s="37"/>
      <c r="F99" s="6" t="str">
        <f t="shared" si="1"/>
        <v/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4.0" customHeight="1">
      <c r="A100" s="37"/>
      <c r="B100" s="37"/>
      <c r="C100" s="37"/>
      <c r="D100" s="37"/>
      <c r="E100" s="37"/>
      <c r="F100" s="6" t="str">
        <f t="shared" si="1"/>
        <v/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0" customHeight="1">
      <c r="A101" s="37"/>
      <c r="B101" s="37"/>
      <c r="C101" s="37"/>
      <c r="D101" s="37"/>
      <c r="E101" s="37"/>
      <c r="F101" s="6" t="str">
        <f t="shared" si="1"/>
        <v/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4.0" customHeight="1">
      <c r="A102" s="37"/>
      <c r="B102" s="37"/>
      <c r="C102" s="37"/>
      <c r="D102" s="37"/>
      <c r="E102" s="37"/>
      <c r="F102" s="6" t="str">
        <f t="shared" si="1"/>
        <v/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4.0" customHeight="1">
      <c r="A103" s="37"/>
      <c r="B103" s="37"/>
      <c r="C103" s="37"/>
      <c r="D103" s="37"/>
      <c r="E103" s="37"/>
      <c r="F103" s="6" t="str">
        <f t="shared" si="1"/>
        <v/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4.0" customHeight="1">
      <c r="A104" s="37"/>
      <c r="B104" s="37"/>
      <c r="C104" s="37"/>
      <c r="D104" s="37"/>
      <c r="E104" s="37"/>
      <c r="F104" s="6" t="str">
        <f t="shared" si="1"/>
        <v/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4.0" customHeight="1">
      <c r="A105" s="37"/>
      <c r="B105" s="37"/>
      <c r="C105" s="37"/>
      <c r="D105" s="37"/>
      <c r="E105" s="37"/>
      <c r="F105" s="6" t="str">
        <f t="shared" si="1"/>
        <v/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4.0" customHeight="1">
      <c r="A106" s="37"/>
      <c r="B106" s="37"/>
      <c r="C106" s="37"/>
      <c r="D106" s="37"/>
      <c r="E106" s="37"/>
      <c r="F106" s="6" t="str">
        <f t="shared" si="1"/>
        <v/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4.0" customHeight="1">
      <c r="A107" s="37"/>
      <c r="B107" s="37"/>
      <c r="C107" s="37"/>
      <c r="D107" s="37"/>
      <c r="E107" s="37"/>
      <c r="F107" s="6" t="str">
        <f t="shared" si="1"/>
        <v/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4.0" customHeight="1">
      <c r="A108" s="37"/>
      <c r="B108" s="37"/>
      <c r="C108" s="37"/>
      <c r="D108" s="37"/>
      <c r="E108" s="37"/>
      <c r="F108" s="6" t="str">
        <f t="shared" si="1"/>
        <v/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4.0" customHeight="1">
      <c r="A109" s="37"/>
      <c r="B109" s="37"/>
      <c r="C109" s="37"/>
      <c r="D109" s="37"/>
      <c r="E109" s="37"/>
      <c r="F109" s="6" t="str">
        <f t="shared" si="1"/>
        <v/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4.0" customHeight="1">
      <c r="A110" s="37"/>
      <c r="B110" s="37"/>
      <c r="C110" s="37"/>
      <c r="D110" s="37"/>
      <c r="E110" s="37"/>
      <c r="F110" s="6" t="str">
        <f t="shared" si="1"/>
        <v/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A111" s="37"/>
      <c r="B111" s="37"/>
      <c r="C111" s="37"/>
      <c r="D111" s="37"/>
      <c r="E111" s="37"/>
      <c r="F111" s="6" t="str">
        <f t="shared" si="1"/>
        <v/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A112" s="37"/>
      <c r="B112" s="37"/>
      <c r="C112" s="37"/>
      <c r="D112" s="37"/>
      <c r="E112" s="37"/>
      <c r="F112" s="6" t="str">
        <f t="shared" si="1"/>
        <v/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4.0" customHeight="1">
      <c r="A113" s="37"/>
      <c r="B113" s="37"/>
      <c r="C113" s="37"/>
      <c r="D113" s="37"/>
      <c r="E113" s="37"/>
      <c r="F113" s="6" t="str">
        <f t="shared" si="1"/>
        <v/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4.0" customHeight="1">
      <c r="A114" s="37"/>
      <c r="B114" s="37"/>
      <c r="C114" s="37"/>
      <c r="D114" s="37"/>
      <c r="E114" s="37"/>
      <c r="F114" s="6" t="str">
        <f t="shared" si="1"/>
        <v/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4.0" customHeight="1">
      <c r="A115" s="37"/>
      <c r="B115" s="37"/>
      <c r="C115" s="37"/>
      <c r="D115" s="37"/>
      <c r="E115" s="37"/>
      <c r="F115" s="6" t="str">
        <f t="shared" si="1"/>
        <v/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4.0" customHeight="1">
      <c r="A116" s="37"/>
      <c r="B116" s="37"/>
      <c r="C116" s="37"/>
      <c r="D116" s="37"/>
      <c r="E116" s="37"/>
      <c r="F116" s="6" t="str">
        <f t="shared" si="1"/>
        <v/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0" customHeight="1">
      <c r="A117" s="37"/>
      <c r="B117" s="37"/>
      <c r="C117" s="37"/>
      <c r="D117" s="37"/>
      <c r="E117" s="37"/>
      <c r="F117" s="6" t="str">
        <f t="shared" si="1"/>
        <v/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0" customHeight="1">
      <c r="A118" s="37"/>
      <c r="B118" s="37"/>
      <c r="C118" s="37"/>
      <c r="D118" s="37"/>
      <c r="E118" s="37"/>
      <c r="F118" s="6" t="str">
        <f t="shared" si="1"/>
        <v/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0" customHeight="1">
      <c r="A119" s="37"/>
      <c r="B119" s="37"/>
      <c r="C119" s="37"/>
      <c r="D119" s="37"/>
      <c r="E119" s="37"/>
      <c r="F119" s="6" t="str">
        <f t="shared" si="1"/>
        <v/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0" customHeight="1">
      <c r="A120" s="37"/>
      <c r="B120" s="37"/>
      <c r="C120" s="37"/>
      <c r="D120" s="37"/>
      <c r="E120" s="37"/>
      <c r="F120" s="6" t="str">
        <f t="shared" si="1"/>
        <v/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0" customHeight="1">
      <c r="A121" s="37"/>
      <c r="B121" s="37"/>
      <c r="C121" s="37"/>
      <c r="D121" s="37"/>
      <c r="E121" s="37"/>
      <c r="F121" s="6" t="str">
        <f t="shared" si="1"/>
        <v/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0" customHeight="1">
      <c r="A122" s="37"/>
      <c r="B122" s="37"/>
      <c r="C122" s="37"/>
      <c r="D122" s="37"/>
      <c r="E122" s="37"/>
      <c r="F122" s="6" t="str">
        <f t="shared" si="1"/>
        <v/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0" customHeight="1">
      <c r="A123" s="37"/>
      <c r="B123" s="37"/>
      <c r="C123" s="37"/>
      <c r="D123" s="37"/>
      <c r="E123" s="37"/>
      <c r="F123" s="6" t="str">
        <f t="shared" si="1"/>
        <v/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4.0" customHeight="1">
      <c r="A124" s="37"/>
      <c r="B124" s="37"/>
      <c r="C124" s="37"/>
      <c r="D124" s="37"/>
      <c r="E124" s="37"/>
      <c r="F124" s="6" t="str">
        <f t="shared" si="1"/>
        <v/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4.0" customHeight="1">
      <c r="A125" s="37"/>
      <c r="B125" s="37"/>
      <c r="C125" s="37"/>
      <c r="D125" s="37"/>
      <c r="E125" s="37"/>
      <c r="F125" s="6" t="str">
        <f t="shared" si="1"/>
        <v/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4.0" customHeight="1">
      <c r="A126" s="37"/>
      <c r="B126" s="37"/>
      <c r="C126" s="37"/>
      <c r="D126" s="37"/>
      <c r="E126" s="37"/>
      <c r="F126" s="6" t="str">
        <f t="shared" si="1"/>
        <v/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4.0" customHeight="1">
      <c r="A127" s="37"/>
      <c r="B127" s="37"/>
      <c r="C127" s="37"/>
      <c r="D127" s="37"/>
      <c r="E127" s="37"/>
      <c r="F127" s="6" t="str">
        <f t="shared" si="1"/>
        <v/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4.0" customHeight="1">
      <c r="A128" s="37"/>
      <c r="B128" s="37"/>
      <c r="C128" s="37"/>
      <c r="D128" s="37"/>
      <c r="E128" s="37"/>
      <c r="F128" s="6" t="str">
        <f t="shared" si="1"/>
        <v/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4.0" customHeight="1">
      <c r="A129" s="37"/>
      <c r="B129" s="37"/>
      <c r="C129" s="37"/>
      <c r="D129" s="37"/>
      <c r="E129" s="37"/>
      <c r="F129" s="6" t="str">
        <f t="shared" si="1"/>
        <v/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4.0" customHeight="1">
      <c r="A130" s="37"/>
      <c r="B130" s="37"/>
      <c r="C130" s="37"/>
      <c r="D130" s="37"/>
      <c r="E130" s="37"/>
      <c r="F130" s="6" t="str">
        <f t="shared" si="1"/>
        <v/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4.0" customHeight="1">
      <c r="A131" s="37"/>
      <c r="B131" s="37"/>
      <c r="C131" s="37"/>
      <c r="D131" s="37"/>
      <c r="E131" s="37"/>
      <c r="F131" s="6" t="str">
        <f t="shared" si="1"/>
        <v/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4.0" customHeight="1">
      <c r="A132" s="37"/>
      <c r="B132" s="37"/>
      <c r="C132" s="37"/>
      <c r="D132" s="37"/>
      <c r="E132" s="37"/>
      <c r="F132" s="6" t="str">
        <f t="shared" si="1"/>
        <v/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4.0" customHeight="1">
      <c r="A133" s="37"/>
      <c r="B133" s="37"/>
      <c r="C133" s="37"/>
      <c r="D133" s="37"/>
      <c r="E133" s="37"/>
      <c r="F133" s="6" t="str">
        <f t="shared" si="1"/>
        <v/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4.0" customHeight="1">
      <c r="A134" s="37"/>
      <c r="B134" s="37"/>
      <c r="C134" s="37"/>
      <c r="D134" s="37"/>
      <c r="E134" s="37"/>
      <c r="F134" s="6" t="str">
        <f t="shared" si="1"/>
        <v/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4.0" customHeight="1">
      <c r="A135" s="37"/>
      <c r="B135" s="37"/>
      <c r="C135" s="37"/>
      <c r="D135" s="37"/>
      <c r="E135" s="37"/>
      <c r="F135" s="6" t="str">
        <f t="shared" si="1"/>
        <v/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4.0" customHeight="1">
      <c r="A136" s="37"/>
      <c r="B136" s="37"/>
      <c r="C136" s="37"/>
      <c r="D136" s="37"/>
      <c r="E136" s="37"/>
      <c r="F136" s="6" t="str">
        <f t="shared" si="1"/>
        <v/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4.0" customHeight="1">
      <c r="A137" s="37"/>
      <c r="B137" s="37"/>
      <c r="C137" s="37"/>
      <c r="D137" s="37"/>
      <c r="E137" s="37"/>
      <c r="F137" s="6" t="str">
        <f t="shared" si="1"/>
        <v/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0" customHeight="1">
      <c r="A138" s="37"/>
      <c r="B138" s="37"/>
      <c r="C138" s="37"/>
      <c r="D138" s="37"/>
      <c r="E138" s="37"/>
      <c r="F138" s="6" t="str">
        <f t="shared" si="1"/>
        <v/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0" customHeight="1">
      <c r="A139" s="37"/>
      <c r="B139" s="37"/>
      <c r="C139" s="37"/>
      <c r="D139" s="37"/>
      <c r="E139" s="37"/>
      <c r="F139" s="6" t="str">
        <f t="shared" si="1"/>
        <v/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0" customHeight="1">
      <c r="A140" s="37"/>
      <c r="B140" s="37"/>
      <c r="C140" s="37"/>
      <c r="D140" s="37"/>
      <c r="E140" s="37"/>
      <c r="F140" s="6" t="str">
        <f t="shared" si="1"/>
        <v/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0" customHeight="1">
      <c r="A141" s="37"/>
      <c r="B141" s="37"/>
      <c r="C141" s="37"/>
      <c r="D141" s="37"/>
      <c r="E141" s="37"/>
      <c r="F141" s="6" t="str">
        <f t="shared" si="1"/>
        <v/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0" customHeight="1">
      <c r="A142" s="37"/>
      <c r="B142" s="37"/>
      <c r="C142" s="37"/>
      <c r="D142" s="37"/>
      <c r="E142" s="37"/>
      <c r="F142" s="6" t="str">
        <f t="shared" si="1"/>
        <v/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0" customHeight="1">
      <c r="A143" s="37"/>
      <c r="B143" s="37"/>
      <c r="C143" s="37"/>
      <c r="D143" s="37"/>
      <c r="E143" s="37"/>
      <c r="F143" s="6" t="str">
        <f t="shared" si="1"/>
        <v/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0" customHeight="1">
      <c r="A144" s="37"/>
      <c r="B144" s="37"/>
      <c r="C144" s="37"/>
      <c r="D144" s="37"/>
      <c r="E144" s="37"/>
      <c r="F144" s="6" t="str">
        <f t="shared" si="1"/>
        <v/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0" customHeight="1">
      <c r="A145" s="37"/>
      <c r="B145" s="37"/>
      <c r="C145" s="37"/>
      <c r="D145" s="37"/>
      <c r="E145" s="37"/>
      <c r="F145" s="6" t="str">
        <f t="shared" si="1"/>
        <v/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0" customHeight="1">
      <c r="A146" s="37"/>
      <c r="B146" s="37"/>
      <c r="C146" s="37"/>
      <c r="D146" s="37"/>
      <c r="E146" s="37"/>
      <c r="F146" s="6" t="str">
        <f t="shared" si="1"/>
        <v/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0" customHeight="1">
      <c r="A147" s="37"/>
      <c r="B147" s="37"/>
      <c r="C147" s="37"/>
      <c r="D147" s="37"/>
      <c r="E147" s="37"/>
      <c r="F147" s="6" t="str">
        <f t="shared" si="1"/>
        <v/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0" customHeight="1">
      <c r="A148" s="37"/>
      <c r="B148" s="37"/>
      <c r="C148" s="37"/>
      <c r="D148" s="37"/>
      <c r="E148" s="37"/>
      <c r="F148" s="6" t="str">
        <f t="shared" si="1"/>
        <v/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0" customHeight="1">
      <c r="A149" s="37"/>
      <c r="B149" s="37"/>
      <c r="C149" s="37"/>
      <c r="D149" s="37"/>
      <c r="E149" s="37"/>
      <c r="F149" s="6" t="str">
        <f t="shared" si="1"/>
        <v/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0" customHeight="1">
      <c r="A150" s="37"/>
      <c r="B150" s="37"/>
      <c r="C150" s="37"/>
      <c r="D150" s="37"/>
      <c r="E150" s="37"/>
      <c r="F150" s="6" t="str">
        <f t="shared" si="1"/>
        <v/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0" customHeight="1">
      <c r="A151" s="37"/>
      <c r="B151" s="37"/>
      <c r="C151" s="37"/>
      <c r="D151" s="37"/>
      <c r="E151" s="37"/>
      <c r="F151" s="6" t="str">
        <f t="shared" si="1"/>
        <v/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0" customHeight="1">
      <c r="A152" s="37"/>
      <c r="B152" s="37"/>
      <c r="C152" s="37"/>
      <c r="D152" s="37"/>
      <c r="E152" s="37"/>
      <c r="F152" s="6" t="str">
        <f t="shared" si="1"/>
        <v/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0" customHeight="1">
      <c r="A153" s="37"/>
      <c r="B153" s="37"/>
      <c r="C153" s="37"/>
      <c r="D153" s="37"/>
      <c r="E153" s="37"/>
      <c r="F153" s="6" t="str">
        <f t="shared" si="1"/>
        <v/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0" customHeight="1">
      <c r="A154" s="37"/>
      <c r="B154" s="37"/>
      <c r="C154" s="37"/>
      <c r="D154" s="37"/>
      <c r="E154" s="37"/>
      <c r="F154" s="6" t="str">
        <f t="shared" si="1"/>
        <v/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0" customHeight="1">
      <c r="A155" s="37"/>
      <c r="B155" s="37"/>
      <c r="C155" s="37"/>
      <c r="D155" s="37"/>
      <c r="E155" s="37"/>
      <c r="F155" s="6" t="str">
        <f t="shared" si="1"/>
        <v/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0" customHeight="1">
      <c r="A156" s="37"/>
      <c r="B156" s="37"/>
      <c r="C156" s="37"/>
      <c r="D156" s="37"/>
      <c r="E156" s="37"/>
      <c r="F156" s="6" t="str">
        <f t="shared" si="1"/>
        <v/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0" customHeight="1">
      <c r="A157" s="37"/>
      <c r="B157" s="37"/>
      <c r="C157" s="37"/>
      <c r="D157" s="37"/>
      <c r="E157" s="37"/>
      <c r="F157" s="6" t="str">
        <f t="shared" si="1"/>
        <v/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0" customHeight="1">
      <c r="A158" s="37"/>
      <c r="B158" s="37"/>
      <c r="C158" s="37"/>
      <c r="D158" s="37"/>
      <c r="E158" s="37"/>
      <c r="F158" s="6" t="str">
        <f t="shared" si="1"/>
        <v/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0" customHeight="1">
      <c r="A159" s="37"/>
      <c r="B159" s="37"/>
      <c r="C159" s="37"/>
      <c r="D159" s="37"/>
      <c r="E159" s="37"/>
      <c r="F159" s="6" t="str">
        <f t="shared" si="1"/>
        <v/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0" customHeight="1">
      <c r="A160" s="37"/>
      <c r="B160" s="37"/>
      <c r="C160" s="37"/>
      <c r="D160" s="37"/>
      <c r="E160" s="37"/>
      <c r="F160" s="6" t="str">
        <f t="shared" si="1"/>
        <v/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0" customHeight="1">
      <c r="A161" s="37"/>
      <c r="B161" s="37"/>
      <c r="C161" s="37"/>
      <c r="D161" s="37"/>
      <c r="E161" s="37"/>
      <c r="F161" s="6" t="str">
        <f t="shared" si="1"/>
        <v/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0" customHeight="1">
      <c r="A162" s="37"/>
      <c r="B162" s="37"/>
      <c r="C162" s="37"/>
      <c r="D162" s="37"/>
      <c r="E162" s="37"/>
      <c r="F162" s="6" t="str">
        <f t="shared" si="1"/>
        <v/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4.0" customHeight="1">
      <c r="A163" s="37"/>
      <c r="B163" s="37"/>
      <c r="C163" s="37"/>
      <c r="D163" s="37"/>
      <c r="E163" s="37"/>
      <c r="F163" s="6" t="str">
        <f t="shared" si="1"/>
        <v/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4.0" customHeight="1">
      <c r="A164" s="37"/>
      <c r="B164" s="37"/>
      <c r="C164" s="37"/>
      <c r="D164" s="37"/>
      <c r="E164" s="37"/>
      <c r="F164" s="6" t="str">
        <f t="shared" si="1"/>
        <v/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4.0" customHeight="1">
      <c r="A165" s="37"/>
      <c r="B165" s="37"/>
      <c r="C165" s="37"/>
      <c r="D165" s="37"/>
      <c r="E165" s="37"/>
      <c r="F165" s="6" t="str">
        <f t="shared" si="1"/>
        <v/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4.0" customHeight="1">
      <c r="A166" s="37"/>
      <c r="B166" s="37"/>
      <c r="C166" s="37"/>
      <c r="D166" s="37"/>
      <c r="E166" s="37"/>
      <c r="F166" s="6" t="str">
        <f t="shared" si="1"/>
        <v/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4.0" customHeight="1">
      <c r="A167" s="37"/>
      <c r="B167" s="37"/>
      <c r="C167" s="37"/>
      <c r="D167" s="37"/>
      <c r="E167" s="37"/>
      <c r="F167" s="6" t="str">
        <f t="shared" si="1"/>
        <v/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4.0" customHeight="1">
      <c r="A168" s="37"/>
      <c r="B168" s="37"/>
      <c r="C168" s="37"/>
      <c r="D168" s="37"/>
      <c r="E168" s="37"/>
      <c r="F168" s="6" t="str">
        <f t="shared" si="1"/>
        <v/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4.0" customHeight="1">
      <c r="A169" s="37"/>
      <c r="B169" s="37"/>
      <c r="C169" s="37"/>
      <c r="D169" s="37"/>
      <c r="E169" s="37"/>
      <c r="F169" s="6" t="str">
        <f t="shared" si="1"/>
        <v/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4.0" customHeight="1">
      <c r="A170" s="37"/>
      <c r="B170" s="37"/>
      <c r="C170" s="37"/>
      <c r="D170" s="37"/>
      <c r="E170" s="37"/>
      <c r="F170" s="6" t="str">
        <f t="shared" si="1"/>
        <v/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4.0" customHeight="1">
      <c r="A171" s="37"/>
      <c r="B171" s="37"/>
      <c r="C171" s="37"/>
      <c r="D171" s="37"/>
      <c r="E171" s="37"/>
      <c r="F171" s="6" t="str">
        <f t="shared" si="1"/>
        <v/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4.0" customHeight="1">
      <c r="A172" s="37"/>
      <c r="B172" s="37"/>
      <c r="C172" s="37"/>
      <c r="D172" s="37"/>
      <c r="E172" s="37"/>
      <c r="F172" s="6" t="str">
        <f t="shared" si="1"/>
        <v/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4.0" customHeight="1">
      <c r="A173" s="37"/>
      <c r="B173" s="37"/>
      <c r="C173" s="37"/>
      <c r="D173" s="37"/>
      <c r="E173" s="37"/>
      <c r="F173" s="6" t="str">
        <f t="shared" si="1"/>
        <v/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4.0" customHeight="1">
      <c r="A174" s="37"/>
      <c r="B174" s="37"/>
      <c r="C174" s="37"/>
      <c r="D174" s="37"/>
      <c r="E174" s="37"/>
      <c r="F174" s="6" t="str">
        <f t="shared" si="1"/>
        <v/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4.0" customHeight="1">
      <c r="A175" s="37"/>
      <c r="B175" s="37"/>
      <c r="C175" s="37"/>
      <c r="D175" s="37"/>
      <c r="E175" s="37"/>
      <c r="F175" s="6" t="str">
        <f t="shared" si="1"/>
        <v/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4.0" customHeight="1">
      <c r="A176" s="37"/>
      <c r="B176" s="37"/>
      <c r="C176" s="37"/>
      <c r="D176" s="37"/>
      <c r="E176" s="37"/>
      <c r="F176" s="6" t="str">
        <f t="shared" si="1"/>
        <v/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4.0" customHeight="1">
      <c r="A177" s="37"/>
      <c r="B177" s="37"/>
      <c r="C177" s="37"/>
      <c r="D177" s="37"/>
      <c r="E177" s="37"/>
      <c r="F177" s="6" t="str">
        <f t="shared" si="1"/>
        <v/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4.0" customHeight="1">
      <c r="A178" s="37"/>
      <c r="B178" s="37"/>
      <c r="C178" s="37"/>
      <c r="D178" s="37"/>
      <c r="E178" s="37"/>
      <c r="F178" s="6" t="str">
        <f t="shared" si="1"/>
        <v/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4.0" customHeight="1">
      <c r="A179" s="37"/>
      <c r="B179" s="37"/>
      <c r="C179" s="37"/>
      <c r="D179" s="37"/>
      <c r="E179" s="37"/>
      <c r="F179" s="6" t="str">
        <f t="shared" si="1"/>
        <v/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4.0" customHeight="1">
      <c r="A180" s="37"/>
      <c r="B180" s="37"/>
      <c r="C180" s="37"/>
      <c r="D180" s="37"/>
      <c r="E180" s="37"/>
      <c r="F180" s="6" t="str">
        <f t="shared" si="1"/>
        <v/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4.0" customHeight="1">
      <c r="A181" s="37"/>
      <c r="B181" s="37"/>
      <c r="C181" s="37"/>
      <c r="D181" s="37"/>
      <c r="E181" s="37"/>
      <c r="F181" s="6" t="str">
        <f t="shared" si="1"/>
        <v/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4.0" customHeight="1">
      <c r="A182" s="37"/>
      <c r="B182" s="37"/>
      <c r="C182" s="37"/>
      <c r="D182" s="37"/>
      <c r="E182" s="37"/>
      <c r="F182" s="6" t="str">
        <f t="shared" si="1"/>
        <v/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4.0" customHeight="1">
      <c r="A183" s="37"/>
      <c r="B183" s="37"/>
      <c r="C183" s="37"/>
      <c r="D183" s="37"/>
      <c r="E183" s="37"/>
      <c r="F183" s="6" t="str">
        <f t="shared" si="1"/>
        <v/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4.0" customHeight="1">
      <c r="A184" s="37"/>
      <c r="B184" s="37"/>
      <c r="C184" s="37"/>
      <c r="D184" s="37"/>
      <c r="E184" s="37"/>
      <c r="F184" s="6" t="str">
        <f t="shared" si="1"/>
        <v/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4.0" customHeight="1">
      <c r="A185" s="37"/>
      <c r="B185" s="37"/>
      <c r="C185" s="37"/>
      <c r="D185" s="37"/>
      <c r="E185" s="37"/>
      <c r="F185" s="6" t="str">
        <f t="shared" si="1"/>
        <v/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4.0" customHeight="1">
      <c r="A186" s="37"/>
      <c r="B186" s="37"/>
      <c r="C186" s="37"/>
      <c r="D186" s="37"/>
      <c r="E186" s="37"/>
      <c r="F186" s="6" t="str">
        <f t="shared" si="1"/>
        <v/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4.0" customHeight="1">
      <c r="A187" s="37"/>
      <c r="B187" s="37"/>
      <c r="C187" s="37"/>
      <c r="D187" s="37"/>
      <c r="E187" s="37"/>
      <c r="F187" s="6" t="str">
        <f t="shared" si="1"/>
        <v/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4.0" customHeight="1">
      <c r="A188" s="37"/>
      <c r="B188" s="37"/>
      <c r="C188" s="37"/>
      <c r="D188" s="37"/>
      <c r="E188" s="37"/>
      <c r="F188" s="6" t="str">
        <f t="shared" si="1"/>
        <v/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4.0" customHeight="1">
      <c r="A189" s="37"/>
      <c r="B189" s="37"/>
      <c r="C189" s="37"/>
      <c r="D189" s="37"/>
      <c r="E189" s="37"/>
      <c r="F189" s="6" t="str">
        <f t="shared" si="1"/>
        <v/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4.0" customHeight="1">
      <c r="A190" s="37"/>
      <c r="B190" s="37"/>
      <c r="C190" s="37"/>
      <c r="D190" s="37"/>
      <c r="E190" s="37"/>
      <c r="F190" s="6" t="str">
        <f t="shared" si="1"/>
        <v/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4.0" customHeight="1">
      <c r="A191" s="37"/>
      <c r="B191" s="37"/>
      <c r="C191" s="37"/>
      <c r="D191" s="37"/>
      <c r="E191" s="37"/>
      <c r="F191" s="6" t="str">
        <f t="shared" si="1"/>
        <v/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4.0" customHeight="1">
      <c r="A192" s="37"/>
      <c r="B192" s="37"/>
      <c r="C192" s="37"/>
      <c r="D192" s="37"/>
      <c r="E192" s="37"/>
      <c r="F192" s="6" t="str">
        <f t="shared" si="1"/>
        <v/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4.0" customHeight="1">
      <c r="A193" s="37"/>
      <c r="B193" s="37"/>
      <c r="C193" s="37"/>
      <c r="D193" s="37"/>
      <c r="E193" s="37"/>
      <c r="F193" s="6" t="str">
        <f t="shared" si="1"/>
        <v/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4.0" customHeight="1">
      <c r="A194" s="37"/>
      <c r="B194" s="37"/>
      <c r="C194" s="37"/>
      <c r="D194" s="37"/>
      <c r="E194" s="37"/>
      <c r="F194" s="6" t="str">
        <f t="shared" si="1"/>
        <v/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4.0" customHeight="1">
      <c r="A195" s="37"/>
      <c r="B195" s="37"/>
      <c r="C195" s="37"/>
      <c r="D195" s="37"/>
      <c r="E195" s="37"/>
      <c r="F195" s="6" t="str">
        <f t="shared" si="1"/>
        <v/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4.0" customHeight="1">
      <c r="A196" s="37"/>
      <c r="B196" s="37"/>
      <c r="C196" s="37"/>
      <c r="D196" s="37"/>
      <c r="E196" s="37"/>
      <c r="F196" s="6" t="str">
        <f t="shared" si="1"/>
        <v/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4.0" customHeight="1">
      <c r="A197" s="37"/>
      <c r="B197" s="37"/>
      <c r="C197" s="37"/>
      <c r="D197" s="37"/>
      <c r="E197" s="37"/>
      <c r="F197" s="6" t="str">
        <f t="shared" si="1"/>
        <v/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4.0" customHeight="1">
      <c r="A198" s="37"/>
      <c r="B198" s="37"/>
      <c r="C198" s="37"/>
      <c r="D198" s="37"/>
      <c r="E198" s="37"/>
      <c r="F198" s="6" t="str">
        <f t="shared" si="1"/>
        <v/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4.0" customHeight="1">
      <c r="A199" s="37"/>
      <c r="B199" s="37"/>
      <c r="C199" s="37"/>
      <c r="D199" s="37"/>
      <c r="E199" s="37"/>
      <c r="F199" s="6" t="str">
        <f t="shared" si="1"/>
        <v/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4.0" customHeight="1">
      <c r="A200" s="37"/>
      <c r="B200" s="37"/>
      <c r="C200" s="37"/>
      <c r="D200" s="37"/>
      <c r="E200" s="37"/>
      <c r="F200" s="6" t="str">
        <f t="shared" si="1"/>
        <v/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4.0" customHeight="1">
      <c r="A201" s="37"/>
      <c r="B201" s="37"/>
      <c r="C201" s="37"/>
      <c r="D201" s="37"/>
      <c r="E201" s="37"/>
      <c r="F201" s="6" t="str">
        <f t="shared" si="1"/>
        <v/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E$201"/>
  <customSheetViews>
    <customSheetView guid="{F5D08C02-0A33-480E-ACE3-D945CB5410A1}" filter="1" showAutoFilter="1">
      <autoFilter ref="$A$1:$E$8"/>
    </customSheetView>
  </customSheetViews>
  <dataValidations>
    <dataValidation type="list" allowBlank="1" sqref="C51:C501">
      <formula1>"AC,CARPENTER,CIVIL,DECOR,ELECTRIC,FUR,FURNISHING,GLS,LGT,PLM,PLUMBER,TLE,WET,WOD"</formula1>
    </dataValidation>
    <dataValidation type="list" allowBlank="1" sqref="C2:C50">
      <formula1>"ELECTRIC,CIVIL,CARPENTER,PLUMBER,DECOR,FURNISHING,AC"</formula1>
    </dataValidation>
    <dataValidation type="list" allowBlank="1" sqref="D2:D501">
      <formula1>"BAG,BOX,KG,LTR,MTR,NOS,PCS,SET,SQF"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13.86"/>
    <col customWidth="1" min="3" max="3" width="12.71"/>
    <col customWidth="1" min="4" max="4" width="12.43"/>
    <col customWidth="1" min="5" max="5" width="19.43"/>
    <col customWidth="1" min="6" max="6" width="15.0"/>
    <col customWidth="1" min="7" max="7" width="33.57"/>
    <col customWidth="1" min="8" max="8" width="24.86"/>
    <col customWidth="1" min="9" max="9" width="11.86"/>
    <col customWidth="1" min="10" max="10" width="21.29"/>
    <col customWidth="1" min="11" max="11" width="4.71"/>
    <col customWidth="1" min="12" max="12" width="25.29"/>
    <col customWidth="1" min="13" max="13" width="18.0"/>
    <col customWidth="1" min="14" max="26" width="8.71"/>
  </cols>
  <sheetData>
    <row r="1" ht="25.5" customHeight="1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3" t="s">
        <v>10</v>
      </c>
      <c r="G1" s="3" t="s">
        <v>1</v>
      </c>
      <c r="H1" s="3" t="s">
        <v>4</v>
      </c>
      <c r="I1" s="3" t="s">
        <v>9</v>
      </c>
      <c r="J1" s="3" t="s">
        <v>13</v>
      </c>
      <c r="K1" s="3" t="s">
        <v>11</v>
      </c>
      <c r="L1" s="3" t="s">
        <v>14</v>
      </c>
      <c r="M1" s="7" t="s">
        <v>16</v>
      </c>
    </row>
    <row r="2" ht="24.0" customHeight="1">
      <c r="A2" s="8" t="s">
        <v>19</v>
      </c>
      <c r="B2" s="10">
        <v>1.0</v>
      </c>
      <c r="C2" s="9" t="s">
        <v>22</v>
      </c>
      <c r="D2" s="12" t="s">
        <v>23</v>
      </c>
      <c r="E2" s="13" t="str">
        <f t="shared" ref="E2:E539" si="1">IF(COUNTA(A2:D2)=0,"",A2&amp;"-"&amp;"B"&amp;TEXT(B2,"00")&amp;"-"&amp;C2&amp;"-"&amp;D2)</f>
        <v>R01-B01-GL1-A1</v>
      </c>
      <c r="F2" s="16" t="str">
        <f t="shared" ref="F2:F539" si="2">IF(E2="","",IF(J2&gt;0,"Occupied","Available"))</f>
        <v>Occupied</v>
      </c>
      <c r="G2" s="18" t="s">
        <v>40</v>
      </c>
      <c r="H2" s="18" t="str">
        <f t="array" ref="H2">IF(G2="","",IFERROR(INDEX('Material Master'!$B$2:$B$201,IFERROR(MATCH(G2,'Material Master'!$F$2:$F$201,0),MATCH(G2,'Material Master'!$A$2:$A$201,0))),""))</f>
        <v>BUBBLE WRAP</v>
      </c>
      <c r="I2" s="18" t="str">
        <f t="array" ref="I2">IF(G2="","",IFERROR(INDEX('Material Master'!$C$2:$C$201,IFERROR(MATCH(G2,'Material Master'!$F$2:$F$201,0),MATCH(G2,'Material Master'!$A$2:$A$201,0))),""))</f>
        <v>PLUMBER</v>
      </c>
      <c r="J2" s="22">
        <f>IF(E2="","",SUMIFS('Stock Movement'!$F$2:$F$501,'Stock Movement'!$D$2:$D$501,E2,'Stock Movement'!$E$2:$E$501,"IN")-SUMIFS('Stock Movement'!$F$2:$F$501,'Stock Movement'!$D$2:$D$501,E2,'Stock Movement'!$E$2:$E$501,"OUT"))</f>
        <v>100</v>
      </c>
      <c r="K2" s="23" t="str">
        <f t="array" ref="K2">IF(G2="","",IFERROR(INDEX('Material Master'!$D$2:$D$201,IFERROR(MATCH(G2,'Material Master'!$F$2:$F$201,0),MATCH(G2,'Material Master'!$A$2:$A$201,0))),""))</f>
        <v>PCS</v>
      </c>
      <c r="L2" s="18" t="s">
        <v>63</v>
      </c>
      <c r="M2" s="24" t="s">
        <v>64</v>
      </c>
    </row>
    <row r="3" ht="24.0" customHeight="1">
      <c r="A3" s="14" t="s">
        <v>19</v>
      </c>
      <c r="B3" s="25">
        <v>1.0</v>
      </c>
      <c r="C3" s="15" t="s">
        <v>22</v>
      </c>
      <c r="D3" s="26" t="s">
        <v>75</v>
      </c>
      <c r="E3" s="27" t="str">
        <f t="shared" si="1"/>
        <v>R01-B01-GL1-A2</v>
      </c>
      <c r="F3" s="28" t="str">
        <f t="shared" si="2"/>
        <v>Available</v>
      </c>
      <c r="G3" s="29" t="s">
        <v>80</v>
      </c>
      <c r="H3" s="29" t="str">
        <f t="array" ref="H3">IF(G3="","",IFERROR(INDEX('Material Master'!$B$2:$B$201,IFERROR(MATCH(G3,'Material Master'!$F$2:$F$201,0),MATCH(G3,'Material Master'!$A$2:$A$201,0))),""))</f>
        <v>ALL BERRY STEM BLUE GG10</v>
      </c>
      <c r="I3" s="29" t="str">
        <f t="array" ref="I3">IF(G3="","",IFERROR(INDEX('Material Master'!$C$2:$C$201,IFERROR(MATCH(G3,'Material Master'!$F$2:$F$201,0),MATCH(G3,'Material Master'!$A$2:$A$201,0))),""))</f>
        <v>ELECTRIC</v>
      </c>
      <c r="J3" s="30">
        <f>IF(E3="","",SUMIFS('Stock Movement'!$F$2:$F$501,'Stock Movement'!$D$2:$D$501,E3,'Stock Movement'!$E$2:$E$501,"IN")-SUMIFS('Stock Movement'!$F$2:$F$501,'Stock Movement'!$D$2:$D$501,E3,'Stock Movement'!$E$2:$E$501,"OUT"))</f>
        <v>0</v>
      </c>
      <c r="K3" s="31" t="str">
        <f t="array" ref="K3">IF(G3="","",IFERROR(INDEX('Material Master'!$D$2:$D$201,IFERROR(MATCH(G3,'Material Master'!$F$2:$F$201,0),MATCH(G3,'Material Master'!$A$2:$A$201,0))),""))</f>
        <v>PCS</v>
      </c>
      <c r="L3" s="29" t="s">
        <v>100</v>
      </c>
      <c r="M3" s="32" t="s">
        <v>64</v>
      </c>
    </row>
    <row r="4" ht="38.25" customHeight="1">
      <c r="A4" s="8" t="s">
        <v>19</v>
      </c>
      <c r="B4" s="10">
        <v>1.0</v>
      </c>
      <c r="C4" s="9" t="s">
        <v>22</v>
      </c>
      <c r="D4" s="12" t="s">
        <v>105</v>
      </c>
      <c r="E4" s="13" t="str">
        <f t="shared" si="1"/>
        <v>R01-B01-GL1-B</v>
      </c>
      <c r="F4" s="16" t="str">
        <f t="shared" si="2"/>
        <v>Occupied</v>
      </c>
      <c r="G4" s="18" t="s">
        <v>108</v>
      </c>
      <c r="H4" s="18" t="str">
        <f t="array" ref="H4">IF(G4="","",IFERROR(INDEX('Material Master'!$B$2:$B$201,IFERROR(MATCH(G4,'Material Master'!$F$2:$F$201,0),MATCH(G4,'Material Master'!$A$2:$A$201,0))),""))</f>
        <v>CANDLE_LUGNARE_SCNTD</v>
      </c>
      <c r="I4" s="18" t="str">
        <f t="array" ref="I4">IF(G4="","",IFERROR(INDEX('Material Master'!$C$2:$C$201,IFERROR(MATCH(G4,'Material Master'!$F$2:$F$201,0),MATCH(G4,'Material Master'!$A$2:$A$201,0))),""))</f>
        <v>DECOR</v>
      </c>
      <c r="J4" s="22">
        <f>IF(E4="","",SUMIFS('Stock Movement'!$F$2:$F$501,'Stock Movement'!$D$2:$D$501,E4,'Stock Movement'!$E$2:$E$501,"IN")-SUMIFS('Stock Movement'!$F$2:$F$501,'Stock Movement'!$D$2:$D$501,E4,'Stock Movement'!$E$2:$E$501,"OUT"))</f>
        <v>138</v>
      </c>
      <c r="K4" s="23" t="str">
        <f t="array" ref="K4">IF(G4="","",IFERROR(INDEX('Material Master'!$D$2:$D$201,IFERROR(MATCH(G4,'Material Master'!$F$2:$F$201,0),MATCH(G4,'Material Master'!$A$2:$A$201,0))),""))</f>
        <v>PCS</v>
      </c>
      <c r="L4" s="18" t="s">
        <v>126</v>
      </c>
      <c r="M4" s="24" t="s">
        <v>127</v>
      </c>
    </row>
    <row r="5" ht="33.0" customHeight="1">
      <c r="A5" s="14" t="s">
        <v>19</v>
      </c>
      <c r="B5" s="25">
        <v>1.0</v>
      </c>
      <c r="C5" s="15" t="s">
        <v>132</v>
      </c>
      <c r="D5" s="26" t="s">
        <v>133</v>
      </c>
      <c r="E5" s="27" t="str">
        <f t="shared" si="1"/>
        <v>R01-B01-GL2-A</v>
      </c>
      <c r="F5" s="28" t="str">
        <f t="shared" si="2"/>
        <v>Occupied</v>
      </c>
      <c r="G5" s="29" t="s">
        <v>136</v>
      </c>
      <c r="H5" s="29" t="str">
        <f t="array" ref="H5">IF(G5="","",IFERROR(INDEX('Material Master'!$B$2:$B$201,IFERROR(MATCH(G5,'Material Master'!$F$2:$F$201,0),MATCH(G5,'Material Master'!$A$2:$A$201,0))),""))</f>
        <v>EXTRA MCB</v>
      </c>
      <c r="I5" s="29" t="str">
        <f t="array" ref="I5">IF(G5="","",IFERROR(INDEX('Material Master'!$C$2:$C$201,IFERROR(MATCH(G5,'Material Master'!$F$2:$F$201,0),MATCH(G5,'Material Master'!$A$2:$A$201,0))),""))</f>
        <v>ELECTRIC</v>
      </c>
      <c r="J5" s="30">
        <f>IF(E5="","",SUMIFS('Stock Movement'!$F$2:$F$501,'Stock Movement'!$D$2:$D$501,E5,'Stock Movement'!$E$2:$E$501,"IN")-SUMIFS('Stock Movement'!$F$2:$F$501,'Stock Movement'!$D$2:$D$501,E5,'Stock Movement'!$E$2:$E$501,"OUT"))</f>
        <v>1</v>
      </c>
      <c r="K5" s="31" t="str">
        <f t="array" ref="K5">IF(G5="","",IFERROR(INDEX('Material Master'!$D$2:$D$201,IFERROR(MATCH(G5,'Material Master'!$F$2:$F$201,0),MATCH(G5,'Material Master'!$A$2:$A$201,0))),""))</f>
        <v>PCS</v>
      </c>
      <c r="L5" s="29" t="s">
        <v>143</v>
      </c>
      <c r="M5" s="32" t="s">
        <v>144</v>
      </c>
    </row>
    <row r="6" ht="24.0" customHeight="1">
      <c r="A6" s="8" t="s">
        <v>19</v>
      </c>
      <c r="B6" s="10">
        <v>1.0</v>
      </c>
      <c r="C6" s="9" t="s">
        <v>132</v>
      </c>
      <c r="D6" s="12" t="s">
        <v>105</v>
      </c>
      <c r="E6" s="13" t="str">
        <f t="shared" si="1"/>
        <v>R01-B01-GL2-B</v>
      </c>
      <c r="F6" s="16" t="str">
        <f t="shared" si="2"/>
        <v>Occupied</v>
      </c>
      <c r="G6" s="18" t="s">
        <v>145</v>
      </c>
      <c r="H6" s="18" t="str">
        <f t="array" ref="H6">IF(G6="","",IFERROR(INDEX('Material Master'!$B$2:$B$201,IFERROR(MATCH(G6,'Material Master'!$F$2:$F$201,0),MATCH(G6,'Material Master'!$A$2:$A$201,0))),""))</f>
        <v>FOSSIAL</v>
      </c>
      <c r="I6" s="18" t="str">
        <f t="array" ref="I6">IF(G6="","",IFERROR(INDEX('Material Master'!$C$2:$C$201,IFERROR(MATCH(G6,'Material Master'!$F$2:$F$201,0),MATCH(G6,'Material Master'!$A$2:$A$201,0))),""))</f>
        <v>CIVIL</v>
      </c>
      <c r="J6" s="22">
        <f>IF(E6="","",SUMIFS('Stock Movement'!$F$2:$F$501,'Stock Movement'!$D$2:$D$501,E6,'Stock Movement'!$E$2:$E$501,"IN")-SUMIFS('Stock Movement'!$F$2:$F$501,'Stock Movement'!$D$2:$D$501,E6,'Stock Movement'!$E$2:$E$501,"OUT"))</f>
        <v>3</v>
      </c>
      <c r="K6" s="23" t="str">
        <f t="array" ref="K6">IF(G6="","",IFERROR(INDEX('Material Master'!$D$2:$D$201,IFERROR(MATCH(G6,'Material Master'!$F$2:$F$201,0),MATCH(G6,'Material Master'!$A$2:$A$201,0))),""))</f>
        <v>BAG</v>
      </c>
      <c r="L6" s="18" t="s">
        <v>146</v>
      </c>
      <c r="M6" s="24" t="s">
        <v>147</v>
      </c>
    </row>
    <row r="7" ht="24.0" customHeight="1">
      <c r="A7" s="14" t="s">
        <v>19</v>
      </c>
      <c r="B7" s="25">
        <v>2.0</v>
      </c>
      <c r="C7" s="15" t="s">
        <v>22</v>
      </c>
      <c r="D7" s="26" t="s">
        <v>133</v>
      </c>
      <c r="E7" s="27" t="str">
        <f t="shared" si="1"/>
        <v>R01-B02-GL1-A</v>
      </c>
      <c r="F7" s="28" t="str">
        <f t="shared" si="2"/>
        <v>Occupied</v>
      </c>
      <c r="G7" s="29" t="s">
        <v>148</v>
      </c>
      <c r="H7" s="29" t="str">
        <f t="array" ref="H7">IF(G7="","",IFERROR(INDEX('Material Master'!$B$2:$B$201,IFERROR(MATCH(G7,'Material Master'!$F$2:$F$201,0),MATCH(G7,'Material Master'!$A$2:$A$201,0))),""))</f>
        <v>GRANITE_ AVALANCHE</v>
      </c>
      <c r="I7" s="29" t="str">
        <f t="array" ref="I7">IF(G7="","",IFERROR(INDEX('Material Master'!$C$2:$C$201,IFERROR(MATCH(G7,'Material Master'!$F$2:$F$201,0),MATCH(G7,'Material Master'!$A$2:$A$201,0))),""))</f>
        <v>CIVIL</v>
      </c>
      <c r="J7" s="30">
        <f>IF(E7="","",SUMIFS('Stock Movement'!$F$2:$F$501,'Stock Movement'!$D$2:$D$501,E7,'Stock Movement'!$E$2:$E$501,"IN")-SUMIFS('Stock Movement'!$F$2:$F$501,'Stock Movement'!$D$2:$D$501,E7,'Stock Movement'!$E$2:$E$501,"OUT"))</f>
        <v>39.13</v>
      </c>
      <c r="K7" s="31" t="str">
        <f t="array" ref="K7">IF(G7="","",IFERROR(INDEX('Material Master'!$D$2:$D$201,IFERROR(MATCH(G7,'Material Master'!$F$2:$F$201,0),MATCH(G7,'Material Master'!$A$2:$A$201,0))),""))</f>
        <v>SQF</v>
      </c>
      <c r="L7" s="29" t="s">
        <v>149</v>
      </c>
      <c r="M7" s="32" t="s">
        <v>150</v>
      </c>
    </row>
    <row r="8" ht="24.0" customHeight="1">
      <c r="A8" s="8" t="s">
        <v>19</v>
      </c>
      <c r="B8" s="10">
        <v>2.0</v>
      </c>
      <c r="C8" s="9" t="s">
        <v>132</v>
      </c>
      <c r="D8" s="12" t="s">
        <v>133</v>
      </c>
      <c r="E8" s="13" t="str">
        <f t="shared" si="1"/>
        <v>R01-B02-GL2-A</v>
      </c>
      <c r="F8" s="16" t="str">
        <f t="shared" si="2"/>
        <v>Occupied</v>
      </c>
      <c r="G8" s="18" t="s">
        <v>151</v>
      </c>
      <c r="H8" s="18" t="str">
        <f t="array" ref="H8">IF(G8="","",IFERROR(INDEX('Material Master'!$B$2:$B$201,IFERROR(MATCH(G8,'Material Master'!$F$2:$F$201,0),MATCH(G8,'Material Master'!$A$2:$A$201,0))),""))</f>
        <v>SCREW_SELF THREAD_25X6</v>
      </c>
      <c r="I8" s="18" t="str">
        <f t="array" ref="I8">IF(G8="","",IFERROR(INDEX('Material Master'!$C$2:$C$201,IFERROR(MATCH(G8,'Material Master'!$F$2:$F$201,0),MATCH(G8,'Material Master'!$A$2:$A$201,0))),""))</f>
        <v>ELECTRIC</v>
      </c>
      <c r="J8" s="22">
        <f>IF(E8="","",SUMIFS('Stock Movement'!$F$2:$F$501,'Stock Movement'!$D$2:$D$501,E8,'Stock Movement'!$E$2:$E$501,"IN")-SUMIFS('Stock Movement'!$F$2:$F$501,'Stock Movement'!$D$2:$D$501,E8,'Stock Movement'!$E$2:$E$501,"OUT"))</f>
        <v>2</v>
      </c>
      <c r="K8" s="23" t="str">
        <f t="array" ref="K8">IF(G8="","",IFERROR(INDEX('Material Master'!$D$2:$D$201,IFERROR(MATCH(G8,'Material Master'!$F$2:$F$201,0),MATCH(G8,'Material Master'!$A$2:$A$201,0))),""))</f>
        <v>PCS</v>
      </c>
      <c r="L8" s="18" t="s">
        <v>152</v>
      </c>
      <c r="M8" s="24" t="s">
        <v>153</v>
      </c>
    </row>
    <row r="9" ht="24.0" customHeight="1">
      <c r="A9" s="14" t="s">
        <v>19</v>
      </c>
      <c r="B9" s="25">
        <v>2.0</v>
      </c>
      <c r="C9" s="15" t="s">
        <v>132</v>
      </c>
      <c r="D9" s="26" t="s">
        <v>105</v>
      </c>
      <c r="E9" s="27" t="str">
        <f t="shared" si="1"/>
        <v>R01-B02-GL2-B</v>
      </c>
      <c r="F9" s="28" t="str">
        <f t="shared" si="2"/>
        <v>Occupied</v>
      </c>
      <c r="G9" s="29" t="s">
        <v>154</v>
      </c>
      <c r="H9" s="29" t="str">
        <f t="array" ref="H9">IF(G9="","",IFERROR(INDEX('Material Master'!$B$2:$B$201,IFERROR(MATCH(G9,'Material Master'!$F$2:$F$201,0),MATCH(G9,'Material Master'!$A$2:$A$201,0))),""))</f>
        <v>SLUE PIPE_20MM</v>
      </c>
      <c r="I9" s="29" t="str">
        <f t="array" ref="I9">IF(G9="","",IFERROR(INDEX('Material Master'!$C$2:$C$201,IFERROR(MATCH(G9,'Material Master'!$F$2:$F$201,0),MATCH(G9,'Material Master'!$A$2:$A$201,0))),""))</f>
        <v>AC</v>
      </c>
      <c r="J9" s="30">
        <f>IF(E9="","",SUMIFS('Stock Movement'!$F$2:$F$501,'Stock Movement'!$D$2:$D$501,E9,'Stock Movement'!$E$2:$E$501,"IN")-SUMIFS('Stock Movement'!$F$2:$F$501,'Stock Movement'!$D$2:$D$501,E9,'Stock Movement'!$E$2:$E$501,"OUT"))</f>
        <v>1</v>
      </c>
      <c r="K9" s="31" t="str">
        <f t="array" ref="K9">IF(G9="","",IFERROR(INDEX('Material Master'!$D$2:$D$201,IFERROR(MATCH(G9,'Material Master'!$F$2:$F$201,0),MATCH(G9,'Material Master'!$A$2:$A$201,0))),""))</f>
        <v>PCS</v>
      </c>
      <c r="L9" s="29" t="s">
        <v>155</v>
      </c>
      <c r="M9" s="32" t="s">
        <v>156</v>
      </c>
    </row>
    <row r="10" ht="24.0" customHeight="1">
      <c r="A10" s="8" t="s">
        <v>19</v>
      </c>
      <c r="B10" s="10">
        <v>1.0</v>
      </c>
      <c r="C10" s="9" t="s">
        <v>157</v>
      </c>
      <c r="D10" s="12" t="s">
        <v>133</v>
      </c>
      <c r="E10" s="13" t="str">
        <f t="shared" si="1"/>
        <v>R01-B01-GL3-A</v>
      </c>
      <c r="F10" s="16" t="str">
        <f t="shared" si="2"/>
        <v>Occupied</v>
      </c>
      <c r="G10" s="18" t="s">
        <v>158</v>
      </c>
      <c r="H10" s="38" t="str">
        <f t="array" ref="H10">IF(G10="","",IFERROR(INDEX('Material Master'!$B$2:$B$201,IFERROR(MATCH(G10,'Material Master'!$F$2:$F$201,0),MATCH(G10,'Material Master'!$A$2:$A$201,0))),""))</f>
        <v>2*10 WIRE NAIL</v>
      </c>
      <c r="I10" s="38" t="str">
        <f t="array" ref="I10">IF(G10="","",IFERROR(INDEX('Material Master'!$C$2:$C$201,IFERROR(MATCH(G10,'Material Master'!$F$2:$F$201,0),MATCH(G10,'Material Master'!$A$2:$A$201,0))),""))</f>
        <v>FURNISHING</v>
      </c>
      <c r="J10" s="22">
        <f>IF(E10="","",SUMIFS('Stock Movement'!$F$2:$F$501,'Stock Movement'!$D$2:$D$501,E10,'Stock Movement'!$E$2:$E$501,"IN")-SUMIFS('Stock Movement'!$F$2:$F$501,'Stock Movement'!$D$2:$D$501,E10,'Stock Movement'!$E$2:$E$501,"OUT"))</f>
        <v>4</v>
      </c>
      <c r="K10" s="39" t="str">
        <f t="array" ref="K10">IF(G10="","",IFERROR(INDEX('Material Master'!$D$2:$D$201,IFERROR(MATCH(G10,'Material Master'!$F$2:$F$201,0),MATCH(G10,'Material Master'!$A$2:$A$201,0))),""))</f>
        <v>PCS</v>
      </c>
      <c r="L10" s="18" t="s">
        <v>159</v>
      </c>
      <c r="M10" s="24" t="s">
        <v>160</v>
      </c>
    </row>
    <row r="11" ht="24.0" customHeight="1">
      <c r="A11" s="14" t="s">
        <v>19</v>
      </c>
      <c r="B11" s="25">
        <v>1.0</v>
      </c>
      <c r="C11" s="15" t="s">
        <v>157</v>
      </c>
      <c r="D11" s="26" t="s">
        <v>105</v>
      </c>
      <c r="E11" s="27" t="str">
        <f t="shared" si="1"/>
        <v>R01-B01-GL3-B</v>
      </c>
      <c r="F11" s="28" t="str">
        <f t="shared" si="2"/>
        <v>Occupied</v>
      </c>
      <c r="G11" s="29" t="s">
        <v>161</v>
      </c>
      <c r="H11" s="40" t="str">
        <f t="array" ref="H11">IF(G11="","",IFERROR(INDEX('Material Master'!$B$2:$B$201,IFERROR(MATCH(G11,'Material Master'!$F$2:$F$201,0),MATCH(G11,'Material Master'!$A$2:$A$201,0))),""))</f>
        <v>ACP_8X4</v>
      </c>
      <c r="I11" s="40" t="str">
        <f t="array" ref="I11">IF(G11="","",IFERROR(INDEX('Material Master'!$C$2:$C$201,IFERROR(MATCH(G11,'Material Master'!$F$2:$F$201,0),MATCH(G11,'Material Master'!$A$2:$A$201,0))),""))</f>
        <v>ELECTRIC</v>
      </c>
      <c r="J11" s="30">
        <f>IF(E11="","",SUMIFS('Stock Movement'!$F$2:$F$501,'Stock Movement'!$D$2:$D$501,E11,'Stock Movement'!$E$2:$E$501,"IN")-SUMIFS('Stock Movement'!$F$2:$F$501,'Stock Movement'!$D$2:$D$501,E11,'Stock Movement'!$E$2:$E$501,"OUT"))</f>
        <v>10</v>
      </c>
      <c r="K11" s="41" t="str">
        <f t="array" ref="K11">IF(G11="","",IFERROR(INDEX('Material Master'!$D$2:$D$201,IFERROR(MATCH(G11,'Material Master'!$F$2:$F$201,0),MATCH(G11,'Material Master'!$A$2:$A$201,0))),""))</f>
        <v>PCS</v>
      </c>
      <c r="L11" s="29" t="s">
        <v>162</v>
      </c>
      <c r="M11" s="32" t="s">
        <v>163</v>
      </c>
    </row>
    <row r="12" ht="24.0" customHeight="1">
      <c r="A12" s="8" t="s">
        <v>19</v>
      </c>
      <c r="B12" s="10">
        <v>2.0</v>
      </c>
      <c r="C12" s="9" t="s">
        <v>22</v>
      </c>
      <c r="D12" s="12" t="s">
        <v>105</v>
      </c>
      <c r="E12" s="13" t="str">
        <f t="shared" si="1"/>
        <v>R01-B02-GL1-B</v>
      </c>
      <c r="F12" s="16" t="str">
        <f t="shared" si="2"/>
        <v>Occupied</v>
      </c>
      <c r="G12" s="38" t="s">
        <v>164</v>
      </c>
      <c r="H12" s="38" t="str">
        <f t="array" ref="H12">IF(G12="","",IFERROR(INDEX('Material Master'!$B$2:$B$201,IFERROR(MATCH(G12,'Material Master'!$F$2:$F$201,0),MATCH(G12,'Material Master'!$A$2:$A$201,0))),""))</f>
        <v>ALL MOTTLED</v>
      </c>
      <c r="I12" s="38" t="str">
        <f t="array" ref="I12">IF(G12="","",IFERROR(INDEX('Material Master'!$C$2:$C$201,IFERROR(MATCH(G12,'Material Master'!$F$2:$F$201,0),MATCH(G12,'Material Master'!$A$2:$A$201,0))),""))</f>
        <v>ELECTRIC</v>
      </c>
      <c r="J12" s="42">
        <f>IF(E12="","",SUMIFS('Stock Movement'!$F$2:$F$501,'Stock Movement'!$D$2:$D$501,E12,'Stock Movement'!$E$2:$E$501,"IN")-SUMIFS('Stock Movement'!$F$2:$F$501,'Stock Movement'!$D$2:$D$501,E12,'Stock Movement'!$E$2:$E$501,"OUT"))</f>
        <v>10</v>
      </c>
      <c r="K12" s="39" t="str">
        <f t="array" ref="K12">IF(G12="","",IFERROR(INDEX('Material Master'!$D$2:$D$201,IFERROR(MATCH(G12,'Material Master'!$F$2:$F$201,0),MATCH(G12,'Material Master'!$A$2:$A$201,0))),""))</f>
        <v>PCS</v>
      </c>
      <c r="L12" s="18" t="s">
        <v>165</v>
      </c>
      <c r="M12" s="24" t="s">
        <v>163</v>
      </c>
    </row>
    <row r="13" ht="24.0" customHeight="1">
      <c r="A13" s="43" t="s">
        <v>19</v>
      </c>
      <c r="B13" s="44">
        <v>2.0</v>
      </c>
      <c r="C13" s="45" t="s">
        <v>157</v>
      </c>
      <c r="D13" s="46" t="s">
        <v>133</v>
      </c>
      <c r="E13" s="47" t="str">
        <f t="shared" si="1"/>
        <v>R01-B02-GL3-A</v>
      </c>
      <c r="F13" s="48" t="str">
        <f t="shared" si="2"/>
        <v>Available</v>
      </c>
      <c r="G13" s="49"/>
      <c r="H13" s="49" t="str">
        <f t="array" ref="H13">IF(G13="","",IFERROR(INDEX('Material Master'!$B$2:$B$201,IFERROR(MATCH(G13,'Material Master'!$F$2:$F$201,0),MATCH(G13,'Material Master'!$A$2:$A$201,0))),""))</f>
        <v/>
      </c>
      <c r="I13" s="49" t="str">
        <f t="array" ref="I13">IF(G13="","",IFERROR(INDEX('Material Master'!$C$2:$C$201,IFERROR(MATCH(G13,'Material Master'!$F$2:$F$201,0),MATCH(G13,'Material Master'!$A$2:$A$201,0))),""))</f>
        <v/>
      </c>
      <c r="J13" s="54">
        <f>IF(E13="","",SUMIFS('Stock Movement'!$F$2:$F$501,'Stock Movement'!$D$2:$D$501,E13,'Stock Movement'!$E$2:$E$501,"IN")-SUMIFS('Stock Movement'!$F$2:$F$501,'Stock Movement'!$D$2:$D$501,E13,'Stock Movement'!$E$2:$E$501,"OUT"))</f>
        <v>0</v>
      </c>
      <c r="K13" s="56" t="str">
        <f t="array" ref="K13">IF(G13="","",IFERROR(INDEX('Material Master'!$D$2:$D$201,IFERROR(MATCH(G13,'Material Master'!$F$2:$F$201,0),MATCH(G13,'Material Master'!$A$2:$A$201,0))),""))</f>
        <v/>
      </c>
      <c r="L13" s="29" t="s">
        <v>174</v>
      </c>
      <c r="M13" s="57" t="s">
        <v>163</v>
      </c>
    </row>
    <row r="14" ht="24.0" customHeight="1">
      <c r="A14" s="61" t="s">
        <v>176</v>
      </c>
      <c r="B14" s="63">
        <v>2.0</v>
      </c>
      <c r="C14" s="61" t="s">
        <v>22</v>
      </c>
      <c r="D14" s="65" t="s">
        <v>133</v>
      </c>
      <c r="E14" s="66" t="str">
        <f t="shared" si="1"/>
        <v>R02-B02-GL1-A</v>
      </c>
      <c r="F14" s="68" t="str">
        <f t="shared" si="2"/>
        <v>Available</v>
      </c>
      <c r="G14" s="69"/>
      <c r="H14" s="69" t="str">
        <f t="array" ref="H14">IF(G14="","",IFERROR(INDEX('Material Master'!$B$2:$B$201,IFERROR(MATCH(G14,'Material Master'!$F$2:$F$201,0),MATCH(G14,'Material Master'!$A$2:$A$201,0))),""))</f>
        <v/>
      </c>
      <c r="I14" s="69" t="str">
        <f t="array" ref="I14">IF(G14="","",IFERROR(INDEX('Material Master'!$C$2:$C$201,IFERROR(MATCH(G14,'Material Master'!$F$2:$F$201,0),MATCH(G14,'Material Master'!$A$2:$A$201,0))),""))</f>
        <v/>
      </c>
      <c r="J14" s="75">
        <f>IF(E14="","",SUMIFS('Stock Movement'!$F$2:$F$501,'Stock Movement'!$D$2:$D$501,E14,'Stock Movement'!$E$2:$E$501,"IN")-SUMIFS('Stock Movement'!$F$2:$F$501,'Stock Movement'!$D$2:$D$501,E14,'Stock Movement'!$E$2:$E$501,"OUT"))</f>
        <v>0</v>
      </c>
      <c r="K14" s="77" t="str">
        <f t="array" ref="K14">IF(G14="","",IFERROR(INDEX('Material Master'!$D$2:$D$201,IFERROR(MATCH(G14,'Material Master'!$F$2:$F$201,0),MATCH(G14,'Material Master'!$A$2:$A$201,0))),""))</f>
        <v/>
      </c>
      <c r="L14" s="18" t="s">
        <v>189</v>
      </c>
      <c r="M14" s="69"/>
    </row>
    <row r="15" ht="24.0" customHeight="1">
      <c r="A15" s="78" t="s">
        <v>19</v>
      </c>
      <c r="B15" s="80">
        <v>1.0</v>
      </c>
      <c r="C15" s="78" t="s">
        <v>22</v>
      </c>
      <c r="D15" s="81" t="s">
        <v>195</v>
      </c>
      <c r="E15" s="82" t="str">
        <f t="shared" si="1"/>
        <v>R01-B01-GL1-A3</v>
      </c>
      <c r="F15" s="83" t="str">
        <f t="shared" si="2"/>
        <v>Available</v>
      </c>
      <c r="G15" s="84" t="s">
        <v>198</v>
      </c>
      <c r="H15" s="85" t="str">
        <f t="array" ref="H15">IF(G15="","",IFERROR(INDEX('Material Master'!$B$2:$B$201,IFERROR(MATCH(G15,'Material Master'!$F$2:$F$201,0),MATCH(G15,'Material Master'!$A$2:$A$201,0))),""))</f>
        <v>ALL FRUIT FORK S/4</v>
      </c>
      <c r="I15" s="85" t="str">
        <f t="array" ref="I15">IF(G15="","",IFERROR(INDEX('Material Master'!$C$2:$C$201,IFERROR(MATCH(G15,'Material Master'!$F$2:$F$201,0),MATCH(G15,'Material Master'!$A$2:$A$201,0))),""))</f>
        <v>CARPENTER</v>
      </c>
      <c r="J15" s="86">
        <f>IF(E15="","",SUMIFS('Stock Movement'!$F$2:$F$501,'Stock Movement'!$D$2:$D$501,E15,'Stock Movement'!$E$2:$E$501,"IN")-SUMIFS('Stock Movement'!$F$2:$F$501,'Stock Movement'!$D$2:$D$501,E15,'Stock Movement'!$E$2:$E$501,"OUT"))</f>
        <v>0</v>
      </c>
      <c r="K15" s="87" t="str">
        <f t="array" ref="K15">IF(G15="","",IFERROR(INDEX('Material Master'!$D$2:$D$201,IFERROR(MATCH(G15,'Material Master'!$F$2:$F$201,0),MATCH(G15,'Material Master'!$A$2:$A$201,0))),""))</f>
        <v>PCS</v>
      </c>
      <c r="L15" s="29" t="s">
        <v>206</v>
      </c>
      <c r="M15" s="85" t="s">
        <v>207</v>
      </c>
    </row>
    <row r="16" ht="24.0" customHeight="1">
      <c r="A16" s="88"/>
      <c r="B16" s="89"/>
      <c r="C16" s="88"/>
      <c r="D16" s="90"/>
      <c r="E16" s="88" t="str">
        <f t="shared" si="1"/>
        <v/>
      </c>
      <c r="F16" s="91" t="str">
        <f t="shared" si="2"/>
        <v/>
      </c>
      <c r="G16" s="69"/>
      <c r="H16" s="69" t="str">
        <f t="array" ref="H16">IF(G16="","",IFERROR(INDEX('Material Master'!$B$2:$B$201,IFERROR(MATCH(G16,'Material Master'!$F$2:$F$201,0),MATCH(G16,'Material Master'!$A$2:$A$201,0))),""))</f>
        <v/>
      </c>
      <c r="I16" s="69" t="str">
        <f t="array" ref="I16">IF(G16="","",IFERROR(INDEX('Material Master'!$C$2:$C$201,IFERROR(MATCH(G16,'Material Master'!$F$2:$F$201,0),MATCH(G16,'Material Master'!$A$2:$A$201,0))),""))</f>
        <v/>
      </c>
      <c r="J16" s="75" t="str">
        <f>IF(E16="","",SUMIFS('Stock Movement'!$F$2:$F$501,'Stock Movement'!$D$2:$D$501,E16,'Stock Movement'!$E$2:$E$501,"IN")-SUMIFS('Stock Movement'!$F$2:$F$501,'Stock Movement'!$D$2:$D$501,E16,'Stock Movement'!$E$2:$E$501,"OUT"))</f>
        <v/>
      </c>
      <c r="K16" s="77" t="str">
        <f t="array" ref="K16">IF(G16="","",IFERROR(INDEX('Material Master'!$D$2:$D$201,IFERROR(MATCH(G16,'Material Master'!$F$2:$F$201,0),MATCH(G16,'Material Master'!$A$2:$A$201,0))),""))</f>
        <v/>
      </c>
      <c r="L16" s="69"/>
      <c r="M16" s="69"/>
    </row>
    <row r="17" ht="24.0" customHeight="1">
      <c r="A17" s="82"/>
      <c r="B17" s="98"/>
      <c r="C17" s="82"/>
      <c r="D17" s="99"/>
      <c r="E17" s="82" t="str">
        <f t="shared" si="1"/>
        <v/>
      </c>
      <c r="F17" s="83" t="str">
        <f t="shared" si="2"/>
        <v/>
      </c>
      <c r="G17" s="85"/>
      <c r="H17" s="85" t="str">
        <f t="array" ref="H17">IF(G17="","",IFERROR(INDEX('Material Master'!$B$2:$B$201,IFERROR(MATCH(G17,'Material Master'!$F$2:$F$201,0),MATCH(G17,'Material Master'!$A$2:$A$201,0))),""))</f>
        <v/>
      </c>
      <c r="I17" s="85" t="str">
        <f t="array" ref="I17">IF(G17="","",IFERROR(INDEX('Material Master'!$C$2:$C$201,IFERROR(MATCH(G17,'Material Master'!$F$2:$F$201,0),MATCH(G17,'Material Master'!$A$2:$A$201,0))),""))</f>
        <v/>
      </c>
      <c r="J17" s="86" t="str">
        <f>IF(E17="","",SUMIFS('Stock Movement'!$F$2:$F$501,'Stock Movement'!$D$2:$D$501,E17,'Stock Movement'!$E$2:$E$501,"IN")-SUMIFS('Stock Movement'!$F$2:$F$501,'Stock Movement'!$D$2:$D$501,E17,'Stock Movement'!$E$2:$E$501,"OUT"))</f>
        <v/>
      </c>
      <c r="K17" s="87" t="str">
        <f t="array" ref="K17">IF(G17="","",IFERROR(INDEX('Material Master'!$D$2:$D$201,IFERROR(MATCH(G17,'Material Master'!$F$2:$F$201,0),MATCH(G17,'Material Master'!$A$2:$A$201,0))),""))</f>
        <v/>
      </c>
      <c r="L17" s="85"/>
      <c r="M17" s="85"/>
    </row>
    <row r="18" ht="24.0" customHeight="1">
      <c r="A18" s="88"/>
      <c r="B18" s="89"/>
      <c r="C18" s="88"/>
      <c r="D18" s="90"/>
      <c r="E18" s="88" t="str">
        <f t="shared" si="1"/>
        <v/>
      </c>
      <c r="F18" s="91" t="str">
        <f t="shared" si="2"/>
        <v/>
      </c>
      <c r="G18" s="69"/>
      <c r="H18" s="69" t="str">
        <f t="array" ref="H18">IF(G18="","",IFERROR(INDEX('Material Master'!$B$2:$B$201,IFERROR(MATCH(G18,'Material Master'!$F$2:$F$201,0),MATCH(G18,'Material Master'!$A$2:$A$201,0))),""))</f>
        <v/>
      </c>
      <c r="I18" s="69" t="str">
        <f t="array" ref="I18">IF(G18="","",IFERROR(INDEX('Material Master'!$C$2:$C$201,IFERROR(MATCH(G18,'Material Master'!$F$2:$F$201,0),MATCH(G18,'Material Master'!$A$2:$A$201,0))),""))</f>
        <v/>
      </c>
      <c r="J18" s="75" t="str">
        <f>IF(E18="","",SUMIFS('Stock Movement'!$F$2:$F$501,'Stock Movement'!$D$2:$D$501,E18,'Stock Movement'!$E$2:$E$501,"IN")-SUMIFS('Stock Movement'!$F$2:$F$501,'Stock Movement'!$D$2:$D$501,E18,'Stock Movement'!$E$2:$E$501,"OUT"))</f>
        <v/>
      </c>
      <c r="K18" s="77" t="str">
        <f t="array" ref="K18">IF(G18="","",IFERROR(INDEX('Material Master'!$D$2:$D$201,IFERROR(MATCH(G18,'Material Master'!$F$2:$F$201,0),MATCH(G18,'Material Master'!$A$2:$A$201,0))),""))</f>
        <v/>
      </c>
      <c r="L18" s="69"/>
      <c r="M18" s="69"/>
    </row>
    <row r="19" ht="24.0" customHeight="1">
      <c r="A19" s="82"/>
      <c r="B19" s="98"/>
      <c r="C19" s="82"/>
      <c r="D19" s="99"/>
      <c r="E19" s="82" t="str">
        <f t="shared" si="1"/>
        <v/>
      </c>
      <c r="F19" s="83" t="str">
        <f t="shared" si="2"/>
        <v/>
      </c>
      <c r="G19" s="85"/>
      <c r="H19" s="85" t="str">
        <f t="array" ref="H19">IF(G19="","",IFERROR(INDEX('Material Master'!$B$2:$B$201,IFERROR(MATCH(G19,'Material Master'!$F$2:$F$201,0),MATCH(G19,'Material Master'!$A$2:$A$201,0))),""))</f>
        <v/>
      </c>
      <c r="I19" s="85" t="str">
        <f t="array" ref="I19">IF(G19="","",IFERROR(INDEX('Material Master'!$C$2:$C$201,IFERROR(MATCH(G19,'Material Master'!$F$2:$F$201,0),MATCH(G19,'Material Master'!$A$2:$A$201,0))),""))</f>
        <v/>
      </c>
      <c r="J19" s="86" t="str">
        <f>IF(E19="","",SUMIFS('Stock Movement'!$F$2:$F$501,'Stock Movement'!$D$2:$D$501,E19,'Stock Movement'!$E$2:$E$501,"IN")-SUMIFS('Stock Movement'!$F$2:$F$501,'Stock Movement'!$D$2:$D$501,E19,'Stock Movement'!$E$2:$E$501,"OUT"))</f>
        <v/>
      </c>
      <c r="K19" s="87" t="str">
        <f t="array" ref="K19">IF(G19="","",IFERROR(INDEX('Material Master'!$D$2:$D$201,IFERROR(MATCH(G19,'Material Master'!$F$2:$F$201,0),MATCH(G19,'Material Master'!$A$2:$A$201,0))),""))</f>
        <v/>
      </c>
      <c r="L19" s="85"/>
      <c r="M19" s="85"/>
    </row>
    <row r="20" ht="24.0" customHeight="1">
      <c r="A20" s="88"/>
      <c r="B20" s="89"/>
      <c r="C20" s="88"/>
      <c r="D20" s="90"/>
      <c r="E20" s="88" t="str">
        <f t="shared" si="1"/>
        <v/>
      </c>
      <c r="F20" s="91" t="str">
        <f t="shared" si="2"/>
        <v/>
      </c>
      <c r="G20" s="69"/>
      <c r="H20" s="69" t="str">
        <f t="array" ref="H20">IF(G20="","",IFERROR(INDEX('Material Master'!$B$2:$B$201,IFERROR(MATCH(G20,'Material Master'!$F$2:$F$201,0),MATCH(G20,'Material Master'!$A$2:$A$201,0))),""))</f>
        <v/>
      </c>
      <c r="I20" s="69" t="str">
        <f t="array" ref="I20">IF(G20="","",IFERROR(INDEX('Material Master'!$C$2:$C$201,IFERROR(MATCH(G20,'Material Master'!$F$2:$F$201,0),MATCH(G20,'Material Master'!$A$2:$A$201,0))),""))</f>
        <v/>
      </c>
      <c r="J20" s="75" t="str">
        <f>IF(E20="","",SUMIFS('Stock Movement'!$F$2:$F$501,'Stock Movement'!$D$2:$D$501,E20,'Stock Movement'!$E$2:$E$501,"IN")-SUMIFS('Stock Movement'!$F$2:$F$501,'Stock Movement'!$D$2:$D$501,E20,'Stock Movement'!$E$2:$E$501,"OUT"))</f>
        <v/>
      </c>
      <c r="K20" s="77" t="str">
        <f t="array" ref="K20">IF(G20="","",IFERROR(INDEX('Material Master'!$D$2:$D$201,IFERROR(MATCH(G20,'Material Master'!$F$2:$F$201,0),MATCH(G20,'Material Master'!$A$2:$A$201,0))),""))</f>
        <v/>
      </c>
      <c r="L20" s="69"/>
      <c r="M20" s="69"/>
    </row>
    <row r="21" ht="24.0" customHeight="1">
      <c r="A21" s="82"/>
      <c r="B21" s="98"/>
      <c r="C21" s="82"/>
      <c r="D21" s="99"/>
      <c r="E21" s="82" t="str">
        <f t="shared" si="1"/>
        <v/>
      </c>
      <c r="F21" s="83" t="str">
        <f t="shared" si="2"/>
        <v/>
      </c>
      <c r="G21" s="85"/>
      <c r="H21" s="85" t="str">
        <f t="array" ref="H21">IF(G21="","",IFERROR(INDEX('Material Master'!$B$2:$B$201,IFERROR(MATCH(G21,'Material Master'!$F$2:$F$201,0),MATCH(G21,'Material Master'!$A$2:$A$201,0))),""))</f>
        <v/>
      </c>
      <c r="I21" s="85" t="str">
        <f t="array" ref="I21">IF(G21="","",IFERROR(INDEX('Material Master'!$C$2:$C$201,IFERROR(MATCH(G21,'Material Master'!$F$2:$F$201,0),MATCH(G21,'Material Master'!$A$2:$A$201,0))),""))</f>
        <v/>
      </c>
      <c r="J21" s="86" t="str">
        <f>IF(E21="","",SUMIFS('Stock Movement'!$F$2:$F$501,'Stock Movement'!$D$2:$D$501,E21,'Stock Movement'!$E$2:$E$501,"IN")-SUMIFS('Stock Movement'!$F$2:$F$501,'Stock Movement'!$D$2:$D$501,E21,'Stock Movement'!$E$2:$E$501,"OUT"))</f>
        <v/>
      </c>
      <c r="K21" s="87" t="str">
        <f t="array" ref="K21">IF(G21="","",IFERROR(INDEX('Material Master'!$D$2:$D$201,IFERROR(MATCH(G21,'Material Master'!$F$2:$F$201,0),MATCH(G21,'Material Master'!$A$2:$A$201,0))),""))</f>
        <v/>
      </c>
      <c r="L21" s="85"/>
      <c r="M21" s="85"/>
    </row>
    <row r="22" ht="24.0" customHeight="1">
      <c r="A22" s="88"/>
      <c r="B22" s="89"/>
      <c r="C22" s="88"/>
      <c r="D22" s="90"/>
      <c r="E22" s="88" t="str">
        <f t="shared" si="1"/>
        <v/>
      </c>
      <c r="F22" s="91" t="str">
        <f t="shared" si="2"/>
        <v/>
      </c>
      <c r="G22" s="69"/>
      <c r="H22" s="69" t="str">
        <f t="array" ref="H22">IF(G22="","",IFERROR(INDEX('Material Master'!$B$2:$B$201,IFERROR(MATCH(G22,'Material Master'!$F$2:$F$201,0),MATCH(G22,'Material Master'!$A$2:$A$201,0))),""))</f>
        <v/>
      </c>
      <c r="I22" s="69" t="str">
        <f t="array" ref="I22">IF(G22="","",IFERROR(INDEX('Material Master'!$C$2:$C$201,IFERROR(MATCH(G22,'Material Master'!$F$2:$F$201,0),MATCH(G22,'Material Master'!$A$2:$A$201,0))),""))</f>
        <v/>
      </c>
      <c r="J22" s="75" t="str">
        <f>IF(E22="","",SUMIFS('Stock Movement'!$F$2:$F$501,'Stock Movement'!$D$2:$D$501,E22,'Stock Movement'!$E$2:$E$501,"IN")-SUMIFS('Stock Movement'!$F$2:$F$501,'Stock Movement'!$D$2:$D$501,E22,'Stock Movement'!$E$2:$E$501,"OUT"))</f>
        <v/>
      </c>
      <c r="K22" s="77" t="str">
        <f t="array" ref="K22">IF(G22="","",IFERROR(INDEX('Material Master'!$D$2:$D$201,IFERROR(MATCH(G22,'Material Master'!$F$2:$F$201,0),MATCH(G22,'Material Master'!$A$2:$A$201,0))),""))</f>
        <v/>
      </c>
      <c r="L22" s="69"/>
      <c r="M22" s="69"/>
    </row>
    <row r="23" ht="24.0" customHeight="1">
      <c r="A23" s="82"/>
      <c r="B23" s="98"/>
      <c r="C23" s="82"/>
      <c r="D23" s="99"/>
      <c r="E23" s="82" t="str">
        <f t="shared" si="1"/>
        <v/>
      </c>
      <c r="F23" s="83" t="str">
        <f t="shared" si="2"/>
        <v/>
      </c>
      <c r="G23" s="85"/>
      <c r="H23" s="85" t="str">
        <f t="array" ref="H23">IF(G23="","",IFERROR(INDEX('Material Master'!$B$2:$B$201,IFERROR(MATCH(G23,'Material Master'!$F$2:$F$201,0),MATCH(G23,'Material Master'!$A$2:$A$201,0))),""))</f>
        <v/>
      </c>
      <c r="I23" s="85" t="str">
        <f t="array" ref="I23">IF(G23="","",IFERROR(INDEX('Material Master'!$C$2:$C$201,IFERROR(MATCH(G23,'Material Master'!$F$2:$F$201,0),MATCH(G23,'Material Master'!$A$2:$A$201,0))),""))</f>
        <v/>
      </c>
      <c r="J23" s="86" t="str">
        <f>IF(E23="","",SUMIFS('Stock Movement'!$F$2:$F$501,'Stock Movement'!$D$2:$D$501,E23,'Stock Movement'!$E$2:$E$501,"IN")-SUMIFS('Stock Movement'!$F$2:$F$501,'Stock Movement'!$D$2:$D$501,E23,'Stock Movement'!$E$2:$E$501,"OUT"))</f>
        <v/>
      </c>
      <c r="K23" s="87" t="str">
        <f t="array" ref="K23">IF(G23="","",IFERROR(INDEX('Material Master'!$D$2:$D$201,IFERROR(MATCH(G23,'Material Master'!$F$2:$F$201,0),MATCH(G23,'Material Master'!$A$2:$A$201,0))),""))</f>
        <v/>
      </c>
      <c r="L23" s="85"/>
      <c r="M23" s="85"/>
    </row>
    <row r="24" ht="24.0" customHeight="1">
      <c r="A24" s="88"/>
      <c r="B24" s="89"/>
      <c r="C24" s="88"/>
      <c r="D24" s="90"/>
      <c r="E24" s="88" t="str">
        <f t="shared" si="1"/>
        <v/>
      </c>
      <c r="F24" s="91" t="str">
        <f t="shared" si="2"/>
        <v/>
      </c>
      <c r="G24" s="69"/>
      <c r="H24" s="69" t="str">
        <f t="array" ref="H24">IF(G24="","",IFERROR(INDEX('Material Master'!$B$2:$B$201,IFERROR(MATCH(G24,'Material Master'!$F$2:$F$201,0),MATCH(G24,'Material Master'!$A$2:$A$201,0))),""))</f>
        <v/>
      </c>
      <c r="I24" s="69" t="str">
        <f t="array" ref="I24">IF(G24="","",IFERROR(INDEX('Material Master'!$C$2:$C$201,IFERROR(MATCH(G24,'Material Master'!$F$2:$F$201,0),MATCH(G24,'Material Master'!$A$2:$A$201,0))),""))</f>
        <v/>
      </c>
      <c r="J24" s="75" t="str">
        <f>IF(E24="","",SUMIFS('Stock Movement'!$F$2:$F$501,'Stock Movement'!$D$2:$D$501,E24,'Stock Movement'!$E$2:$E$501,"IN")-SUMIFS('Stock Movement'!$F$2:$F$501,'Stock Movement'!$D$2:$D$501,E24,'Stock Movement'!$E$2:$E$501,"OUT"))</f>
        <v/>
      </c>
      <c r="K24" s="77" t="str">
        <f t="array" ref="K24">IF(G24="","",IFERROR(INDEX('Material Master'!$D$2:$D$201,IFERROR(MATCH(G24,'Material Master'!$F$2:$F$201,0),MATCH(G24,'Material Master'!$A$2:$A$201,0))),""))</f>
        <v/>
      </c>
      <c r="L24" s="69"/>
      <c r="M24" s="69"/>
    </row>
    <row r="25" ht="24.0" customHeight="1">
      <c r="A25" s="82"/>
      <c r="B25" s="98"/>
      <c r="C25" s="82"/>
      <c r="D25" s="99"/>
      <c r="E25" s="82" t="str">
        <f t="shared" si="1"/>
        <v/>
      </c>
      <c r="F25" s="83" t="str">
        <f t="shared" si="2"/>
        <v/>
      </c>
      <c r="G25" s="85"/>
      <c r="H25" s="85" t="str">
        <f t="array" ref="H25">IF(G25="","",IFERROR(INDEX('Material Master'!$B$2:$B$201,IFERROR(MATCH(G25,'Material Master'!$F$2:$F$201,0),MATCH(G25,'Material Master'!$A$2:$A$201,0))),""))</f>
        <v/>
      </c>
      <c r="I25" s="85" t="str">
        <f t="array" ref="I25">IF(G25="","",IFERROR(INDEX('Material Master'!$C$2:$C$201,IFERROR(MATCH(G25,'Material Master'!$F$2:$F$201,0),MATCH(G25,'Material Master'!$A$2:$A$201,0))),""))</f>
        <v/>
      </c>
      <c r="J25" s="86" t="str">
        <f>IF(E25="","",SUMIFS('Stock Movement'!$F$2:$F$501,'Stock Movement'!$D$2:$D$501,E25,'Stock Movement'!$E$2:$E$501,"IN")-SUMIFS('Stock Movement'!$F$2:$F$501,'Stock Movement'!$D$2:$D$501,E25,'Stock Movement'!$E$2:$E$501,"OUT"))</f>
        <v/>
      </c>
      <c r="K25" s="87" t="str">
        <f t="array" ref="K25">IF(G25="","",IFERROR(INDEX('Material Master'!$D$2:$D$201,IFERROR(MATCH(G25,'Material Master'!$F$2:$F$201,0),MATCH(G25,'Material Master'!$A$2:$A$201,0))),""))</f>
        <v/>
      </c>
      <c r="L25" s="85"/>
      <c r="M25" s="85"/>
    </row>
    <row r="26" ht="24.0" customHeight="1">
      <c r="A26" s="88"/>
      <c r="B26" s="89"/>
      <c r="C26" s="88"/>
      <c r="D26" s="90"/>
      <c r="E26" s="88" t="str">
        <f t="shared" si="1"/>
        <v/>
      </c>
      <c r="F26" s="91" t="str">
        <f t="shared" si="2"/>
        <v/>
      </c>
      <c r="G26" s="69"/>
      <c r="H26" s="69" t="str">
        <f t="array" ref="H26">IF(G26="","",IFERROR(INDEX('Material Master'!$B$2:$B$201,IFERROR(MATCH(G26,'Material Master'!$F$2:$F$201,0),MATCH(G26,'Material Master'!$A$2:$A$201,0))),""))</f>
        <v/>
      </c>
      <c r="I26" s="69" t="str">
        <f t="array" ref="I26">IF(G26="","",IFERROR(INDEX('Material Master'!$C$2:$C$201,IFERROR(MATCH(G26,'Material Master'!$F$2:$F$201,0),MATCH(G26,'Material Master'!$A$2:$A$201,0))),""))</f>
        <v/>
      </c>
      <c r="J26" s="75" t="str">
        <f>IF(E26="","",SUMIFS('Stock Movement'!$F$2:$F$501,'Stock Movement'!$D$2:$D$501,E26,'Stock Movement'!$E$2:$E$501,"IN")-SUMIFS('Stock Movement'!$F$2:$F$501,'Stock Movement'!$D$2:$D$501,E26,'Stock Movement'!$E$2:$E$501,"OUT"))</f>
        <v/>
      </c>
      <c r="K26" s="77" t="str">
        <f t="array" ref="K26">IF(G26="","",IFERROR(INDEX('Material Master'!$D$2:$D$201,IFERROR(MATCH(G26,'Material Master'!$F$2:$F$201,0),MATCH(G26,'Material Master'!$A$2:$A$201,0))),""))</f>
        <v/>
      </c>
      <c r="L26" s="69"/>
      <c r="M26" s="69"/>
    </row>
    <row r="27" ht="24.0" customHeight="1">
      <c r="A27" s="82"/>
      <c r="B27" s="98"/>
      <c r="C27" s="82"/>
      <c r="D27" s="99"/>
      <c r="E27" s="82" t="str">
        <f t="shared" si="1"/>
        <v/>
      </c>
      <c r="F27" s="83" t="str">
        <f t="shared" si="2"/>
        <v/>
      </c>
      <c r="G27" s="85"/>
      <c r="H27" s="85" t="str">
        <f t="array" ref="H27">IF(G27="","",IFERROR(INDEX('Material Master'!$B$2:$B$201,IFERROR(MATCH(G27,'Material Master'!$F$2:$F$201,0),MATCH(G27,'Material Master'!$A$2:$A$201,0))),""))</f>
        <v/>
      </c>
      <c r="I27" s="85" t="str">
        <f t="array" ref="I27">IF(G27="","",IFERROR(INDEX('Material Master'!$C$2:$C$201,IFERROR(MATCH(G27,'Material Master'!$F$2:$F$201,0),MATCH(G27,'Material Master'!$A$2:$A$201,0))),""))</f>
        <v/>
      </c>
      <c r="J27" s="86" t="str">
        <f>IF(E27="","",SUMIFS('Stock Movement'!$F$2:$F$501,'Stock Movement'!$D$2:$D$501,E27,'Stock Movement'!$E$2:$E$501,"IN")-SUMIFS('Stock Movement'!$F$2:$F$501,'Stock Movement'!$D$2:$D$501,E27,'Stock Movement'!$E$2:$E$501,"OUT"))</f>
        <v/>
      </c>
      <c r="K27" s="87" t="str">
        <f t="array" ref="K27">IF(G27="","",IFERROR(INDEX('Material Master'!$D$2:$D$201,IFERROR(MATCH(G27,'Material Master'!$F$2:$F$201,0),MATCH(G27,'Material Master'!$A$2:$A$201,0))),""))</f>
        <v/>
      </c>
      <c r="L27" s="85"/>
      <c r="M27" s="85"/>
    </row>
    <row r="28" ht="24.0" customHeight="1">
      <c r="A28" s="88"/>
      <c r="B28" s="89"/>
      <c r="C28" s="88"/>
      <c r="D28" s="90"/>
      <c r="E28" s="88" t="str">
        <f t="shared" si="1"/>
        <v/>
      </c>
      <c r="F28" s="91" t="str">
        <f t="shared" si="2"/>
        <v/>
      </c>
      <c r="G28" s="69"/>
      <c r="H28" s="69" t="str">
        <f t="array" ref="H28">IF(G28="","",IFERROR(INDEX('Material Master'!$B$2:$B$201,IFERROR(MATCH(G28,'Material Master'!$F$2:$F$201,0),MATCH(G28,'Material Master'!$A$2:$A$201,0))),""))</f>
        <v/>
      </c>
      <c r="I28" s="69" t="str">
        <f t="array" ref="I28">IF(G28="","",IFERROR(INDEX('Material Master'!$C$2:$C$201,IFERROR(MATCH(G28,'Material Master'!$F$2:$F$201,0),MATCH(G28,'Material Master'!$A$2:$A$201,0))),""))</f>
        <v/>
      </c>
      <c r="J28" s="75" t="str">
        <f>IF(E28="","",SUMIFS('Stock Movement'!$F$2:$F$501,'Stock Movement'!$D$2:$D$501,E28,'Stock Movement'!$E$2:$E$501,"IN")-SUMIFS('Stock Movement'!$F$2:$F$501,'Stock Movement'!$D$2:$D$501,E28,'Stock Movement'!$E$2:$E$501,"OUT"))</f>
        <v/>
      </c>
      <c r="K28" s="77" t="str">
        <f t="array" ref="K28">IF(G28="","",IFERROR(INDEX('Material Master'!$D$2:$D$201,IFERROR(MATCH(G28,'Material Master'!$F$2:$F$201,0),MATCH(G28,'Material Master'!$A$2:$A$201,0))),""))</f>
        <v/>
      </c>
      <c r="L28" s="69"/>
      <c r="M28" s="69"/>
    </row>
    <row r="29" ht="24.0" customHeight="1">
      <c r="A29" s="82"/>
      <c r="B29" s="98"/>
      <c r="C29" s="82"/>
      <c r="D29" s="99"/>
      <c r="E29" s="82" t="str">
        <f t="shared" si="1"/>
        <v/>
      </c>
      <c r="F29" s="83" t="str">
        <f t="shared" si="2"/>
        <v/>
      </c>
      <c r="G29" s="85"/>
      <c r="H29" s="85" t="str">
        <f t="array" ref="H29">IF(G29="","",IFERROR(INDEX('Material Master'!$B$2:$B$201,IFERROR(MATCH(G29,'Material Master'!$F$2:$F$201,0),MATCH(G29,'Material Master'!$A$2:$A$201,0))),""))</f>
        <v/>
      </c>
      <c r="I29" s="85" t="str">
        <f t="array" ref="I29">IF(G29="","",IFERROR(INDEX('Material Master'!$C$2:$C$201,IFERROR(MATCH(G29,'Material Master'!$F$2:$F$201,0),MATCH(G29,'Material Master'!$A$2:$A$201,0))),""))</f>
        <v/>
      </c>
      <c r="J29" s="86" t="str">
        <f>IF(E29="","",SUMIFS('Stock Movement'!$F$2:$F$501,'Stock Movement'!$D$2:$D$501,E29,'Stock Movement'!$E$2:$E$501,"IN")-SUMIFS('Stock Movement'!$F$2:$F$501,'Stock Movement'!$D$2:$D$501,E29,'Stock Movement'!$E$2:$E$501,"OUT"))</f>
        <v/>
      </c>
      <c r="K29" s="87" t="str">
        <f t="array" ref="K29">IF(G29="","",IFERROR(INDEX('Material Master'!$D$2:$D$201,IFERROR(MATCH(G29,'Material Master'!$F$2:$F$201,0),MATCH(G29,'Material Master'!$A$2:$A$201,0))),""))</f>
        <v/>
      </c>
      <c r="L29" s="85"/>
      <c r="M29" s="85"/>
    </row>
    <row r="30" ht="24.0" customHeight="1">
      <c r="A30" s="88"/>
      <c r="B30" s="89"/>
      <c r="C30" s="88"/>
      <c r="D30" s="90"/>
      <c r="E30" s="88" t="str">
        <f t="shared" si="1"/>
        <v/>
      </c>
      <c r="F30" s="91" t="str">
        <f t="shared" si="2"/>
        <v/>
      </c>
      <c r="G30" s="69"/>
      <c r="H30" s="69" t="str">
        <f t="array" ref="H30">IF(G30="","",IFERROR(INDEX('Material Master'!$B$2:$B$201,IFERROR(MATCH(G30,'Material Master'!$F$2:$F$201,0),MATCH(G30,'Material Master'!$A$2:$A$201,0))),""))</f>
        <v/>
      </c>
      <c r="I30" s="69" t="str">
        <f t="array" ref="I30">IF(G30="","",IFERROR(INDEX('Material Master'!$C$2:$C$201,IFERROR(MATCH(G30,'Material Master'!$F$2:$F$201,0),MATCH(G30,'Material Master'!$A$2:$A$201,0))),""))</f>
        <v/>
      </c>
      <c r="J30" s="75" t="str">
        <f>IF(E30="","",SUMIFS('Stock Movement'!$F$2:$F$501,'Stock Movement'!$D$2:$D$501,E30,'Stock Movement'!$E$2:$E$501,"IN")-SUMIFS('Stock Movement'!$F$2:$F$501,'Stock Movement'!$D$2:$D$501,E30,'Stock Movement'!$E$2:$E$501,"OUT"))</f>
        <v/>
      </c>
      <c r="K30" s="77" t="str">
        <f t="array" ref="K30">IF(G30="","",IFERROR(INDEX('Material Master'!$D$2:$D$201,IFERROR(MATCH(G30,'Material Master'!$F$2:$F$201,0),MATCH(G30,'Material Master'!$A$2:$A$201,0))),""))</f>
        <v/>
      </c>
      <c r="L30" s="69"/>
      <c r="M30" s="69"/>
    </row>
    <row r="31" ht="24.0" customHeight="1">
      <c r="A31" s="82"/>
      <c r="B31" s="98"/>
      <c r="C31" s="82"/>
      <c r="D31" s="99"/>
      <c r="E31" s="82" t="str">
        <f t="shared" si="1"/>
        <v/>
      </c>
      <c r="F31" s="83" t="str">
        <f t="shared" si="2"/>
        <v/>
      </c>
      <c r="G31" s="85"/>
      <c r="H31" s="85" t="str">
        <f t="array" ref="H31">IF(G31="","",IFERROR(INDEX('Material Master'!$B$2:$B$201,IFERROR(MATCH(G31,'Material Master'!$F$2:$F$201,0),MATCH(G31,'Material Master'!$A$2:$A$201,0))),""))</f>
        <v/>
      </c>
      <c r="I31" s="85" t="str">
        <f t="array" ref="I31">IF(G31="","",IFERROR(INDEX('Material Master'!$C$2:$C$201,IFERROR(MATCH(G31,'Material Master'!$F$2:$F$201,0),MATCH(G31,'Material Master'!$A$2:$A$201,0))),""))</f>
        <v/>
      </c>
      <c r="J31" s="86" t="str">
        <f>IF(E31="","",SUMIFS('Stock Movement'!$F$2:$F$501,'Stock Movement'!$D$2:$D$501,E31,'Stock Movement'!$E$2:$E$501,"IN")-SUMIFS('Stock Movement'!$F$2:$F$501,'Stock Movement'!$D$2:$D$501,E31,'Stock Movement'!$E$2:$E$501,"OUT"))</f>
        <v/>
      </c>
      <c r="K31" s="87" t="str">
        <f t="array" ref="K31">IF(G31="","",IFERROR(INDEX('Material Master'!$D$2:$D$201,IFERROR(MATCH(G31,'Material Master'!$F$2:$F$201,0),MATCH(G31,'Material Master'!$A$2:$A$201,0))),""))</f>
        <v/>
      </c>
      <c r="L31" s="85"/>
      <c r="M31" s="85"/>
    </row>
    <row r="32" ht="24.0" customHeight="1">
      <c r="A32" s="88"/>
      <c r="B32" s="89"/>
      <c r="C32" s="88"/>
      <c r="D32" s="90"/>
      <c r="E32" s="88" t="str">
        <f t="shared" si="1"/>
        <v/>
      </c>
      <c r="F32" s="91" t="str">
        <f t="shared" si="2"/>
        <v/>
      </c>
      <c r="G32" s="69"/>
      <c r="H32" s="69" t="str">
        <f t="array" ref="H32">IF(G32="","",IFERROR(INDEX('Material Master'!$B$2:$B$201,IFERROR(MATCH(G32,'Material Master'!$F$2:$F$201,0),MATCH(G32,'Material Master'!$A$2:$A$201,0))),""))</f>
        <v/>
      </c>
      <c r="I32" s="69" t="str">
        <f t="array" ref="I32">IF(G32="","",IFERROR(INDEX('Material Master'!$C$2:$C$201,IFERROR(MATCH(G32,'Material Master'!$F$2:$F$201,0),MATCH(G32,'Material Master'!$A$2:$A$201,0))),""))</f>
        <v/>
      </c>
      <c r="J32" s="75" t="str">
        <f>IF(E32="","",SUMIFS('Stock Movement'!$F$2:$F$501,'Stock Movement'!$D$2:$D$501,E32,'Stock Movement'!$E$2:$E$501,"IN")-SUMIFS('Stock Movement'!$F$2:$F$501,'Stock Movement'!$D$2:$D$501,E32,'Stock Movement'!$E$2:$E$501,"OUT"))</f>
        <v/>
      </c>
      <c r="K32" s="77" t="str">
        <f t="array" ref="K32">IF(G32="","",IFERROR(INDEX('Material Master'!$D$2:$D$201,IFERROR(MATCH(G32,'Material Master'!$F$2:$F$201,0),MATCH(G32,'Material Master'!$A$2:$A$201,0))),""))</f>
        <v/>
      </c>
      <c r="L32" s="69"/>
      <c r="M32" s="69"/>
    </row>
    <row r="33" ht="24.0" customHeight="1">
      <c r="A33" s="82"/>
      <c r="B33" s="98"/>
      <c r="C33" s="82"/>
      <c r="D33" s="99"/>
      <c r="E33" s="82" t="str">
        <f t="shared" si="1"/>
        <v/>
      </c>
      <c r="F33" s="83" t="str">
        <f t="shared" si="2"/>
        <v/>
      </c>
      <c r="G33" s="85"/>
      <c r="H33" s="85" t="str">
        <f t="array" ref="H33">IF(G33="","",IFERROR(INDEX('Material Master'!$B$2:$B$201,IFERROR(MATCH(G33,'Material Master'!$F$2:$F$201,0),MATCH(G33,'Material Master'!$A$2:$A$201,0))),""))</f>
        <v/>
      </c>
      <c r="I33" s="85" t="str">
        <f t="array" ref="I33">IF(G33="","",IFERROR(INDEX('Material Master'!$C$2:$C$201,IFERROR(MATCH(G33,'Material Master'!$F$2:$F$201,0),MATCH(G33,'Material Master'!$A$2:$A$201,0))),""))</f>
        <v/>
      </c>
      <c r="J33" s="86" t="str">
        <f>IF(E33="","",SUMIFS('Stock Movement'!$F$2:$F$501,'Stock Movement'!$D$2:$D$501,E33,'Stock Movement'!$E$2:$E$501,"IN")-SUMIFS('Stock Movement'!$F$2:$F$501,'Stock Movement'!$D$2:$D$501,E33,'Stock Movement'!$E$2:$E$501,"OUT"))</f>
        <v/>
      </c>
      <c r="K33" s="87" t="str">
        <f t="array" ref="K33">IF(G33="","",IFERROR(INDEX('Material Master'!$D$2:$D$201,IFERROR(MATCH(G33,'Material Master'!$F$2:$F$201,0),MATCH(G33,'Material Master'!$A$2:$A$201,0))),""))</f>
        <v/>
      </c>
      <c r="L33" s="85"/>
      <c r="M33" s="85"/>
    </row>
    <row r="34" ht="24.0" customHeight="1">
      <c r="A34" s="88"/>
      <c r="B34" s="89"/>
      <c r="C34" s="88"/>
      <c r="D34" s="90"/>
      <c r="E34" s="88" t="str">
        <f t="shared" si="1"/>
        <v/>
      </c>
      <c r="F34" s="91" t="str">
        <f t="shared" si="2"/>
        <v/>
      </c>
      <c r="G34" s="69"/>
      <c r="H34" s="69" t="str">
        <f t="array" ref="H34">IF(G34="","",IFERROR(INDEX('Material Master'!$B$2:$B$201,IFERROR(MATCH(G34,'Material Master'!$F$2:$F$201,0),MATCH(G34,'Material Master'!$A$2:$A$201,0))),""))</f>
        <v/>
      </c>
      <c r="I34" s="69" t="str">
        <f t="array" ref="I34">IF(G34="","",IFERROR(INDEX('Material Master'!$C$2:$C$201,IFERROR(MATCH(G34,'Material Master'!$F$2:$F$201,0),MATCH(G34,'Material Master'!$A$2:$A$201,0))),""))</f>
        <v/>
      </c>
      <c r="J34" s="75" t="str">
        <f>IF(E34="","",SUMIFS('Stock Movement'!$F$2:$F$501,'Stock Movement'!$D$2:$D$501,E34,'Stock Movement'!$E$2:$E$501,"IN")-SUMIFS('Stock Movement'!$F$2:$F$501,'Stock Movement'!$D$2:$D$501,E34,'Stock Movement'!$E$2:$E$501,"OUT"))</f>
        <v/>
      </c>
      <c r="K34" s="77" t="str">
        <f t="array" ref="K34">IF(G34="","",IFERROR(INDEX('Material Master'!$D$2:$D$201,IFERROR(MATCH(G34,'Material Master'!$F$2:$F$201,0),MATCH(G34,'Material Master'!$A$2:$A$201,0))),""))</f>
        <v/>
      </c>
      <c r="L34" s="69"/>
      <c r="M34" s="69"/>
    </row>
    <row r="35" ht="24.0" customHeight="1">
      <c r="A35" s="82"/>
      <c r="B35" s="98"/>
      <c r="C35" s="82"/>
      <c r="D35" s="99"/>
      <c r="E35" s="82" t="str">
        <f t="shared" si="1"/>
        <v/>
      </c>
      <c r="F35" s="83" t="str">
        <f t="shared" si="2"/>
        <v/>
      </c>
      <c r="G35" s="85"/>
      <c r="H35" s="85" t="str">
        <f t="array" ref="H35">IF(G35="","",IFERROR(INDEX('Material Master'!$B$2:$B$201,IFERROR(MATCH(G35,'Material Master'!$F$2:$F$201,0),MATCH(G35,'Material Master'!$A$2:$A$201,0))),""))</f>
        <v/>
      </c>
      <c r="I35" s="85" t="str">
        <f t="array" ref="I35">IF(G35="","",IFERROR(INDEX('Material Master'!$C$2:$C$201,IFERROR(MATCH(G35,'Material Master'!$F$2:$F$201,0),MATCH(G35,'Material Master'!$A$2:$A$201,0))),""))</f>
        <v/>
      </c>
      <c r="J35" s="86" t="str">
        <f>IF(E35="","",SUMIFS('Stock Movement'!$F$2:$F$501,'Stock Movement'!$D$2:$D$501,E35,'Stock Movement'!$E$2:$E$501,"IN")-SUMIFS('Stock Movement'!$F$2:$F$501,'Stock Movement'!$D$2:$D$501,E35,'Stock Movement'!$E$2:$E$501,"OUT"))</f>
        <v/>
      </c>
      <c r="K35" s="87" t="str">
        <f t="array" ref="K35">IF(G35="","",IFERROR(INDEX('Material Master'!$D$2:$D$201,IFERROR(MATCH(G35,'Material Master'!$F$2:$F$201,0),MATCH(G35,'Material Master'!$A$2:$A$201,0))),""))</f>
        <v/>
      </c>
      <c r="L35" s="85"/>
      <c r="M35" s="85"/>
    </row>
    <row r="36" ht="24.0" customHeight="1">
      <c r="A36" s="88"/>
      <c r="B36" s="89"/>
      <c r="C36" s="88"/>
      <c r="D36" s="90"/>
      <c r="E36" s="88" t="str">
        <f t="shared" si="1"/>
        <v/>
      </c>
      <c r="F36" s="91" t="str">
        <f t="shared" si="2"/>
        <v/>
      </c>
      <c r="G36" s="69"/>
      <c r="H36" s="69" t="str">
        <f t="array" ref="H36">IF(G36="","",IFERROR(INDEX('Material Master'!$B$2:$B$201,IFERROR(MATCH(G36,'Material Master'!$F$2:$F$201,0),MATCH(G36,'Material Master'!$A$2:$A$201,0))),""))</f>
        <v/>
      </c>
      <c r="I36" s="69" t="str">
        <f t="array" ref="I36">IF(G36="","",IFERROR(INDEX('Material Master'!$C$2:$C$201,IFERROR(MATCH(G36,'Material Master'!$F$2:$F$201,0),MATCH(G36,'Material Master'!$A$2:$A$201,0))),""))</f>
        <v/>
      </c>
      <c r="J36" s="75" t="str">
        <f>IF(E36="","",SUMIFS('Stock Movement'!$F$2:$F$501,'Stock Movement'!$D$2:$D$501,E36,'Stock Movement'!$E$2:$E$501,"IN")-SUMIFS('Stock Movement'!$F$2:$F$501,'Stock Movement'!$D$2:$D$501,E36,'Stock Movement'!$E$2:$E$501,"OUT"))</f>
        <v/>
      </c>
      <c r="K36" s="77" t="str">
        <f t="array" ref="K36">IF(G36="","",IFERROR(INDEX('Material Master'!$D$2:$D$201,IFERROR(MATCH(G36,'Material Master'!$F$2:$F$201,0),MATCH(G36,'Material Master'!$A$2:$A$201,0))),""))</f>
        <v/>
      </c>
      <c r="L36" s="69"/>
      <c r="M36" s="69"/>
    </row>
    <row r="37" ht="24.0" customHeight="1">
      <c r="A37" s="82"/>
      <c r="B37" s="98"/>
      <c r="C37" s="82"/>
      <c r="D37" s="99"/>
      <c r="E37" s="82" t="str">
        <f t="shared" si="1"/>
        <v/>
      </c>
      <c r="F37" s="83" t="str">
        <f t="shared" si="2"/>
        <v/>
      </c>
      <c r="G37" s="85"/>
      <c r="H37" s="85" t="str">
        <f t="array" ref="H37">IF(G37="","",IFERROR(INDEX('Material Master'!$B$2:$B$201,IFERROR(MATCH(G37,'Material Master'!$F$2:$F$201,0),MATCH(G37,'Material Master'!$A$2:$A$201,0))),""))</f>
        <v/>
      </c>
      <c r="I37" s="85" t="str">
        <f t="array" ref="I37">IF(G37="","",IFERROR(INDEX('Material Master'!$C$2:$C$201,IFERROR(MATCH(G37,'Material Master'!$F$2:$F$201,0),MATCH(G37,'Material Master'!$A$2:$A$201,0))),""))</f>
        <v/>
      </c>
      <c r="J37" s="86" t="str">
        <f>IF(E37="","",SUMIFS('Stock Movement'!$F$2:$F$501,'Stock Movement'!$D$2:$D$501,E37,'Stock Movement'!$E$2:$E$501,"IN")-SUMIFS('Stock Movement'!$F$2:$F$501,'Stock Movement'!$D$2:$D$501,E37,'Stock Movement'!$E$2:$E$501,"OUT"))</f>
        <v/>
      </c>
      <c r="K37" s="87" t="str">
        <f t="array" ref="K37">IF(G37="","",IFERROR(INDEX('Material Master'!$D$2:$D$201,IFERROR(MATCH(G37,'Material Master'!$F$2:$F$201,0),MATCH(G37,'Material Master'!$A$2:$A$201,0))),""))</f>
        <v/>
      </c>
      <c r="L37" s="85"/>
      <c r="M37" s="85"/>
    </row>
    <row r="38" ht="24.0" customHeight="1">
      <c r="A38" s="88"/>
      <c r="B38" s="89"/>
      <c r="C38" s="88"/>
      <c r="D38" s="90"/>
      <c r="E38" s="88" t="str">
        <f t="shared" si="1"/>
        <v/>
      </c>
      <c r="F38" s="91" t="str">
        <f t="shared" si="2"/>
        <v/>
      </c>
      <c r="G38" s="69"/>
      <c r="H38" s="69" t="str">
        <f t="array" ref="H38">IF(G38="","",IFERROR(INDEX('Material Master'!$B$2:$B$201,IFERROR(MATCH(G38,'Material Master'!$F$2:$F$201,0),MATCH(G38,'Material Master'!$A$2:$A$201,0))),""))</f>
        <v/>
      </c>
      <c r="I38" s="69" t="str">
        <f t="array" ref="I38">IF(G38="","",IFERROR(INDEX('Material Master'!$C$2:$C$201,IFERROR(MATCH(G38,'Material Master'!$F$2:$F$201,0),MATCH(G38,'Material Master'!$A$2:$A$201,0))),""))</f>
        <v/>
      </c>
      <c r="J38" s="75" t="str">
        <f>IF(E38="","",SUMIFS('Stock Movement'!$F$2:$F$501,'Stock Movement'!$D$2:$D$501,E38,'Stock Movement'!$E$2:$E$501,"IN")-SUMIFS('Stock Movement'!$F$2:$F$501,'Stock Movement'!$D$2:$D$501,E38,'Stock Movement'!$E$2:$E$501,"OUT"))</f>
        <v/>
      </c>
      <c r="K38" s="77" t="str">
        <f t="array" ref="K38">IF(G38="","",IFERROR(INDEX('Material Master'!$D$2:$D$201,IFERROR(MATCH(G38,'Material Master'!$F$2:$F$201,0),MATCH(G38,'Material Master'!$A$2:$A$201,0))),""))</f>
        <v/>
      </c>
      <c r="L38" s="69"/>
      <c r="M38" s="69"/>
    </row>
    <row r="39" ht="24.0" customHeight="1">
      <c r="A39" s="82"/>
      <c r="B39" s="98"/>
      <c r="C39" s="82"/>
      <c r="D39" s="99"/>
      <c r="E39" s="82" t="str">
        <f t="shared" si="1"/>
        <v/>
      </c>
      <c r="F39" s="83" t="str">
        <f t="shared" si="2"/>
        <v/>
      </c>
      <c r="G39" s="85"/>
      <c r="H39" s="85" t="str">
        <f t="array" ref="H39">IF(G39="","",IFERROR(INDEX('Material Master'!$B$2:$B$201,IFERROR(MATCH(G39,'Material Master'!$F$2:$F$201,0),MATCH(G39,'Material Master'!$A$2:$A$201,0))),""))</f>
        <v/>
      </c>
      <c r="I39" s="85" t="str">
        <f t="array" ref="I39">IF(G39="","",IFERROR(INDEX('Material Master'!$C$2:$C$201,IFERROR(MATCH(G39,'Material Master'!$F$2:$F$201,0),MATCH(G39,'Material Master'!$A$2:$A$201,0))),""))</f>
        <v/>
      </c>
      <c r="J39" s="86" t="str">
        <f>IF(E39="","",SUMIFS('Stock Movement'!$F$2:$F$501,'Stock Movement'!$D$2:$D$501,E39,'Stock Movement'!$E$2:$E$501,"IN")-SUMIFS('Stock Movement'!$F$2:$F$501,'Stock Movement'!$D$2:$D$501,E39,'Stock Movement'!$E$2:$E$501,"OUT"))</f>
        <v/>
      </c>
      <c r="K39" s="87" t="str">
        <f t="array" ref="K39">IF(G39="","",IFERROR(INDEX('Material Master'!$D$2:$D$201,IFERROR(MATCH(G39,'Material Master'!$F$2:$F$201,0),MATCH(G39,'Material Master'!$A$2:$A$201,0))),""))</f>
        <v/>
      </c>
      <c r="L39" s="85"/>
      <c r="M39" s="85"/>
    </row>
    <row r="40" ht="24.0" customHeight="1">
      <c r="A40" s="88"/>
      <c r="B40" s="89"/>
      <c r="C40" s="88"/>
      <c r="D40" s="90"/>
      <c r="E40" s="88" t="str">
        <f t="shared" si="1"/>
        <v/>
      </c>
      <c r="F40" s="91" t="str">
        <f t="shared" si="2"/>
        <v/>
      </c>
      <c r="G40" s="69"/>
      <c r="H40" s="69" t="str">
        <f t="array" ref="H40">IF(G40="","",IFERROR(INDEX('Material Master'!$B$2:$B$201,IFERROR(MATCH(G40,'Material Master'!$F$2:$F$201,0),MATCH(G40,'Material Master'!$A$2:$A$201,0))),""))</f>
        <v/>
      </c>
      <c r="I40" s="69" t="str">
        <f t="array" ref="I40">IF(G40="","",IFERROR(INDEX('Material Master'!$C$2:$C$201,IFERROR(MATCH(G40,'Material Master'!$F$2:$F$201,0),MATCH(G40,'Material Master'!$A$2:$A$201,0))),""))</f>
        <v/>
      </c>
      <c r="J40" s="75" t="str">
        <f>IF(E40="","",SUMIFS('Stock Movement'!$F$2:$F$501,'Stock Movement'!$D$2:$D$501,E40,'Stock Movement'!$E$2:$E$501,"IN")-SUMIFS('Stock Movement'!$F$2:$F$501,'Stock Movement'!$D$2:$D$501,E40,'Stock Movement'!$E$2:$E$501,"OUT"))</f>
        <v/>
      </c>
      <c r="K40" s="77" t="str">
        <f t="array" ref="K40">IF(G40="","",IFERROR(INDEX('Material Master'!$D$2:$D$201,IFERROR(MATCH(G40,'Material Master'!$F$2:$F$201,0),MATCH(G40,'Material Master'!$A$2:$A$201,0))),""))</f>
        <v/>
      </c>
      <c r="L40" s="69"/>
      <c r="M40" s="69"/>
    </row>
    <row r="41" ht="24.0" customHeight="1">
      <c r="A41" s="82"/>
      <c r="B41" s="98"/>
      <c r="C41" s="82"/>
      <c r="D41" s="99"/>
      <c r="E41" s="82" t="str">
        <f t="shared" si="1"/>
        <v/>
      </c>
      <c r="F41" s="83" t="str">
        <f t="shared" si="2"/>
        <v/>
      </c>
      <c r="G41" s="85"/>
      <c r="H41" s="85" t="str">
        <f t="array" ref="H41">IF(G41="","",IFERROR(INDEX('Material Master'!$B$2:$B$201,IFERROR(MATCH(G41,'Material Master'!$F$2:$F$201,0),MATCH(G41,'Material Master'!$A$2:$A$201,0))),""))</f>
        <v/>
      </c>
      <c r="I41" s="85" t="str">
        <f t="array" ref="I41">IF(G41="","",IFERROR(INDEX('Material Master'!$C$2:$C$201,IFERROR(MATCH(G41,'Material Master'!$F$2:$F$201,0),MATCH(G41,'Material Master'!$A$2:$A$201,0))),""))</f>
        <v/>
      </c>
      <c r="J41" s="86" t="str">
        <f>IF(E41="","",SUMIFS('Stock Movement'!$F$2:$F$501,'Stock Movement'!$D$2:$D$501,E41,'Stock Movement'!$E$2:$E$501,"IN")-SUMIFS('Stock Movement'!$F$2:$F$501,'Stock Movement'!$D$2:$D$501,E41,'Stock Movement'!$E$2:$E$501,"OUT"))</f>
        <v/>
      </c>
      <c r="K41" s="87" t="str">
        <f t="array" ref="K41">IF(G41="","",IFERROR(INDEX('Material Master'!$D$2:$D$201,IFERROR(MATCH(G41,'Material Master'!$F$2:$F$201,0),MATCH(G41,'Material Master'!$A$2:$A$201,0))),""))</f>
        <v/>
      </c>
      <c r="L41" s="85"/>
      <c r="M41" s="85"/>
    </row>
    <row r="42" ht="24.0" customHeight="1">
      <c r="A42" s="88"/>
      <c r="B42" s="89"/>
      <c r="C42" s="88"/>
      <c r="D42" s="90"/>
      <c r="E42" s="88" t="str">
        <f t="shared" si="1"/>
        <v/>
      </c>
      <c r="F42" s="91" t="str">
        <f t="shared" si="2"/>
        <v/>
      </c>
      <c r="G42" s="69"/>
      <c r="H42" s="69" t="str">
        <f t="array" ref="H42">IF(G42="","",IFERROR(INDEX('Material Master'!$B$2:$B$201,IFERROR(MATCH(G42,'Material Master'!$F$2:$F$201,0),MATCH(G42,'Material Master'!$A$2:$A$201,0))),""))</f>
        <v/>
      </c>
      <c r="I42" s="69" t="str">
        <f t="array" ref="I42">IF(G42="","",IFERROR(INDEX('Material Master'!$C$2:$C$201,IFERROR(MATCH(G42,'Material Master'!$F$2:$F$201,0),MATCH(G42,'Material Master'!$A$2:$A$201,0))),""))</f>
        <v/>
      </c>
      <c r="J42" s="75" t="str">
        <f>IF(E42="","",SUMIFS('Stock Movement'!$F$2:$F$501,'Stock Movement'!$D$2:$D$501,E42,'Stock Movement'!$E$2:$E$501,"IN")-SUMIFS('Stock Movement'!$F$2:$F$501,'Stock Movement'!$D$2:$D$501,E42,'Stock Movement'!$E$2:$E$501,"OUT"))</f>
        <v/>
      </c>
      <c r="K42" s="77" t="str">
        <f t="array" ref="K42">IF(G42="","",IFERROR(INDEX('Material Master'!$D$2:$D$201,IFERROR(MATCH(G42,'Material Master'!$F$2:$F$201,0),MATCH(G42,'Material Master'!$A$2:$A$201,0))),""))</f>
        <v/>
      </c>
      <c r="L42" s="69"/>
      <c r="M42" s="69"/>
    </row>
    <row r="43" ht="24.0" customHeight="1">
      <c r="A43" s="82"/>
      <c r="B43" s="98"/>
      <c r="C43" s="82"/>
      <c r="D43" s="99"/>
      <c r="E43" s="82" t="str">
        <f t="shared" si="1"/>
        <v/>
      </c>
      <c r="F43" s="83" t="str">
        <f t="shared" si="2"/>
        <v/>
      </c>
      <c r="G43" s="85"/>
      <c r="H43" s="85" t="str">
        <f t="array" ref="H43">IF(G43="","",IFERROR(INDEX('Material Master'!$B$2:$B$201,IFERROR(MATCH(G43,'Material Master'!$F$2:$F$201,0),MATCH(G43,'Material Master'!$A$2:$A$201,0))),""))</f>
        <v/>
      </c>
      <c r="I43" s="85" t="str">
        <f t="array" ref="I43">IF(G43="","",IFERROR(INDEX('Material Master'!$C$2:$C$201,IFERROR(MATCH(G43,'Material Master'!$F$2:$F$201,0),MATCH(G43,'Material Master'!$A$2:$A$201,0))),""))</f>
        <v/>
      </c>
      <c r="J43" s="86" t="str">
        <f>IF(E43="","",SUMIFS('Stock Movement'!$F$2:$F$501,'Stock Movement'!$D$2:$D$501,E43,'Stock Movement'!$E$2:$E$501,"IN")-SUMIFS('Stock Movement'!$F$2:$F$501,'Stock Movement'!$D$2:$D$501,E43,'Stock Movement'!$E$2:$E$501,"OUT"))</f>
        <v/>
      </c>
      <c r="K43" s="87" t="str">
        <f t="array" ref="K43">IF(G43="","",IFERROR(INDEX('Material Master'!$D$2:$D$201,IFERROR(MATCH(G43,'Material Master'!$F$2:$F$201,0),MATCH(G43,'Material Master'!$A$2:$A$201,0))),""))</f>
        <v/>
      </c>
      <c r="L43" s="85"/>
      <c r="M43" s="85"/>
    </row>
    <row r="44" ht="24.0" customHeight="1">
      <c r="A44" s="88"/>
      <c r="B44" s="89"/>
      <c r="C44" s="88"/>
      <c r="D44" s="90"/>
      <c r="E44" s="88" t="str">
        <f t="shared" si="1"/>
        <v/>
      </c>
      <c r="F44" s="91" t="str">
        <f t="shared" si="2"/>
        <v/>
      </c>
      <c r="G44" s="69"/>
      <c r="H44" s="69" t="str">
        <f t="array" ref="H44">IF(G44="","",IFERROR(INDEX('Material Master'!$B$2:$B$201,IFERROR(MATCH(G44,'Material Master'!$F$2:$F$201,0),MATCH(G44,'Material Master'!$A$2:$A$201,0))),""))</f>
        <v/>
      </c>
      <c r="I44" s="69" t="str">
        <f t="array" ref="I44">IF(G44="","",IFERROR(INDEX('Material Master'!$C$2:$C$201,IFERROR(MATCH(G44,'Material Master'!$F$2:$F$201,0),MATCH(G44,'Material Master'!$A$2:$A$201,0))),""))</f>
        <v/>
      </c>
      <c r="J44" s="75" t="str">
        <f>IF(E44="","",SUMIFS('Stock Movement'!$F$2:$F$501,'Stock Movement'!$D$2:$D$501,E44,'Stock Movement'!$E$2:$E$501,"IN")-SUMIFS('Stock Movement'!$F$2:$F$501,'Stock Movement'!$D$2:$D$501,E44,'Stock Movement'!$E$2:$E$501,"OUT"))</f>
        <v/>
      </c>
      <c r="K44" s="77" t="str">
        <f t="array" ref="K44">IF(G44="","",IFERROR(INDEX('Material Master'!$D$2:$D$201,IFERROR(MATCH(G44,'Material Master'!$F$2:$F$201,0),MATCH(G44,'Material Master'!$A$2:$A$201,0))),""))</f>
        <v/>
      </c>
      <c r="L44" s="69"/>
      <c r="M44" s="69"/>
    </row>
    <row r="45" ht="24.0" customHeight="1">
      <c r="A45" s="82"/>
      <c r="B45" s="98"/>
      <c r="C45" s="82"/>
      <c r="D45" s="99"/>
      <c r="E45" s="82" t="str">
        <f t="shared" si="1"/>
        <v/>
      </c>
      <c r="F45" s="83" t="str">
        <f t="shared" si="2"/>
        <v/>
      </c>
      <c r="G45" s="85"/>
      <c r="H45" s="85" t="str">
        <f t="array" ref="H45">IF(G45="","",IFERROR(INDEX('Material Master'!$B$2:$B$201,IFERROR(MATCH(G45,'Material Master'!$F$2:$F$201,0),MATCH(G45,'Material Master'!$A$2:$A$201,0))),""))</f>
        <v/>
      </c>
      <c r="I45" s="85" t="str">
        <f t="array" ref="I45">IF(G45="","",IFERROR(INDEX('Material Master'!$C$2:$C$201,IFERROR(MATCH(G45,'Material Master'!$F$2:$F$201,0),MATCH(G45,'Material Master'!$A$2:$A$201,0))),""))</f>
        <v/>
      </c>
      <c r="J45" s="86" t="str">
        <f>IF(E45="","",SUMIFS('Stock Movement'!$F$2:$F$501,'Stock Movement'!$D$2:$D$501,E45,'Stock Movement'!$E$2:$E$501,"IN")-SUMIFS('Stock Movement'!$F$2:$F$501,'Stock Movement'!$D$2:$D$501,E45,'Stock Movement'!$E$2:$E$501,"OUT"))</f>
        <v/>
      </c>
      <c r="K45" s="87" t="str">
        <f t="array" ref="K45">IF(G45="","",IFERROR(INDEX('Material Master'!$D$2:$D$201,IFERROR(MATCH(G45,'Material Master'!$F$2:$F$201,0),MATCH(G45,'Material Master'!$A$2:$A$201,0))),""))</f>
        <v/>
      </c>
      <c r="L45" s="85"/>
      <c r="M45" s="85"/>
    </row>
    <row r="46" ht="24.0" customHeight="1">
      <c r="A46" s="88"/>
      <c r="B46" s="89"/>
      <c r="C46" s="88"/>
      <c r="D46" s="90"/>
      <c r="E46" s="88" t="str">
        <f t="shared" si="1"/>
        <v/>
      </c>
      <c r="F46" s="91" t="str">
        <f t="shared" si="2"/>
        <v/>
      </c>
      <c r="G46" s="69"/>
      <c r="H46" s="69" t="str">
        <f t="array" ref="H46">IF(G46="","",IFERROR(INDEX('Material Master'!$B$2:$B$201,IFERROR(MATCH(G46,'Material Master'!$F$2:$F$201,0),MATCH(G46,'Material Master'!$A$2:$A$201,0))),""))</f>
        <v/>
      </c>
      <c r="I46" s="69" t="str">
        <f t="array" ref="I46">IF(G46="","",IFERROR(INDEX('Material Master'!$C$2:$C$201,IFERROR(MATCH(G46,'Material Master'!$F$2:$F$201,0),MATCH(G46,'Material Master'!$A$2:$A$201,0))),""))</f>
        <v/>
      </c>
      <c r="J46" s="75" t="str">
        <f>IF(E46="","",SUMIFS('Stock Movement'!$F$2:$F$501,'Stock Movement'!$D$2:$D$501,E46,'Stock Movement'!$E$2:$E$501,"IN")-SUMIFS('Stock Movement'!$F$2:$F$501,'Stock Movement'!$D$2:$D$501,E46,'Stock Movement'!$E$2:$E$501,"OUT"))</f>
        <v/>
      </c>
      <c r="K46" s="77" t="str">
        <f t="array" ref="K46">IF(G46="","",IFERROR(INDEX('Material Master'!$D$2:$D$201,IFERROR(MATCH(G46,'Material Master'!$F$2:$F$201,0),MATCH(G46,'Material Master'!$A$2:$A$201,0))),""))</f>
        <v/>
      </c>
      <c r="L46" s="69"/>
      <c r="M46" s="69"/>
    </row>
    <row r="47" ht="24.0" customHeight="1">
      <c r="A47" s="82"/>
      <c r="B47" s="98"/>
      <c r="C47" s="82"/>
      <c r="D47" s="99"/>
      <c r="E47" s="82" t="str">
        <f t="shared" si="1"/>
        <v/>
      </c>
      <c r="F47" s="83" t="str">
        <f t="shared" si="2"/>
        <v/>
      </c>
      <c r="G47" s="85"/>
      <c r="H47" s="85" t="str">
        <f t="array" ref="H47">IF(G47="","",IFERROR(INDEX('Material Master'!$B$2:$B$201,IFERROR(MATCH(G47,'Material Master'!$F$2:$F$201,0),MATCH(G47,'Material Master'!$A$2:$A$201,0))),""))</f>
        <v/>
      </c>
      <c r="I47" s="85" t="str">
        <f t="array" ref="I47">IF(G47="","",IFERROR(INDEX('Material Master'!$C$2:$C$201,IFERROR(MATCH(G47,'Material Master'!$F$2:$F$201,0),MATCH(G47,'Material Master'!$A$2:$A$201,0))),""))</f>
        <v/>
      </c>
      <c r="J47" s="86" t="str">
        <f>IF(E47="","",SUMIFS('Stock Movement'!$F$2:$F$501,'Stock Movement'!$D$2:$D$501,E47,'Stock Movement'!$E$2:$E$501,"IN")-SUMIFS('Stock Movement'!$F$2:$F$501,'Stock Movement'!$D$2:$D$501,E47,'Stock Movement'!$E$2:$E$501,"OUT"))</f>
        <v/>
      </c>
      <c r="K47" s="87" t="str">
        <f t="array" ref="K47">IF(G47="","",IFERROR(INDEX('Material Master'!$D$2:$D$201,IFERROR(MATCH(G47,'Material Master'!$F$2:$F$201,0),MATCH(G47,'Material Master'!$A$2:$A$201,0))),""))</f>
        <v/>
      </c>
      <c r="L47" s="85"/>
      <c r="M47" s="85"/>
    </row>
    <row r="48" ht="24.0" customHeight="1">
      <c r="A48" s="88"/>
      <c r="B48" s="89"/>
      <c r="C48" s="88"/>
      <c r="D48" s="90"/>
      <c r="E48" s="88" t="str">
        <f t="shared" si="1"/>
        <v/>
      </c>
      <c r="F48" s="91" t="str">
        <f t="shared" si="2"/>
        <v/>
      </c>
      <c r="G48" s="69"/>
      <c r="H48" s="69" t="str">
        <f t="array" ref="H48">IF(G48="","",IFERROR(INDEX('Material Master'!$B$2:$B$201,IFERROR(MATCH(G48,'Material Master'!$F$2:$F$201,0),MATCH(G48,'Material Master'!$A$2:$A$201,0))),""))</f>
        <v/>
      </c>
      <c r="I48" s="69" t="str">
        <f t="array" ref="I48">IF(G48="","",IFERROR(INDEX('Material Master'!$C$2:$C$201,IFERROR(MATCH(G48,'Material Master'!$F$2:$F$201,0),MATCH(G48,'Material Master'!$A$2:$A$201,0))),""))</f>
        <v/>
      </c>
      <c r="J48" s="75" t="str">
        <f>IF(E48="","",SUMIFS('Stock Movement'!$F$2:$F$501,'Stock Movement'!$D$2:$D$501,E48,'Stock Movement'!$E$2:$E$501,"IN")-SUMIFS('Stock Movement'!$F$2:$F$501,'Stock Movement'!$D$2:$D$501,E48,'Stock Movement'!$E$2:$E$501,"OUT"))</f>
        <v/>
      </c>
      <c r="K48" s="77" t="str">
        <f t="array" ref="K48">IF(G48="","",IFERROR(INDEX('Material Master'!$D$2:$D$201,IFERROR(MATCH(G48,'Material Master'!$F$2:$F$201,0),MATCH(G48,'Material Master'!$A$2:$A$201,0))),""))</f>
        <v/>
      </c>
      <c r="L48" s="69"/>
      <c r="M48" s="69"/>
    </row>
    <row r="49" ht="24.0" customHeight="1">
      <c r="A49" s="82"/>
      <c r="B49" s="98"/>
      <c r="C49" s="82"/>
      <c r="D49" s="99"/>
      <c r="E49" s="82" t="str">
        <f t="shared" si="1"/>
        <v/>
      </c>
      <c r="F49" s="83" t="str">
        <f t="shared" si="2"/>
        <v/>
      </c>
      <c r="G49" s="85"/>
      <c r="H49" s="85" t="str">
        <f t="array" ref="H49">IF(G49="","",IFERROR(INDEX('Material Master'!$B$2:$B$201,IFERROR(MATCH(G49,'Material Master'!$F$2:$F$201,0),MATCH(G49,'Material Master'!$A$2:$A$201,0))),""))</f>
        <v/>
      </c>
      <c r="I49" s="85" t="str">
        <f t="array" ref="I49">IF(G49="","",IFERROR(INDEX('Material Master'!$C$2:$C$201,IFERROR(MATCH(G49,'Material Master'!$F$2:$F$201,0),MATCH(G49,'Material Master'!$A$2:$A$201,0))),""))</f>
        <v/>
      </c>
      <c r="J49" s="86" t="str">
        <f>IF(E49="","",SUMIFS('Stock Movement'!$F$2:$F$501,'Stock Movement'!$D$2:$D$501,E49,'Stock Movement'!$E$2:$E$501,"IN")-SUMIFS('Stock Movement'!$F$2:$F$501,'Stock Movement'!$D$2:$D$501,E49,'Stock Movement'!$E$2:$E$501,"OUT"))</f>
        <v/>
      </c>
      <c r="K49" s="87" t="str">
        <f t="array" ref="K49">IF(G49="","",IFERROR(INDEX('Material Master'!$D$2:$D$201,IFERROR(MATCH(G49,'Material Master'!$F$2:$F$201,0),MATCH(G49,'Material Master'!$A$2:$A$201,0))),""))</f>
        <v/>
      </c>
      <c r="L49" s="85"/>
      <c r="M49" s="85"/>
    </row>
    <row r="50" ht="24.0" customHeight="1">
      <c r="A50" s="88"/>
      <c r="B50" s="89"/>
      <c r="C50" s="88"/>
      <c r="D50" s="90"/>
      <c r="E50" s="88" t="str">
        <f t="shared" si="1"/>
        <v/>
      </c>
      <c r="F50" s="91" t="str">
        <f t="shared" si="2"/>
        <v/>
      </c>
      <c r="G50" s="69"/>
      <c r="H50" s="69" t="str">
        <f t="array" ref="H50">IF(G50="","",IFERROR(INDEX('Material Master'!$B$2:$B$201,IFERROR(MATCH(G50,'Material Master'!$F$2:$F$201,0),MATCH(G50,'Material Master'!$A$2:$A$201,0))),""))</f>
        <v/>
      </c>
      <c r="I50" s="69" t="str">
        <f t="array" ref="I50">IF(G50="","",IFERROR(INDEX('Material Master'!$C$2:$C$201,IFERROR(MATCH(G50,'Material Master'!$F$2:$F$201,0),MATCH(G50,'Material Master'!$A$2:$A$201,0))),""))</f>
        <v/>
      </c>
      <c r="J50" s="75" t="str">
        <f>IF(E50="","",SUMIFS('Stock Movement'!$F$2:$F$501,'Stock Movement'!$D$2:$D$501,E50,'Stock Movement'!$E$2:$E$501,"IN")-SUMIFS('Stock Movement'!$F$2:$F$501,'Stock Movement'!$D$2:$D$501,E50,'Stock Movement'!$E$2:$E$501,"OUT"))</f>
        <v/>
      </c>
      <c r="K50" s="77" t="str">
        <f t="array" ref="K50">IF(G50="","",IFERROR(INDEX('Material Master'!$D$2:$D$201,IFERROR(MATCH(G50,'Material Master'!$F$2:$F$201,0),MATCH(G50,'Material Master'!$A$2:$A$201,0))),""))</f>
        <v/>
      </c>
      <c r="L50" s="69"/>
      <c r="M50" s="69"/>
    </row>
    <row r="51" ht="24.0" customHeight="1">
      <c r="A51" s="82"/>
      <c r="B51" s="98"/>
      <c r="C51" s="82"/>
      <c r="D51" s="99"/>
      <c r="E51" s="82" t="str">
        <f t="shared" si="1"/>
        <v/>
      </c>
      <c r="F51" s="83" t="str">
        <f t="shared" si="2"/>
        <v/>
      </c>
      <c r="G51" s="85"/>
      <c r="H51" s="85" t="str">
        <f t="array" ref="H51">IF(G51="","",IFERROR(INDEX('Material Master'!$B$2:$B$201,IFERROR(MATCH(G51,'Material Master'!$F$2:$F$201,0),MATCH(G51,'Material Master'!$A$2:$A$201,0))),""))</f>
        <v/>
      </c>
      <c r="I51" s="85" t="str">
        <f t="array" ref="I51">IF(G51="","",IFERROR(INDEX('Material Master'!$C$2:$C$201,IFERROR(MATCH(G51,'Material Master'!$F$2:$F$201,0),MATCH(G51,'Material Master'!$A$2:$A$201,0))),""))</f>
        <v/>
      </c>
      <c r="J51" s="86" t="str">
        <f>IF(E51="","",SUMIFS('Stock Movement'!$F$2:$F$501,'Stock Movement'!$D$2:$D$501,E51,'Stock Movement'!$E$2:$E$501,"IN")-SUMIFS('Stock Movement'!$F$2:$F$501,'Stock Movement'!$D$2:$D$501,E51,'Stock Movement'!$E$2:$E$501,"OUT"))</f>
        <v/>
      </c>
      <c r="K51" s="87" t="str">
        <f t="array" ref="K51">IF(G51="","",IFERROR(INDEX('Material Master'!$D$2:$D$201,IFERROR(MATCH(G51,'Material Master'!$F$2:$F$201,0),MATCH(G51,'Material Master'!$A$2:$A$201,0))),""))</f>
        <v/>
      </c>
      <c r="L51" s="85"/>
      <c r="M51" s="85"/>
    </row>
    <row r="52" ht="24.0" customHeight="1">
      <c r="A52" s="88"/>
      <c r="B52" s="89"/>
      <c r="C52" s="88"/>
      <c r="D52" s="90"/>
      <c r="E52" s="88" t="str">
        <f t="shared" si="1"/>
        <v/>
      </c>
      <c r="F52" s="91" t="str">
        <f t="shared" si="2"/>
        <v/>
      </c>
      <c r="G52" s="69"/>
      <c r="H52" s="69" t="str">
        <f t="array" ref="H52">IF(G52="","",IFERROR(INDEX('Material Master'!$B$2:$B$201,IFERROR(MATCH(G52,'Material Master'!$F$2:$F$201,0),MATCH(G52,'Material Master'!$A$2:$A$201,0))),""))</f>
        <v/>
      </c>
      <c r="I52" s="69" t="str">
        <f t="array" ref="I52">IF(G52="","",IFERROR(INDEX('Material Master'!$C$2:$C$201,IFERROR(MATCH(G52,'Material Master'!$F$2:$F$201,0),MATCH(G52,'Material Master'!$A$2:$A$201,0))),""))</f>
        <v/>
      </c>
      <c r="J52" s="75" t="str">
        <f>IF(E52="","",SUMIFS('Stock Movement'!$F$2:$F$501,'Stock Movement'!$D$2:$D$501,E52,'Stock Movement'!$E$2:$E$501,"IN")-SUMIFS('Stock Movement'!$F$2:$F$501,'Stock Movement'!$D$2:$D$501,E52,'Stock Movement'!$E$2:$E$501,"OUT"))</f>
        <v/>
      </c>
      <c r="K52" s="77" t="str">
        <f t="array" ref="K52">IF(G52="","",IFERROR(INDEX('Material Master'!$D$2:$D$201,IFERROR(MATCH(G52,'Material Master'!$F$2:$F$201,0),MATCH(G52,'Material Master'!$A$2:$A$201,0))),""))</f>
        <v/>
      </c>
      <c r="L52" s="69"/>
      <c r="M52" s="69"/>
    </row>
    <row r="53" ht="24.0" customHeight="1">
      <c r="A53" s="82"/>
      <c r="B53" s="98"/>
      <c r="C53" s="82"/>
      <c r="D53" s="99"/>
      <c r="E53" s="82" t="str">
        <f t="shared" si="1"/>
        <v/>
      </c>
      <c r="F53" s="83" t="str">
        <f t="shared" si="2"/>
        <v/>
      </c>
      <c r="G53" s="85"/>
      <c r="H53" s="85" t="str">
        <f t="array" ref="H53">IF(G53="","",IFERROR(INDEX('Material Master'!$B$2:$B$201,IFERROR(MATCH(G53,'Material Master'!$F$2:$F$201,0),MATCH(G53,'Material Master'!$A$2:$A$201,0))),""))</f>
        <v/>
      </c>
      <c r="I53" s="85" t="str">
        <f t="array" ref="I53">IF(G53="","",IFERROR(INDEX('Material Master'!$C$2:$C$201,IFERROR(MATCH(G53,'Material Master'!$F$2:$F$201,0),MATCH(G53,'Material Master'!$A$2:$A$201,0))),""))</f>
        <v/>
      </c>
      <c r="J53" s="86" t="str">
        <f>IF(E53="","",SUMIFS('Stock Movement'!$F$2:$F$501,'Stock Movement'!$D$2:$D$501,E53,'Stock Movement'!$E$2:$E$501,"IN")-SUMIFS('Stock Movement'!$F$2:$F$501,'Stock Movement'!$D$2:$D$501,E53,'Stock Movement'!$E$2:$E$501,"OUT"))</f>
        <v/>
      </c>
      <c r="K53" s="87" t="str">
        <f t="array" ref="K53">IF(G53="","",IFERROR(INDEX('Material Master'!$D$2:$D$201,IFERROR(MATCH(G53,'Material Master'!$F$2:$F$201,0),MATCH(G53,'Material Master'!$A$2:$A$201,0))),""))</f>
        <v/>
      </c>
      <c r="L53" s="85"/>
      <c r="M53" s="85"/>
    </row>
    <row r="54" ht="24.0" customHeight="1">
      <c r="A54" s="88"/>
      <c r="B54" s="89"/>
      <c r="C54" s="88"/>
      <c r="D54" s="90"/>
      <c r="E54" s="88" t="str">
        <f t="shared" si="1"/>
        <v/>
      </c>
      <c r="F54" s="91" t="str">
        <f t="shared" si="2"/>
        <v/>
      </c>
      <c r="G54" s="69"/>
      <c r="H54" s="69" t="str">
        <f t="array" ref="H54">IF(G54="","",IFERROR(INDEX('Material Master'!$B$2:$B$201,IFERROR(MATCH(G54,'Material Master'!$F$2:$F$201,0),MATCH(G54,'Material Master'!$A$2:$A$201,0))),""))</f>
        <v/>
      </c>
      <c r="I54" s="69" t="str">
        <f t="array" ref="I54">IF(G54="","",IFERROR(INDEX('Material Master'!$C$2:$C$201,IFERROR(MATCH(G54,'Material Master'!$F$2:$F$201,0),MATCH(G54,'Material Master'!$A$2:$A$201,0))),""))</f>
        <v/>
      </c>
      <c r="J54" s="75" t="str">
        <f>IF(E54="","",SUMIFS('Stock Movement'!$F$2:$F$501,'Stock Movement'!$D$2:$D$501,E54,'Stock Movement'!$E$2:$E$501,"IN")-SUMIFS('Stock Movement'!$F$2:$F$501,'Stock Movement'!$D$2:$D$501,E54,'Stock Movement'!$E$2:$E$501,"OUT"))</f>
        <v/>
      </c>
      <c r="K54" s="77" t="str">
        <f t="array" ref="K54">IF(G54="","",IFERROR(INDEX('Material Master'!$D$2:$D$201,IFERROR(MATCH(G54,'Material Master'!$F$2:$F$201,0),MATCH(G54,'Material Master'!$A$2:$A$201,0))),""))</f>
        <v/>
      </c>
      <c r="L54" s="69"/>
      <c r="M54" s="69"/>
    </row>
    <row r="55" ht="24.0" customHeight="1">
      <c r="A55" s="82"/>
      <c r="B55" s="98"/>
      <c r="C55" s="82"/>
      <c r="D55" s="99"/>
      <c r="E55" s="82" t="str">
        <f t="shared" si="1"/>
        <v/>
      </c>
      <c r="F55" s="83" t="str">
        <f t="shared" si="2"/>
        <v/>
      </c>
      <c r="G55" s="85"/>
      <c r="H55" s="85" t="str">
        <f t="array" ref="H55">IF(G55="","",IFERROR(INDEX('Material Master'!$B$2:$B$201,IFERROR(MATCH(G55,'Material Master'!$F$2:$F$201,0),MATCH(G55,'Material Master'!$A$2:$A$201,0))),""))</f>
        <v/>
      </c>
      <c r="I55" s="85" t="str">
        <f t="array" ref="I55">IF(G55="","",IFERROR(INDEX('Material Master'!$C$2:$C$201,IFERROR(MATCH(G55,'Material Master'!$F$2:$F$201,0),MATCH(G55,'Material Master'!$A$2:$A$201,0))),""))</f>
        <v/>
      </c>
      <c r="J55" s="86" t="str">
        <f>IF(E55="","",SUMIFS('Stock Movement'!$F$2:$F$501,'Stock Movement'!$D$2:$D$501,E55,'Stock Movement'!$E$2:$E$501,"IN")-SUMIFS('Stock Movement'!$F$2:$F$501,'Stock Movement'!$D$2:$D$501,E55,'Stock Movement'!$E$2:$E$501,"OUT"))</f>
        <v/>
      </c>
      <c r="K55" s="87" t="str">
        <f t="array" ref="K55">IF(G55="","",IFERROR(INDEX('Material Master'!$D$2:$D$201,IFERROR(MATCH(G55,'Material Master'!$F$2:$F$201,0),MATCH(G55,'Material Master'!$A$2:$A$201,0))),""))</f>
        <v/>
      </c>
      <c r="L55" s="85"/>
      <c r="M55" s="85"/>
    </row>
    <row r="56" ht="24.0" customHeight="1">
      <c r="A56" s="88"/>
      <c r="B56" s="89"/>
      <c r="C56" s="88"/>
      <c r="D56" s="90"/>
      <c r="E56" s="88" t="str">
        <f t="shared" si="1"/>
        <v/>
      </c>
      <c r="F56" s="91" t="str">
        <f t="shared" si="2"/>
        <v/>
      </c>
      <c r="G56" s="69"/>
      <c r="H56" s="69" t="str">
        <f t="array" ref="H56">IF(G56="","",IFERROR(INDEX('Material Master'!$B$2:$B$201,IFERROR(MATCH(G56,'Material Master'!$F$2:$F$201,0),MATCH(G56,'Material Master'!$A$2:$A$201,0))),""))</f>
        <v/>
      </c>
      <c r="I56" s="69" t="str">
        <f t="array" ref="I56">IF(G56="","",IFERROR(INDEX('Material Master'!$C$2:$C$201,IFERROR(MATCH(G56,'Material Master'!$F$2:$F$201,0),MATCH(G56,'Material Master'!$A$2:$A$201,0))),""))</f>
        <v/>
      </c>
      <c r="J56" s="75" t="str">
        <f>IF(E56="","",SUMIFS('Stock Movement'!$F$2:$F$501,'Stock Movement'!$D$2:$D$501,E56,'Stock Movement'!$E$2:$E$501,"IN")-SUMIFS('Stock Movement'!$F$2:$F$501,'Stock Movement'!$D$2:$D$501,E56,'Stock Movement'!$E$2:$E$501,"OUT"))</f>
        <v/>
      </c>
      <c r="K56" s="77" t="str">
        <f t="array" ref="K56">IF(G56="","",IFERROR(INDEX('Material Master'!$D$2:$D$201,IFERROR(MATCH(G56,'Material Master'!$F$2:$F$201,0),MATCH(G56,'Material Master'!$A$2:$A$201,0))),""))</f>
        <v/>
      </c>
      <c r="L56" s="69"/>
      <c r="M56" s="69"/>
    </row>
    <row r="57" ht="24.0" customHeight="1">
      <c r="A57" s="82"/>
      <c r="B57" s="98"/>
      <c r="C57" s="82"/>
      <c r="D57" s="99"/>
      <c r="E57" s="82" t="str">
        <f t="shared" si="1"/>
        <v/>
      </c>
      <c r="F57" s="83" t="str">
        <f t="shared" si="2"/>
        <v/>
      </c>
      <c r="G57" s="85"/>
      <c r="H57" s="85" t="str">
        <f t="array" ref="H57">IF(G57="","",IFERROR(INDEX('Material Master'!$B$2:$B$201,IFERROR(MATCH(G57,'Material Master'!$F$2:$F$201,0),MATCH(G57,'Material Master'!$A$2:$A$201,0))),""))</f>
        <v/>
      </c>
      <c r="I57" s="85" t="str">
        <f t="array" ref="I57">IF(G57="","",IFERROR(INDEX('Material Master'!$C$2:$C$201,IFERROR(MATCH(G57,'Material Master'!$F$2:$F$201,0),MATCH(G57,'Material Master'!$A$2:$A$201,0))),""))</f>
        <v/>
      </c>
      <c r="J57" s="86" t="str">
        <f>IF(E57="","",SUMIFS('Stock Movement'!$F$2:$F$501,'Stock Movement'!$D$2:$D$501,E57,'Stock Movement'!$E$2:$E$501,"IN")-SUMIFS('Stock Movement'!$F$2:$F$501,'Stock Movement'!$D$2:$D$501,E57,'Stock Movement'!$E$2:$E$501,"OUT"))</f>
        <v/>
      </c>
      <c r="K57" s="87" t="str">
        <f t="array" ref="K57">IF(G57="","",IFERROR(INDEX('Material Master'!$D$2:$D$201,IFERROR(MATCH(G57,'Material Master'!$F$2:$F$201,0),MATCH(G57,'Material Master'!$A$2:$A$201,0))),""))</f>
        <v/>
      </c>
      <c r="L57" s="85"/>
      <c r="M57" s="85"/>
    </row>
    <row r="58" ht="24.0" customHeight="1">
      <c r="A58" s="88"/>
      <c r="B58" s="89"/>
      <c r="C58" s="88"/>
      <c r="D58" s="90"/>
      <c r="E58" s="88" t="str">
        <f t="shared" si="1"/>
        <v/>
      </c>
      <c r="F58" s="91" t="str">
        <f t="shared" si="2"/>
        <v/>
      </c>
      <c r="G58" s="69"/>
      <c r="H58" s="69" t="str">
        <f t="array" ref="H58">IF(G58="","",IFERROR(INDEX('Material Master'!$B$2:$B$201,IFERROR(MATCH(G58,'Material Master'!$F$2:$F$201,0),MATCH(G58,'Material Master'!$A$2:$A$201,0))),""))</f>
        <v/>
      </c>
      <c r="I58" s="69" t="str">
        <f t="array" ref="I58">IF(G58="","",IFERROR(INDEX('Material Master'!$C$2:$C$201,IFERROR(MATCH(G58,'Material Master'!$F$2:$F$201,0),MATCH(G58,'Material Master'!$A$2:$A$201,0))),""))</f>
        <v/>
      </c>
      <c r="J58" s="75" t="str">
        <f>IF(E58="","",SUMIFS('Stock Movement'!$F$2:$F$501,'Stock Movement'!$D$2:$D$501,E58,'Stock Movement'!$E$2:$E$501,"IN")-SUMIFS('Stock Movement'!$F$2:$F$501,'Stock Movement'!$D$2:$D$501,E58,'Stock Movement'!$E$2:$E$501,"OUT"))</f>
        <v/>
      </c>
      <c r="K58" s="77" t="str">
        <f t="array" ref="K58">IF(G58="","",IFERROR(INDEX('Material Master'!$D$2:$D$201,IFERROR(MATCH(G58,'Material Master'!$F$2:$F$201,0),MATCH(G58,'Material Master'!$A$2:$A$201,0))),""))</f>
        <v/>
      </c>
      <c r="L58" s="69"/>
      <c r="M58" s="69"/>
    </row>
    <row r="59" ht="24.0" customHeight="1">
      <c r="A59" s="82"/>
      <c r="B59" s="98"/>
      <c r="C59" s="82"/>
      <c r="D59" s="99"/>
      <c r="E59" s="82" t="str">
        <f t="shared" si="1"/>
        <v/>
      </c>
      <c r="F59" s="83" t="str">
        <f t="shared" si="2"/>
        <v/>
      </c>
      <c r="G59" s="85"/>
      <c r="H59" s="85" t="str">
        <f t="array" ref="H59">IF(G59="","",IFERROR(INDEX('Material Master'!$B$2:$B$201,IFERROR(MATCH(G59,'Material Master'!$F$2:$F$201,0),MATCH(G59,'Material Master'!$A$2:$A$201,0))),""))</f>
        <v/>
      </c>
      <c r="I59" s="85" t="str">
        <f t="array" ref="I59">IF(G59="","",IFERROR(INDEX('Material Master'!$C$2:$C$201,IFERROR(MATCH(G59,'Material Master'!$F$2:$F$201,0),MATCH(G59,'Material Master'!$A$2:$A$201,0))),""))</f>
        <v/>
      </c>
      <c r="J59" s="86" t="str">
        <f>IF(E59="","",SUMIFS('Stock Movement'!$F$2:$F$501,'Stock Movement'!$D$2:$D$501,E59,'Stock Movement'!$E$2:$E$501,"IN")-SUMIFS('Stock Movement'!$F$2:$F$501,'Stock Movement'!$D$2:$D$501,E59,'Stock Movement'!$E$2:$E$501,"OUT"))</f>
        <v/>
      </c>
      <c r="K59" s="87" t="str">
        <f t="array" ref="K59">IF(G59="","",IFERROR(INDEX('Material Master'!$D$2:$D$201,IFERROR(MATCH(G59,'Material Master'!$F$2:$F$201,0),MATCH(G59,'Material Master'!$A$2:$A$201,0))),""))</f>
        <v/>
      </c>
      <c r="L59" s="85"/>
      <c r="M59" s="85"/>
    </row>
    <row r="60" ht="24.0" customHeight="1">
      <c r="A60" s="88"/>
      <c r="B60" s="89"/>
      <c r="C60" s="88"/>
      <c r="D60" s="90"/>
      <c r="E60" s="88" t="str">
        <f t="shared" si="1"/>
        <v/>
      </c>
      <c r="F60" s="91" t="str">
        <f t="shared" si="2"/>
        <v/>
      </c>
      <c r="G60" s="69"/>
      <c r="H60" s="69" t="str">
        <f t="array" ref="H60">IF(G60="","",IFERROR(INDEX('Material Master'!$B$2:$B$201,IFERROR(MATCH(G60,'Material Master'!$F$2:$F$201,0),MATCH(G60,'Material Master'!$A$2:$A$201,0))),""))</f>
        <v/>
      </c>
      <c r="I60" s="69" t="str">
        <f t="array" ref="I60">IF(G60="","",IFERROR(INDEX('Material Master'!$C$2:$C$201,IFERROR(MATCH(G60,'Material Master'!$F$2:$F$201,0),MATCH(G60,'Material Master'!$A$2:$A$201,0))),""))</f>
        <v/>
      </c>
      <c r="J60" s="75" t="str">
        <f>IF(E60="","",SUMIFS('Stock Movement'!$F$2:$F$501,'Stock Movement'!$D$2:$D$501,E60,'Stock Movement'!$E$2:$E$501,"IN")-SUMIFS('Stock Movement'!$F$2:$F$501,'Stock Movement'!$D$2:$D$501,E60,'Stock Movement'!$E$2:$E$501,"OUT"))</f>
        <v/>
      </c>
      <c r="K60" s="77" t="str">
        <f t="array" ref="K60">IF(G60="","",IFERROR(INDEX('Material Master'!$D$2:$D$201,IFERROR(MATCH(G60,'Material Master'!$F$2:$F$201,0),MATCH(G60,'Material Master'!$A$2:$A$201,0))),""))</f>
        <v/>
      </c>
      <c r="L60" s="69"/>
      <c r="M60" s="69"/>
    </row>
    <row r="61" ht="24.0" customHeight="1">
      <c r="A61" s="82"/>
      <c r="B61" s="98"/>
      <c r="C61" s="82"/>
      <c r="D61" s="99"/>
      <c r="E61" s="82" t="str">
        <f t="shared" si="1"/>
        <v/>
      </c>
      <c r="F61" s="83" t="str">
        <f t="shared" si="2"/>
        <v/>
      </c>
      <c r="G61" s="85"/>
      <c r="H61" s="85" t="str">
        <f t="array" ref="H61">IF(G61="","",IFERROR(INDEX('Material Master'!$B$2:$B$201,IFERROR(MATCH(G61,'Material Master'!$F$2:$F$201,0),MATCH(G61,'Material Master'!$A$2:$A$201,0))),""))</f>
        <v/>
      </c>
      <c r="I61" s="85" t="str">
        <f t="array" ref="I61">IF(G61="","",IFERROR(INDEX('Material Master'!$C$2:$C$201,IFERROR(MATCH(G61,'Material Master'!$F$2:$F$201,0),MATCH(G61,'Material Master'!$A$2:$A$201,0))),""))</f>
        <v/>
      </c>
      <c r="J61" s="86" t="str">
        <f>IF(E61="","",SUMIFS('Stock Movement'!$F$2:$F$501,'Stock Movement'!$D$2:$D$501,E61,'Stock Movement'!$E$2:$E$501,"IN")-SUMIFS('Stock Movement'!$F$2:$F$501,'Stock Movement'!$D$2:$D$501,E61,'Stock Movement'!$E$2:$E$501,"OUT"))</f>
        <v/>
      </c>
      <c r="K61" s="87" t="str">
        <f t="array" ref="K61">IF(G61="","",IFERROR(INDEX('Material Master'!$D$2:$D$201,IFERROR(MATCH(G61,'Material Master'!$F$2:$F$201,0),MATCH(G61,'Material Master'!$A$2:$A$201,0))),""))</f>
        <v/>
      </c>
      <c r="L61" s="85"/>
      <c r="M61" s="85"/>
    </row>
    <row r="62" ht="24.0" customHeight="1">
      <c r="A62" s="88"/>
      <c r="B62" s="89"/>
      <c r="C62" s="88"/>
      <c r="D62" s="90"/>
      <c r="E62" s="88" t="str">
        <f t="shared" si="1"/>
        <v/>
      </c>
      <c r="F62" s="91" t="str">
        <f t="shared" si="2"/>
        <v/>
      </c>
      <c r="G62" s="69"/>
      <c r="H62" s="69" t="str">
        <f t="array" ref="H62">IF(G62="","",IFERROR(INDEX('Material Master'!$B$2:$B$201,IFERROR(MATCH(G62,'Material Master'!$F$2:$F$201,0),MATCH(G62,'Material Master'!$A$2:$A$201,0))),""))</f>
        <v/>
      </c>
      <c r="I62" s="69" t="str">
        <f t="array" ref="I62">IF(G62="","",IFERROR(INDEX('Material Master'!$C$2:$C$201,IFERROR(MATCH(G62,'Material Master'!$F$2:$F$201,0),MATCH(G62,'Material Master'!$A$2:$A$201,0))),""))</f>
        <v/>
      </c>
      <c r="J62" s="75" t="str">
        <f>IF(E62="","",SUMIFS('Stock Movement'!$F$2:$F$501,'Stock Movement'!$D$2:$D$501,E62,'Stock Movement'!$E$2:$E$501,"IN")-SUMIFS('Stock Movement'!$F$2:$F$501,'Stock Movement'!$D$2:$D$501,E62,'Stock Movement'!$E$2:$E$501,"OUT"))</f>
        <v/>
      </c>
      <c r="K62" s="77" t="str">
        <f t="array" ref="K62">IF(G62="","",IFERROR(INDEX('Material Master'!$D$2:$D$201,IFERROR(MATCH(G62,'Material Master'!$F$2:$F$201,0),MATCH(G62,'Material Master'!$A$2:$A$201,0))),""))</f>
        <v/>
      </c>
      <c r="L62" s="69"/>
      <c r="M62" s="69"/>
    </row>
    <row r="63" ht="24.0" customHeight="1">
      <c r="A63" s="82"/>
      <c r="B63" s="98"/>
      <c r="C63" s="82"/>
      <c r="D63" s="99"/>
      <c r="E63" s="82" t="str">
        <f t="shared" si="1"/>
        <v/>
      </c>
      <c r="F63" s="83" t="str">
        <f t="shared" si="2"/>
        <v/>
      </c>
      <c r="G63" s="85"/>
      <c r="H63" s="85" t="str">
        <f t="array" ref="H63">IF(G63="","",IFERROR(INDEX('Material Master'!$B$2:$B$201,IFERROR(MATCH(G63,'Material Master'!$F$2:$F$201,0),MATCH(G63,'Material Master'!$A$2:$A$201,0))),""))</f>
        <v/>
      </c>
      <c r="I63" s="85" t="str">
        <f t="array" ref="I63">IF(G63="","",IFERROR(INDEX('Material Master'!$C$2:$C$201,IFERROR(MATCH(G63,'Material Master'!$F$2:$F$201,0),MATCH(G63,'Material Master'!$A$2:$A$201,0))),""))</f>
        <v/>
      </c>
      <c r="J63" s="86" t="str">
        <f>IF(E63="","",SUMIFS('Stock Movement'!$F$2:$F$501,'Stock Movement'!$D$2:$D$501,E63,'Stock Movement'!$E$2:$E$501,"IN")-SUMIFS('Stock Movement'!$F$2:$F$501,'Stock Movement'!$D$2:$D$501,E63,'Stock Movement'!$E$2:$E$501,"OUT"))</f>
        <v/>
      </c>
      <c r="K63" s="87" t="str">
        <f t="array" ref="K63">IF(G63="","",IFERROR(INDEX('Material Master'!$D$2:$D$201,IFERROR(MATCH(G63,'Material Master'!$F$2:$F$201,0),MATCH(G63,'Material Master'!$A$2:$A$201,0))),""))</f>
        <v/>
      </c>
      <c r="L63" s="85"/>
      <c r="M63" s="85"/>
    </row>
    <row r="64" ht="24.0" customHeight="1">
      <c r="A64" s="88"/>
      <c r="B64" s="89"/>
      <c r="C64" s="88"/>
      <c r="D64" s="90"/>
      <c r="E64" s="88" t="str">
        <f t="shared" si="1"/>
        <v/>
      </c>
      <c r="F64" s="91" t="str">
        <f t="shared" si="2"/>
        <v/>
      </c>
      <c r="G64" s="69"/>
      <c r="H64" s="69" t="str">
        <f t="array" ref="H64">IF(G64="","",IFERROR(INDEX('Material Master'!$B$2:$B$201,IFERROR(MATCH(G64,'Material Master'!$F$2:$F$201,0),MATCH(G64,'Material Master'!$A$2:$A$201,0))),""))</f>
        <v/>
      </c>
      <c r="I64" s="69" t="str">
        <f t="array" ref="I64">IF(G64="","",IFERROR(INDEX('Material Master'!$C$2:$C$201,IFERROR(MATCH(G64,'Material Master'!$F$2:$F$201,0),MATCH(G64,'Material Master'!$A$2:$A$201,0))),""))</f>
        <v/>
      </c>
      <c r="J64" s="75" t="str">
        <f>IF(E64="","",SUMIFS('Stock Movement'!$F$2:$F$501,'Stock Movement'!$D$2:$D$501,E64,'Stock Movement'!$E$2:$E$501,"IN")-SUMIFS('Stock Movement'!$F$2:$F$501,'Stock Movement'!$D$2:$D$501,E64,'Stock Movement'!$E$2:$E$501,"OUT"))</f>
        <v/>
      </c>
      <c r="K64" s="77" t="str">
        <f t="array" ref="K64">IF(G64="","",IFERROR(INDEX('Material Master'!$D$2:$D$201,IFERROR(MATCH(G64,'Material Master'!$F$2:$F$201,0),MATCH(G64,'Material Master'!$A$2:$A$201,0))),""))</f>
        <v/>
      </c>
      <c r="L64" s="69"/>
      <c r="M64" s="69"/>
    </row>
    <row r="65" ht="24.0" customHeight="1">
      <c r="A65" s="82"/>
      <c r="B65" s="98"/>
      <c r="C65" s="82"/>
      <c r="D65" s="99"/>
      <c r="E65" s="82" t="str">
        <f t="shared" si="1"/>
        <v/>
      </c>
      <c r="F65" s="83" t="str">
        <f t="shared" si="2"/>
        <v/>
      </c>
      <c r="G65" s="85"/>
      <c r="H65" s="85" t="str">
        <f t="array" ref="H65">IF(G65="","",IFERROR(INDEX('Material Master'!$B$2:$B$201,IFERROR(MATCH(G65,'Material Master'!$F$2:$F$201,0),MATCH(G65,'Material Master'!$A$2:$A$201,0))),""))</f>
        <v/>
      </c>
      <c r="I65" s="85" t="str">
        <f t="array" ref="I65">IF(G65="","",IFERROR(INDEX('Material Master'!$C$2:$C$201,IFERROR(MATCH(G65,'Material Master'!$F$2:$F$201,0),MATCH(G65,'Material Master'!$A$2:$A$201,0))),""))</f>
        <v/>
      </c>
      <c r="J65" s="86" t="str">
        <f>IF(E65="","",SUMIFS('Stock Movement'!$F$2:$F$501,'Stock Movement'!$D$2:$D$501,E65,'Stock Movement'!$E$2:$E$501,"IN")-SUMIFS('Stock Movement'!$F$2:$F$501,'Stock Movement'!$D$2:$D$501,E65,'Stock Movement'!$E$2:$E$501,"OUT"))</f>
        <v/>
      </c>
      <c r="K65" s="87" t="str">
        <f t="array" ref="K65">IF(G65="","",IFERROR(INDEX('Material Master'!$D$2:$D$201,IFERROR(MATCH(G65,'Material Master'!$F$2:$F$201,0),MATCH(G65,'Material Master'!$A$2:$A$201,0))),""))</f>
        <v/>
      </c>
      <c r="L65" s="85"/>
      <c r="M65" s="85"/>
    </row>
    <row r="66" ht="24.0" customHeight="1">
      <c r="A66" s="88"/>
      <c r="B66" s="89"/>
      <c r="C66" s="88"/>
      <c r="D66" s="90"/>
      <c r="E66" s="88" t="str">
        <f t="shared" si="1"/>
        <v/>
      </c>
      <c r="F66" s="91" t="str">
        <f t="shared" si="2"/>
        <v/>
      </c>
      <c r="G66" s="69"/>
      <c r="H66" s="69" t="str">
        <f t="array" ref="H66">IF(G66="","",IFERROR(INDEX('Material Master'!$B$2:$B$201,IFERROR(MATCH(G66,'Material Master'!$F$2:$F$201,0),MATCH(G66,'Material Master'!$A$2:$A$201,0))),""))</f>
        <v/>
      </c>
      <c r="I66" s="69" t="str">
        <f t="array" ref="I66">IF(G66="","",IFERROR(INDEX('Material Master'!$C$2:$C$201,IFERROR(MATCH(G66,'Material Master'!$F$2:$F$201,0),MATCH(G66,'Material Master'!$A$2:$A$201,0))),""))</f>
        <v/>
      </c>
      <c r="J66" s="75" t="str">
        <f>IF(E66="","",SUMIFS('Stock Movement'!$F$2:$F$501,'Stock Movement'!$D$2:$D$501,E66,'Stock Movement'!$E$2:$E$501,"IN")-SUMIFS('Stock Movement'!$F$2:$F$501,'Stock Movement'!$D$2:$D$501,E66,'Stock Movement'!$E$2:$E$501,"OUT"))</f>
        <v/>
      </c>
      <c r="K66" s="77" t="str">
        <f t="array" ref="K66">IF(G66="","",IFERROR(INDEX('Material Master'!$D$2:$D$201,IFERROR(MATCH(G66,'Material Master'!$F$2:$F$201,0),MATCH(G66,'Material Master'!$A$2:$A$201,0))),""))</f>
        <v/>
      </c>
      <c r="L66" s="69"/>
      <c r="M66" s="69"/>
    </row>
    <row r="67" ht="24.0" customHeight="1">
      <c r="A67" s="82"/>
      <c r="B67" s="98"/>
      <c r="C67" s="82"/>
      <c r="D67" s="99"/>
      <c r="E67" s="82" t="str">
        <f t="shared" si="1"/>
        <v/>
      </c>
      <c r="F67" s="83" t="str">
        <f t="shared" si="2"/>
        <v/>
      </c>
      <c r="G67" s="85"/>
      <c r="H67" s="85" t="str">
        <f t="array" ref="H67">IF(G67="","",IFERROR(INDEX('Material Master'!$B$2:$B$201,IFERROR(MATCH(G67,'Material Master'!$F$2:$F$201,0),MATCH(G67,'Material Master'!$A$2:$A$201,0))),""))</f>
        <v/>
      </c>
      <c r="I67" s="85" t="str">
        <f t="array" ref="I67">IF(G67="","",IFERROR(INDEX('Material Master'!$C$2:$C$201,IFERROR(MATCH(G67,'Material Master'!$F$2:$F$201,0),MATCH(G67,'Material Master'!$A$2:$A$201,0))),""))</f>
        <v/>
      </c>
      <c r="J67" s="86" t="str">
        <f>IF(E67="","",SUMIFS('Stock Movement'!$F$2:$F$501,'Stock Movement'!$D$2:$D$501,E67,'Stock Movement'!$E$2:$E$501,"IN")-SUMIFS('Stock Movement'!$F$2:$F$501,'Stock Movement'!$D$2:$D$501,E67,'Stock Movement'!$E$2:$E$501,"OUT"))</f>
        <v/>
      </c>
      <c r="K67" s="87" t="str">
        <f t="array" ref="K67">IF(G67="","",IFERROR(INDEX('Material Master'!$D$2:$D$201,IFERROR(MATCH(G67,'Material Master'!$F$2:$F$201,0),MATCH(G67,'Material Master'!$A$2:$A$201,0))),""))</f>
        <v/>
      </c>
      <c r="L67" s="85"/>
      <c r="M67" s="85"/>
    </row>
    <row r="68" ht="24.0" customHeight="1">
      <c r="A68" s="88"/>
      <c r="B68" s="89"/>
      <c r="C68" s="88"/>
      <c r="D68" s="90"/>
      <c r="E68" s="88" t="str">
        <f t="shared" si="1"/>
        <v/>
      </c>
      <c r="F68" s="91" t="str">
        <f t="shared" si="2"/>
        <v/>
      </c>
      <c r="G68" s="69"/>
      <c r="H68" s="69" t="str">
        <f t="array" ref="H68">IF(G68="","",IFERROR(INDEX('Material Master'!$B$2:$B$201,IFERROR(MATCH(G68,'Material Master'!$F$2:$F$201,0),MATCH(G68,'Material Master'!$A$2:$A$201,0))),""))</f>
        <v/>
      </c>
      <c r="I68" s="69" t="str">
        <f t="array" ref="I68">IF(G68="","",IFERROR(INDEX('Material Master'!$C$2:$C$201,IFERROR(MATCH(G68,'Material Master'!$F$2:$F$201,0),MATCH(G68,'Material Master'!$A$2:$A$201,0))),""))</f>
        <v/>
      </c>
      <c r="J68" s="75" t="str">
        <f>IF(E68="","",SUMIFS('Stock Movement'!$F$2:$F$501,'Stock Movement'!$D$2:$D$501,E68,'Stock Movement'!$E$2:$E$501,"IN")-SUMIFS('Stock Movement'!$F$2:$F$501,'Stock Movement'!$D$2:$D$501,E68,'Stock Movement'!$E$2:$E$501,"OUT"))</f>
        <v/>
      </c>
      <c r="K68" s="77" t="str">
        <f t="array" ref="K68">IF(G68="","",IFERROR(INDEX('Material Master'!$D$2:$D$201,IFERROR(MATCH(G68,'Material Master'!$F$2:$F$201,0),MATCH(G68,'Material Master'!$A$2:$A$201,0))),""))</f>
        <v/>
      </c>
      <c r="L68" s="69"/>
      <c r="M68" s="69"/>
    </row>
    <row r="69" ht="24.0" customHeight="1">
      <c r="A69" s="82"/>
      <c r="B69" s="98"/>
      <c r="C69" s="82"/>
      <c r="D69" s="99"/>
      <c r="E69" s="82" t="str">
        <f t="shared" si="1"/>
        <v/>
      </c>
      <c r="F69" s="83" t="str">
        <f t="shared" si="2"/>
        <v/>
      </c>
      <c r="G69" s="85"/>
      <c r="H69" s="85" t="str">
        <f t="array" ref="H69">IF(G69="","",IFERROR(INDEX('Material Master'!$B$2:$B$201,IFERROR(MATCH(G69,'Material Master'!$F$2:$F$201,0),MATCH(G69,'Material Master'!$A$2:$A$201,0))),""))</f>
        <v/>
      </c>
      <c r="I69" s="85" t="str">
        <f t="array" ref="I69">IF(G69="","",IFERROR(INDEX('Material Master'!$C$2:$C$201,IFERROR(MATCH(G69,'Material Master'!$F$2:$F$201,0),MATCH(G69,'Material Master'!$A$2:$A$201,0))),""))</f>
        <v/>
      </c>
      <c r="J69" s="86" t="str">
        <f>IF(E69="","",SUMIFS('Stock Movement'!$F$2:$F$501,'Stock Movement'!$D$2:$D$501,E69,'Stock Movement'!$E$2:$E$501,"IN")-SUMIFS('Stock Movement'!$F$2:$F$501,'Stock Movement'!$D$2:$D$501,E69,'Stock Movement'!$E$2:$E$501,"OUT"))</f>
        <v/>
      </c>
      <c r="K69" s="87" t="str">
        <f t="array" ref="K69">IF(G69="","",IFERROR(INDEX('Material Master'!$D$2:$D$201,IFERROR(MATCH(G69,'Material Master'!$F$2:$F$201,0),MATCH(G69,'Material Master'!$A$2:$A$201,0))),""))</f>
        <v/>
      </c>
      <c r="L69" s="85"/>
      <c r="M69" s="85"/>
    </row>
    <row r="70" ht="24.0" customHeight="1">
      <c r="A70" s="88"/>
      <c r="B70" s="89"/>
      <c r="C70" s="88"/>
      <c r="D70" s="90"/>
      <c r="E70" s="88" t="str">
        <f t="shared" si="1"/>
        <v/>
      </c>
      <c r="F70" s="91" t="str">
        <f t="shared" si="2"/>
        <v/>
      </c>
      <c r="G70" s="69"/>
      <c r="H70" s="69" t="str">
        <f t="array" ref="H70">IF(G70="","",IFERROR(INDEX('Material Master'!$B$2:$B$201,IFERROR(MATCH(G70,'Material Master'!$F$2:$F$201,0),MATCH(G70,'Material Master'!$A$2:$A$201,0))),""))</f>
        <v/>
      </c>
      <c r="I70" s="69" t="str">
        <f t="array" ref="I70">IF(G70="","",IFERROR(INDEX('Material Master'!$C$2:$C$201,IFERROR(MATCH(G70,'Material Master'!$F$2:$F$201,0),MATCH(G70,'Material Master'!$A$2:$A$201,0))),""))</f>
        <v/>
      </c>
      <c r="J70" s="75" t="str">
        <f>IF(E70="","",SUMIFS('Stock Movement'!$F$2:$F$501,'Stock Movement'!$D$2:$D$501,E70,'Stock Movement'!$E$2:$E$501,"IN")-SUMIFS('Stock Movement'!$F$2:$F$501,'Stock Movement'!$D$2:$D$501,E70,'Stock Movement'!$E$2:$E$501,"OUT"))</f>
        <v/>
      </c>
      <c r="K70" s="77" t="str">
        <f t="array" ref="K70">IF(G70="","",IFERROR(INDEX('Material Master'!$D$2:$D$201,IFERROR(MATCH(G70,'Material Master'!$F$2:$F$201,0),MATCH(G70,'Material Master'!$A$2:$A$201,0))),""))</f>
        <v/>
      </c>
      <c r="L70" s="69"/>
      <c r="M70" s="69"/>
    </row>
    <row r="71" ht="24.0" customHeight="1">
      <c r="A71" s="82"/>
      <c r="B71" s="98"/>
      <c r="C71" s="82"/>
      <c r="D71" s="99"/>
      <c r="E71" s="82" t="str">
        <f t="shared" si="1"/>
        <v/>
      </c>
      <c r="F71" s="83" t="str">
        <f t="shared" si="2"/>
        <v/>
      </c>
      <c r="G71" s="85"/>
      <c r="H71" s="85" t="str">
        <f t="array" ref="H71">IF(G71="","",IFERROR(INDEX('Material Master'!$B$2:$B$201,IFERROR(MATCH(G71,'Material Master'!$F$2:$F$201,0),MATCH(G71,'Material Master'!$A$2:$A$201,0))),""))</f>
        <v/>
      </c>
      <c r="I71" s="85" t="str">
        <f t="array" ref="I71">IF(G71="","",IFERROR(INDEX('Material Master'!$C$2:$C$201,IFERROR(MATCH(G71,'Material Master'!$F$2:$F$201,0),MATCH(G71,'Material Master'!$A$2:$A$201,0))),""))</f>
        <v/>
      </c>
      <c r="J71" s="86" t="str">
        <f>IF(E71="","",SUMIFS('Stock Movement'!$F$2:$F$501,'Stock Movement'!$D$2:$D$501,E71,'Stock Movement'!$E$2:$E$501,"IN")-SUMIFS('Stock Movement'!$F$2:$F$501,'Stock Movement'!$D$2:$D$501,E71,'Stock Movement'!$E$2:$E$501,"OUT"))</f>
        <v/>
      </c>
      <c r="K71" s="87" t="str">
        <f t="array" ref="K71">IF(G71="","",IFERROR(INDEX('Material Master'!$D$2:$D$201,IFERROR(MATCH(G71,'Material Master'!$F$2:$F$201,0),MATCH(G71,'Material Master'!$A$2:$A$201,0))),""))</f>
        <v/>
      </c>
      <c r="L71" s="85"/>
      <c r="M71" s="85"/>
    </row>
    <row r="72" ht="24.0" customHeight="1">
      <c r="A72" s="88"/>
      <c r="B72" s="89"/>
      <c r="C72" s="88"/>
      <c r="D72" s="90"/>
      <c r="E72" s="88" t="str">
        <f t="shared" si="1"/>
        <v/>
      </c>
      <c r="F72" s="91" t="str">
        <f t="shared" si="2"/>
        <v/>
      </c>
      <c r="G72" s="69"/>
      <c r="H72" s="69" t="str">
        <f t="array" ref="H72">IF(G72="","",IFERROR(INDEX('Material Master'!$B$2:$B$201,IFERROR(MATCH(G72,'Material Master'!$F$2:$F$201,0),MATCH(G72,'Material Master'!$A$2:$A$201,0))),""))</f>
        <v/>
      </c>
      <c r="I72" s="69" t="str">
        <f t="array" ref="I72">IF(G72="","",IFERROR(INDEX('Material Master'!$C$2:$C$201,IFERROR(MATCH(G72,'Material Master'!$F$2:$F$201,0),MATCH(G72,'Material Master'!$A$2:$A$201,0))),""))</f>
        <v/>
      </c>
      <c r="J72" s="75" t="str">
        <f>IF(E72="","",SUMIFS('Stock Movement'!$F$2:$F$501,'Stock Movement'!$D$2:$D$501,E72,'Stock Movement'!$E$2:$E$501,"IN")-SUMIFS('Stock Movement'!$F$2:$F$501,'Stock Movement'!$D$2:$D$501,E72,'Stock Movement'!$E$2:$E$501,"OUT"))</f>
        <v/>
      </c>
      <c r="K72" s="77" t="str">
        <f t="array" ref="K72">IF(G72="","",IFERROR(INDEX('Material Master'!$D$2:$D$201,IFERROR(MATCH(G72,'Material Master'!$F$2:$F$201,0),MATCH(G72,'Material Master'!$A$2:$A$201,0))),""))</f>
        <v/>
      </c>
      <c r="L72" s="69"/>
      <c r="M72" s="69"/>
    </row>
    <row r="73" ht="24.0" customHeight="1">
      <c r="A73" s="82"/>
      <c r="B73" s="98"/>
      <c r="C73" s="82"/>
      <c r="D73" s="99"/>
      <c r="E73" s="82" t="str">
        <f t="shared" si="1"/>
        <v/>
      </c>
      <c r="F73" s="83" t="str">
        <f t="shared" si="2"/>
        <v/>
      </c>
      <c r="G73" s="85"/>
      <c r="H73" s="85" t="str">
        <f t="array" ref="H73">IF(G73="","",IFERROR(INDEX('Material Master'!$B$2:$B$201,IFERROR(MATCH(G73,'Material Master'!$F$2:$F$201,0),MATCH(G73,'Material Master'!$A$2:$A$201,0))),""))</f>
        <v/>
      </c>
      <c r="I73" s="85" t="str">
        <f t="array" ref="I73">IF(G73="","",IFERROR(INDEX('Material Master'!$C$2:$C$201,IFERROR(MATCH(G73,'Material Master'!$F$2:$F$201,0),MATCH(G73,'Material Master'!$A$2:$A$201,0))),""))</f>
        <v/>
      </c>
      <c r="J73" s="86" t="str">
        <f>IF(E73="","",SUMIFS('Stock Movement'!$F$2:$F$501,'Stock Movement'!$D$2:$D$501,E73,'Stock Movement'!$E$2:$E$501,"IN")-SUMIFS('Stock Movement'!$F$2:$F$501,'Stock Movement'!$D$2:$D$501,E73,'Stock Movement'!$E$2:$E$501,"OUT"))</f>
        <v/>
      </c>
      <c r="K73" s="87" t="str">
        <f t="array" ref="K73">IF(G73="","",IFERROR(INDEX('Material Master'!$D$2:$D$201,IFERROR(MATCH(G73,'Material Master'!$F$2:$F$201,0),MATCH(G73,'Material Master'!$A$2:$A$201,0))),""))</f>
        <v/>
      </c>
      <c r="L73" s="85"/>
      <c r="M73" s="85"/>
    </row>
    <row r="74" ht="24.0" customHeight="1">
      <c r="A74" s="88"/>
      <c r="B74" s="89"/>
      <c r="C74" s="88"/>
      <c r="D74" s="90"/>
      <c r="E74" s="88" t="str">
        <f t="shared" si="1"/>
        <v/>
      </c>
      <c r="F74" s="91" t="str">
        <f t="shared" si="2"/>
        <v/>
      </c>
      <c r="G74" s="69"/>
      <c r="H74" s="69" t="str">
        <f t="array" ref="H74">IF(G74="","",IFERROR(INDEX('Material Master'!$B$2:$B$201,IFERROR(MATCH(G74,'Material Master'!$F$2:$F$201,0),MATCH(G74,'Material Master'!$A$2:$A$201,0))),""))</f>
        <v/>
      </c>
      <c r="I74" s="69" t="str">
        <f t="array" ref="I74">IF(G74="","",IFERROR(INDEX('Material Master'!$C$2:$C$201,IFERROR(MATCH(G74,'Material Master'!$F$2:$F$201,0),MATCH(G74,'Material Master'!$A$2:$A$201,0))),""))</f>
        <v/>
      </c>
      <c r="J74" s="75" t="str">
        <f>IF(E74="","",SUMIFS('Stock Movement'!$F$2:$F$501,'Stock Movement'!$D$2:$D$501,E74,'Stock Movement'!$E$2:$E$501,"IN")-SUMIFS('Stock Movement'!$F$2:$F$501,'Stock Movement'!$D$2:$D$501,E74,'Stock Movement'!$E$2:$E$501,"OUT"))</f>
        <v/>
      </c>
      <c r="K74" s="77" t="str">
        <f t="array" ref="K74">IF(G74="","",IFERROR(INDEX('Material Master'!$D$2:$D$201,IFERROR(MATCH(G74,'Material Master'!$F$2:$F$201,0),MATCH(G74,'Material Master'!$A$2:$A$201,0))),""))</f>
        <v/>
      </c>
      <c r="L74" s="69"/>
      <c r="M74" s="69"/>
    </row>
    <row r="75" ht="24.0" customHeight="1">
      <c r="A75" s="82"/>
      <c r="B75" s="98"/>
      <c r="C75" s="82"/>
      <c r="D75" s="99"/>
      <c r="E75" s="82" t="str">
        <f t="shared" si="1"/>
        <v/>
      </c>
      <c r="F75" s="83" t="str">
        <f t="shared" si="2"/>
        <v/>
      </c>
      <c r="G75" s="85"/>
      <c r="H75" s="85" t="str">
        <f t="array" ref="H75">IF(G75="","",IFERROR(INDEX('Material Master'!$B$2:$B$201,IFERROR(MATCH(G75,'Material Master'!$F$2:$F$201,0),MATCH(G75,'Material Master'!$A$2:$A$201,0))),""))</f>
        <v/>
      </c>
      <c r="I75" s="85" t="str">
        <f t="array" ref="I75">IF(G75="","",IFERROR(INDEX('Material Master'!$C$2:$C$201,IFERROR(MATCH(G75,'Material Master'!$F$2:$F$201,0),MATCH(G75,'Material Master'!$A$2:$A$201,0))),""))</f>
        <v/>
      </c>
      <c r="J75" s="86" t="str">
        <f>IF(E75="","",SUMIFS('Stock Movement'!$F$2:$F$501,'Stock Movement'!$D$2:$D$501,E75,'Stock Movement'!$E$2:$E$501,"IN")-SUMIFS('Stock Movement'!$F$2:$F$501,'Stock Movement'!$D$2:$D$501,E75,'Stock Movement'!$E$2:$E$501,"OUT"))</f>
        <v/>
      </c>
      <c r="K75" s="87" t="str">
        <f t="array" ref="K75">IF(G75="","",IFERROR(INDEX('Material Master'!$D$2:$D$201,IFERROR(MATCH(G75,'Material Master'!$F$2:$F$201,0),MATCH(G75,'Material Master'!$A$2:$A$201,0))),""))</f>
        <v/>
      </c>
      <c r="L75" s="85"/>
      <c r="M75" s="85"/>
    </row>
    <row r="76" ht="24.0" customHeight="1">
      <c r="A76" s="88"/>
      <c r="B76" s="89"/>
      <c r="C76" s="88"/>
      <c r="D76" s="90"/>
      <c r="E76" s="88" t="str">
        <f t="shared" si="1"/>
        <v/>
      </c>
      <c r="F76" s="91" t="str">
        <f t="shared" si="2"/>
        <v/>
      </c>
      <c r="G76" s="69"/>
      <c r="H76" s="69" t="str">
        <f t="array" ref="H76">IF(G76="","",IFERROR(INDEX('Material Master'!$B$2:$B$201,IFERROR(MATCH(G76,'Material Master'!$F$2:$F$201,0),MATCH(G76,'Material Master'!$A$2:$A$201,0))),""))</f>
        <v/>
      </c>
      <c r="I76" s="69" t="str">
        <f t="array" ref="I76">IF(G76="","",IFERROR(INDEX('Material Master'!$C$2:$C$201,IFERROR(MATCH(G76,'Material Master'!$F$2:$F$201,0),MATCH(G76,'Material Master'!$A$2:$A$201,0))),""))</f>
        <v/>
      </c>
      <c r="J76" s="75" t="str">
        <f>IF(E76="","",SUMIFS('Stock Movement'!$F$2:$F$501,'Stock Movement'!$D$2:$D$501,E76,'Stock Movement'!$E$2:$E$501,"IN")-SUMIFS('Stock Movement'!$F$2:$F$501,'Stock Movement'!$D$2:$D$501,E76,'Stock Movement'!$E$2:$E$501,"OUT"))</f>
        <v/>
      </c>
      <c r="K76" s="77" t="str">
        <f t="array" ref="K76">IF(G76="","",IFERROR(INDEX('Material Master'!$D$2:$D$201,IFERROR(MATCH(G76,'Material Master'!$F$2:$F$201,0),MATCH(G76,'Material Master'!$A$2:$A$201,0))),""))</f>
        <v/>
      </c>
      <c r="L76" s="69"/>
      <c r="M76" s="69"/>
    </row>
    <row r="77" ht="24.0" customHeight="1">
      <c r="A77" s="82"/>
      <c r="B77" s="98"/>
      <c r="C77" s="82"/>
      <c r="D77" s="99"/>
      <c r="E77" s="82" t="str">
        <f t="shared" si="1"/>
        <v/>
      </c>
      <c r="F77" s="83" t="str">
        <f t="shared" si="2"/>
        <v/>
      </c>
      <c r="G77" s="85"/>
      <c r="H77" s="85" t="str">
        <f t="array" ref="H77">IF(G77="","",IFERROR(INDEX('Material Master'!$B$2:$B$201,IFERROR(MATCH(G77,'Material Master'!$F$2:$F$201,0),MATCH(G77,'Material Master'!$A$2:$A$201,0))),""))</f>
        <v/>
      </c>
      <c r="I77" s="85" t="str">
        <f t="array" ref="I77">IF(G77="","",IFERROR(INDEX('Material Master'!$C$2:$C$201,IFERROR(MATCH(G77,'Material Master'!$F$2:$F$201,0),MATCH(G77,'Material Master'!$A$2:$A$201,0))),""))</f>
        <v/>
      </c>
      <c r="J77" s="86" t="str">
        <f>IF(E77="","",SUMIFS('Stock Movement'!$F$2:$F$501,'Stock Movement'!$D$2:$D$501,E77,'Stock Movement'!$E$2:$E$501,"IN")-SUMIFS('Stock Movement'!$F$2:$F$501,'Stock Movement'!$D$2:$D$501,E77,'Stock Movement'!$E$2:$E$501,"OUT"))</f>
        <v/>
      </c>
      <c r="K77" s="87" t="str">
        <f t="array" ref="K77">IF(G77="","",IFERROR(INDEX('Material Master'!$D$2:$D$201,IFERROR(MATCH(G77,'Material Master'!$F$2:$F$201,0),MATCH(G77,'Material Master'!$A$2:$A$201,0))),""))</f>
        <v/>
      </c>
      <c r="L77" s="85"/>
      <c r="M77" s="85"/>
    </row>
    <row r="78" ht="24.0" customHeight="1">
      <c r="A78" s="88"/>
      <c r="B78" s="89"/>
      <c r="C78" s="88"/>
      <c r="D78" s="90"/>
      <c r="E78" s="88" t="str">
        <f t="shared" si="1"/>
        <v/>
      </c>
      <c r="F78" s="91" t="str">
        <f t="shared" si="2"/>
        <v/>
      </c>
      <c r="G78" s="69"/>
      <c r="H78" s="69" t="str">
        <f t="array" ref="H78">IF(G78="","",IFERROR(INDEX('Material Master'!$B$2:$B$201,IFERROR(MATCH(G78,'Material Master'!$F$2:$F$201,0),MATCH(G78,'Material Master'!$A$2:$A$201,0))),""))</f>
        <v/>
      </c>
      <c r="I78" s="69" t="str">
        <f t="array" ref="I78">IF(G78="","",IFERROR(INDEX('Material Master'!$C$2:$C$201,IFERROR(MATCH(G78,'Material Master'!$F$2:$F$201,0),MATCH(G78,'Material Master'!$A$2:$A$201,0))),""))</f>
        <v/>
      </c>
      <c r="J78" s="75" t="str">
        <f>IF(E78="","",SUMIFS('Stock Movement'!$F$2:$F$501,'Stock Movement'!$D$2:$D$501,E78,'Stock Movement'!$E$2:$E$501,"IN")-SUMIFS('Stock Movement'!$F$2:$F$501,'Stock Movement'!$D$2:$D$501,E78,'Stock Movement'!$E$2:$E$501,"OUT"))</f>
        <v/>
      </c>
      <c r="K78" s="77" t="str">
        <f t="array" ref="K78">IF(G78="","",IFERROR(INDEX('Material Master'!$D$2:$D$201,IFERROR(MATCH(G78,'Material Master'!$F$2:$F$201,0),MATCH(G78,'Material Master'!$A$2:$A$201,0))),""))</f>
        <v/>
      </c>
      <c r="L78" s="69"/>
      <c r="M78" s="69"/>
    </row>
    <row r="79" ht="24.0" customHeight="1">
      <c r="A79" s="82"/>
      <c r="B79" s="98"/>
      <c r="C79" s="82"/>
      <c r="D79" s="99"/>
      <c r="E79" s="82" t="str">
        <f t="shared" si="1"/>
        <v/>
      </c>
      <c r="F79" s="83" t="str">
        <f t="shared" si="2"/>
        <v/>
      </c>
      <c r="G79" s="85"/>
      <c r="H79" s="85" t="str">
        <f t="array" ref="H79">IF(G79="","",IFERROR(INDEX('Material Master'!$B$2:$B$201,IFERROR(MATCH(G79,'Material Master'!$F$2:$F$201,0),MATCH(G79,'Material Master'!$A$2:$A$201,0))),""))</f>
        <v/>
      </c>
      <c r="I79" s="85" t="str">
        <f t="array" ref="I79">IF(G79="","",IFERROR(INDEX('Material Master'!$C$2:$C$201,IFERROR(MATCH(G79,'Material Master'!$F$2:$F$201,0),MATCH(G79,'Material Master'!$A$2:$A$201,0))),""))</f>
        <v/>
      </c>
      <c r="J79" s="86" t="str">
        <f>IF(E79="","",SUMIFS('Stock Movement'!$F$2:$F$501,'Stock Movement'!$D$2:$D$501,E79,'Stock Movement'!$E$2:$E$501,"IN")-SUMIFS('Stock Movement'!$F$2:$F$501,'Stock Movement'!$D$2:$D$501,E79,'Stock Movement'!$E$2:$E$501,"OUT"))</f>
        <v/>
      </c>
      <c r="K79" s="87" t="str">
        <f t="array" ref="K79">IF(G79="","",IFERROR(INDEX('Material Master'!$D$2:$D$201,IFERROR(MATCH(G79,'Material Master'!$F$2:$F$201,0),MATCH(G79,'Material Master'!$A$2:$A$201,0))),""))</f>
        <v/>
      </c>
      <c r="L79" s="85"/>
      <c r="M79" s="85"/>
    </row>
    <row r="80" ht="24.0" customHeight="1">
      <c r="A80" s="88"/>
      <c r="B80" s="89"/>
      <c r="C80" s="88"/>
      <c r="D80" s="90"/>
      <c r="E80" s="88" t="str">
        <f t="shared" si="1"/>
        <v/>
      </c>
      <c r="F80" s="91" t="str">
        <f t="shared" si="2"/>
        <v/>
      </c>
      <c r="G80" s="69"/>
      <c r="H80" s="69" t="str">
        <f t="array" ref="H80">IF(G80="","",IFERROR(INDEX('Material Master'!$B$2:$B$201,IFERROR(MATCH(G80,'Material Master'!$F$2:$F$201,0),MATCH(G80,'Material Master'!$A$2:$A$201,0))),""))</f>
        <v/>
      </c>
      <c r="I80" s="69" t="str">
        <f t="array" ref="I80">IF(G80="","",IFERROR(INDEX('Material Master'!$C$2:$C$201,IFERROR(MATCH(G80,'Material Master'!$F$2:$F$201,0),MATCH(G80,'Material Master'!$A$2:$A$201,0))),""))</f>
        <v/>
      </c>
      <c r="J80" s="75" t="str">
        <f>IF(E80="","",SUMIFS('Stock Movement'!$F$2:$F$501,'Stock Movement'!$D$2:$D$501,E80,'Stock Movement'!$E$2:$E$501,"IN")-SUMIFS('Stock Movement'!$F$2:$F$501,'Stock Movement'!$D$2:$D$501,E80,'Stock Movement'!$E$2:$E$501,"OUT"))</f>
        <v/>
      </c>
      <c r="K80" s="77" t="str">
        <f t="array" ref="K80">IF(G80="","",IFERROR(INDEX('Material Master'!$D$2:$D$201,IFERROR(MATCH(G80,'Material Master'!$F$2:$F$201,0),MATCH(G80,'Material Master'!$A$2:$A$201,0))),""))</f>
        <v/>
      </c>
      <c r="L80" s="69"/>
      <c r="M80" s="69"/>
    </row>
    <row r="81" ht="24.0" customHeight="1">
      <c r="A81" s="82"/>
      <c r="B81" s="98"/>
      <c r="C81" s="82"/>
      <c r="D81" s="99"/>
      <c r="E81" s="82" t="str">
        <f t="shared" si="1"/>
        <v/>
      </c>
      <c r="F81" s="83" t="str">
        <f t="shared" si="2"/>
        <v/>
      </c>
      <c r="G81" s="85"/>
      <c r="H81" s="85" t="str">
        <f t="array" ref="H81">IF(G81="","",IFERROR(INDEX('Material Master'!$B$2:$B$201,IFERROR(MATCH(G81,'Material Master'!$F$2:$F$201,0),MATCH(G81,'Material Master'!$A$2:$A$201,0))),""))</f>
        <v/>
      </c>
      <c r="I81" s="85" t="str">
        <f t="array" ref="I81">IF(G81="","",IFERROR(INDEX('Material Master'!$C$2:$C$201,IFERROR(MATCH(G81,'Material Master'!$F$2:$F$201,0),MATCH(G81,'Material Master'!$A$2:$A$201,0))),""))</f>
        <v/>
      </c>
      <c r="J81" s="86" t="str">
        <f>IF(E81="","",SUMIFS('Stock Movement'!$F$2:$F$501,'Stock Movement'!$D$2:$D$501,E81,'Stock Movement'!$E$2:$E$501,"IN")-SUMIFS('Stock Movement'!$F$2:$F$501,'Stock Movement'!$D$2:$D$501,E81,'Stock Movement'!$E$2:$E$501,"OUT"))</f>
        <v/>
      </c>
      <c r="K81" s="87" t="str">
        <f t="array" ref="K81">IF(G81="","",IFERROR(INDEX('Material Master'!$D$2:$D$201,IFERROR(MATCH(G81,'Material Master'!$F$2:$F$201,0),MATCH(G81,'Material Master'!$A$2:$A$201,0))),""))</f>
        <v/>
      </c>
      <c r="L81" s="85"/>
      <c r="M81" s="85"/>
    </row>
    <row r="82" ht="24.0" customHeight="1">
      <c r="A82" s="88"/>
      <c r="B82" s="89"/>
      <c r="C82" s="88"/>
      <c r="D82" s="90"/>
      <c r="E82" s="88" t="str">
        <f t="shared" si="1"/>
        <v/>
      </c>
      <c r="F82" s="91" t="str">
        <f t="shared" si="2"/>
        <v/>
      </c>
      <c r="G82" s="69"/>
      <c r="H82" s="69" t="str">
        <f t="array" ref="H82">IF(G82="","",IFERROR(INDEX('Material Master'!$B$2:$B$201,IFERROR(MATCH(G82,'Material Master'!$F$2:$F$201,0),MATCH(G82,'Material Master'!$A$2:$A$201,0))),""))</f>
        <v/>
      </c>
      <c r="I82" s="69" t="str">
        <f t="array" ref="I82">IF(G82="","",IFERROR(INDEX('Material Master'!$C$2:$C$201,IFERROR(MATCH(G82,'Material Master'!$F$2:$F$201,0),MATCH(G82,'Material Master'!$A$2:$A$201,0))),""))</f>
        <v/>
      </c>
      <c r="J82" s="75" t="str">
        <f>IF(E82="","",SUMIFS('Stock Movement'!$F$2:$F$501,'Stock Movement'!$D$2:$D$501,E82,'Stock Movement'!$E$2:$E$501,"IN")-SUMIFS('Stock Movement'!$F$2:$F$501,'Stock Movement'!$D$2:$D$501,E82,'Stock Movement'!$E$2:$E$501,"OUT"))</f>
        <v/>
      </c>
      <c r="K82" s="77" t="str">
        <f t="array" ref="K82">IF(G82="","",IFERROR(INDEX('Material Master'!$D$2:$D$201,IFERROR(MATCH(G82,'Material Master'!$F$2:$F$201,0),MATCH(G82,'Material Master'!$A$2:$A$201,0))),""))</f>
        <v/>
      </c>
      <c r="L82" s="69"/>
      <c r="M82" s="69"/>
    </row>
    <row r="83" ht="24.0" customHeight="1">
      <c r="A83" s="82"/>
      <c r="B83" s="98"/>
      <c r="C83" s="82"/>
      <c r="D83" s="99"/>
      <c r="E83" s="82" t="str">
        <f t="shared" si="1"/>
        <v/>
      </c>
      <c r="F83" s="83" t="str">
        <f t="shared" si="2"/>
        <v/>
      </c>
      <c r="G83" s="85"/>
      <c r="H83" s="85" t="str">
        <f t="array" ref="H83">IF(G83="","",IFERROR(INDEX('Material Master'!$B$2:$B$201,IFERROR(MATCH(G83,'Material Master'!$F$2:$F$201,0),MATCH(G83,'Material Master'!$A$2:$A$201,0))),""))</f>
        <v/>
      </c>
      <c r="I83" s="85" t="str">
        <f t="array" ref="I83">IF(G83="","",IFERROR(INDEX('Material Master'!$C$2:$C$201,IFERROR(MATCH(G83,'Material Master'!$F$2:$F$201,0),MATCH(G83,'Material Master'!$A$2:$A$201,0))),""))</f>
        <v/>
      </c>
      <c r="J83" s="86" t="str">
        <f>IF(E83="","",SUMIFS('Stock Movement'!$F$2:$F$501,'Stock Movement'!$D$2:$D$501,E83,'Stock Movement'!$E$2:$E$501,"IN")-SUMIFS('Stock Movement'!$F$2:$F$501,'Stock Movement'!$D$2:$D$501,E83,'Stock Movement'!$E$2:$E$501,"OUT"))</f>
        <v/>
      </c>
      <c r="K83" s="87" t="str">
        <f t="array" ref="K83">IF(G83="","",IFERROR(INDEX('Material Master'!$D$2:$D$201,IFERROR(MATCH(G83,'Material Master'!$F$2:$F$201,0),MATCH(G83,'Material Master'!$A$2:$A$201,0))),""))</f>
        <v/>
      </c>
      <c r="L83" s="85"/>
      <c r="M83" s="85"/>
    </row>
    <row r="84" ht="24.0" customHeight="1">
      <c r="A84" s="88"/>
      <c r="B84" s="89"/>
      <c r="C84" s="88"/>
      <c r="D84" s="90"/>
      <c r="E84" s="88" t="str">
        <f t="shared" si="1"/>
        <v/>
      </c>
      <c r="F84" s="91" t="str">
        <f t="shared" si="2"/>
        <v/>
      </c>
      <c r="G84" s="69"/>
      <c r="H84" s="69" t="str">
        <f t="array" ref="H84">IF(G84="","",IFERROR(INDEX('Material Master'!$B$2:$B$201,IFERROR(MATCH(G84,'Material Master'!$F$2:$F$201,0),MATCH(G84,'Material Master'!$A$2:$A$201,0))),""))</f>
        <v/>
      </c>
      <c r="I84" s="69" t="str">
        <f t="array" ref="I84">IF(G84="","",IFERROR(INDEX('Material Master'!$C$2:$C$201,IFERROR(MATCH(G84,'Material Master'!$F$2:$F$201,0),MATCH(G84,'Material Master'!$A$2:$A$201,0))),""))</f>
        <v/>
      </c>
      <c r="J84" s="75" t="str">
        <f>IF(E84="","",SUMIFS('Stock Movement'!$F$2:$F$501,'Stock Movement'!$D$2:$D$501,E84,'Stock Movement'!$E$2:$E$501,"IN")-SUMIFS('Stock Movement'!$F$2:$F$501,'Stock Movement'!$D$2:$D$501,E84,'Stock Movement'!$E$2:$E$501,"OUT"))</f>
        <v/>
      </c>
      <c r="K84" s="77" t="str">
        <f t="array" ref="K84">IF(G84="","",IFERROR(INDEX('Material Master'!$D$2:$D$201,IFERROR(MATCH(G84,'Material Master'!$F$2:$F$201,0),MATCH(G84,'Material Master'!$A$2:$A$201,0))),""))</f>
        <v/>
      </c>
      <c r="L84" s="69"/>
      <c r="M84" s="69"/>
    </row>
    <row r="85" ht="24.0" customHeight="1">
      <c r="A85" s="82"/>
      <c r="B85" s="98"/>
      <c r="C85" s="82"/>
      <c r="D85" s="99"/>
      <c r="E85" s="82" t="str">
        <f t="shared" si="1"/>
        <v/>
      </c>
      <c r="F85" s="83" t="str">
        <f t="shared" si="2"/>
        <v/>
      </c>
      <c r="G85" s="85"/>
      <c r="H85" s="85" t="str">
        <f t="array" ref="H85">IF(G85="","",IFERROR(INDEX('Material Master'!$B$2:$B$201,IFERROR(MATCH(G85,'Material Master'!$F$2:$F$201,0),MATCH(G85,'Material Master'!$A$2:$A$201,0))),""))</f>
        <v/>
      </c>
      <c r="I85" s="85" t="str">
        <f t="array" ref="I85">IF(G85="","",IFERROR(INDEX('Material Master'!$C$2:$C$201,IFERROR(MATCH(G85,'Material Master'!$F$2:$F$201,0),MATCH(G85,'Material Master'!$A$2:$A$201,0))),""))</f>
        <v/>
      </c>
      <c r="J85" s="86" t="str">
        <f>IF(E85="","",SUMIFS('Stock Movement'!$F$2:$F$501,'Stock Movement'!$D$2:$D$501,E85,'Stock Movement'!$E$2:$E$501,"IN")-SUMIFS('Stock Movement'!$F$2:$F$501,'Stock Movement'!$D$2:$D$501,E85,'Stock Movement'!$E$2:$E$501,"OUT"))</f>
        <v/>
      </c>
      <c r="K85" s="87" t="str">
        <f t="array" ref="K85">IF(G85="","",IFERROR(INDEX('Material Master'!$D$2:$D$201,IFERROR(MATCH(G85,'Material Master'!$F$2:$F$201,0),MATCH(G85,'Material Master'!$A$2:$A$201,0))),""))</f>
        <v/>
      </c>
      <c r="L85" s="85"/>
      <c r="M85" s="85"/>
    </row>
    <row r="86" ht="24.0" customHeight="1">
      <c r="A86" s="88"/>
      <c r="B86" s="89"/>
      <c r="C86" s="88"/>
      <c r="D86" s="90"/>
      <c r="E86" s="88" t="str">
        <f t="shared" si="1"/>
        <v/>
      </c>
      <c r="F86" s="91" t="str">
        <f t="shared" si="2"/>
        <v/>
      </c>
      <c r="G86" s="69"/>
      <c r="H86" s="69" t="str">
        <f t="array" ref="H86">IF(G86="","",IFERROR(INDEX('Material Master'!$B$2:$B$201,IFERROR(MATCH(G86,'Material Master'!$F$2:$F$201,0),MATCH(G86,'Material Master'!$A$2:$A$201,0))),""))</f>
        <v/>
      </c>
      <c r="I86" s="69" t="str">
        <f t="array" ref="I86">IF(G86="","",IFERROR(INDEX('Material Master'!$C$2:$C$201,IFERROR(MATCH(G86,'Material Master'!$F$2:$F$201,0),MATCH(G86,'Material Master'!$A$2:$A$201,0))),""))</f>
        <v/>
      </c>
      <c r="J86" s="75" t="str">
        <f>IF(E86="","",SUMIFS('Stock Movement'!$F$2:$F$501,'Stock Movement'!$D$2:$D$501,E86,'Stock Movement'!$E$2:$E$501,"IN")-SUMIFS('Stock Movement'!$F$2:$F$501,'Stock Movement'!$D$2:$D$501,E86,'Stock Movement'!$E$2:$E$501,"OUT"))</f>
        <v/>
      </c>
      <c r="K86" s="77" t="str">
        <f t="array" ref="K86">IF(G86="","",IFERROR(INDEX('Material Master'!$D$2:$D$201,IFERROR(MATCH(G86,'Material Master'!$F$2:$F$201,0),MATCH(G86,'Material Master'!$A$2:$A$201,0))),""))</f>
        <v/>
      </c>
      <c r="L86" s="69"/>
      <c r="M86" s="69"/>
    </row>
    <row r="87" ht="24.0" customHeight="1">
      <c r="A87" s="82"/>
      <c r="B87" s="98"/>
      <c r="C87" s="82"/>
      <c r="D87" s="99"/>
      <c r="E87" s="82" t="str">
        <f t="shared" si="1"/>
        <v/>
      </c>
      <c r="F87" s="83" t="str">
        <f t="shared" si="2"/>
        <v/>
      </c>
      <c r="G87" s="85"/>
      <c r="H87" s="85" t="str">
        <f t="array" ref="H87">IF(G87="","",IFERROR(INDEX('Material Master'!$B$2:$B$201,IFERROR(MATCH(G87,'Material Master'!$F$2:$F$201,0),MATCH(G87,'Material Master'!$A$2:$A$201,0))),""))</f>
        <v/>
      </c>
      <c r="I87" s="85" t="str">
        <f t="array" ref="I87">IF(G87="","",IFERROR(INDEX('Material Master'!$C$2:$C$201,IFERROR(MATCH(G87,'Material Master'!$F$2:$F$201,0),MATCH(G87,'Material Master'!$A$2:$A$201,0))),""))</f>
        <v/>
      </c>
      <c r="J87" s="86" t="str">
        <f>IF(E87="","",SUMIFS('Stock Movement'!$F$2:$F$501,'Stock Movement'!$D$2:$D$501,E87,'Stock Movement'!$E$2:$E$501,"IN")-SUMIFS('Stock Movement'!$F$2:$F$501,'Stock Movement'!$D$2:$D$501,E87,'Stock Movement'!$E$2:$E$501,"OUT"))</f>
        <v/>
      </c>
      <c r="K87" s="87" t="str">
        <f t="array" ref="K87">IF(G87="","",IFERROR(INDEX('Material Master'!$D$2:$D$201,IFERROR(MATCH(G87,'Material Master'!$F$2:$F$201,0),MATCH(G87,'Material Master'!$A$2:$A$201,0))),""))</f>
        <v/>
      </c>
      <c r="L87" s="85"/>
      <c r="M87" s="85"/>
    </row>
    <row r="88" ht="24.0" customHeight="1">
      <c r="A88" s="88"/>
      <c r="B88" s="89"/>
      <c r="C88" s="88"/>
      <c r="D88" s="90"/>
      <c r="E88" s="88" t="str">
        <f t="shared" si="1"/>
        <v/>
      </c>
      <c r="F88" s="91" t="str">
        <f t="shared" si="2"/>
        <v/>
      </c>
      <c r="G88" s="69"/>
      <c r="H88" s="69" t="str">
        <f t="array" ref="H88">IF(G88="","",IFERROR(INDEX('Material Master'!$B$2:$B$201,IFERROR(MATCH(G88,'Material Master'!$F$2:$F$201,0),MATCH(G88,'Material Master'!$A$2:$A$201,0))),""))</f>
        <v/>
      </c>
      <c r="I88" s="69" t="str">
        <f t="array" ref="I88">IF(G88="","",IFERROR(INDEX('Material Master'!$C$2:$C$201,IFERROR(MATCH(G88,'Material Master'!$F$2:$F$201,0),MATCH(G88,'Material Master'!$A$2:$A$201,0))),""))</f>
        <v/>
      </c>
      <c r="J88" s="75" t="str">
        <f>IF(E88="","",SUMIFS('Stock Movement'!$F$2:$F$501,'Stock Movement'!$D$2:$D$501,E88,'Stock Movement'!$E$2:$E$501,"IN")-SUMIFS('Stock Movement'!$F$2:$F$501,'Stock Movement'!$D$2:$D$501,E88,'Stock Movement'!$E$2:$E$501,"OUT"))</f>
        <v/>
      </c>
      <c r="K88" s="77" t="str">
        <f t="array" ref="K88">IF(G88="","",IFERROR(INDEX('Material Master'!$D$2:$D$201,IFERROR(MATCH(G88,'Material Master'!$F$2:$F$201,0),MATCH(G88,'Material Master'!$A$2:$A$201,0))),""))</f>
        <v/>
      </c>
      <c r="L88" s="69"/>
      <c r="M88" s="69"/>
    </row>
    <row r="89" ht="24.0" customHeight="1">
      <c r="A89" s="82"/>
      <c r="B89" s="98"/>
      <c r="C89" s="82"/>
      <c r="D89" s="99"/>
      <c r="E89" s="82" t="str">
        <f t="shared" si="1"/>
        <v/>
      </c>
      <c r="F89" s="83" t="str">
        <f t="shared" si="2"/>
        <v/>
      </c>
      <c r="G89" s="85"/>
      <c r="H89" s="85" t="str">
        <f t="array" ref="H89">IF(G89="","",IFERROR(INDEX('Material Master'!$B$2:$B$201,IFERROR(MATCH(G89,'Material Master'!$F$2:$F$201,0),MATCH(G89,'Material Master'!$A$2:$A$201,0))),""))</f>
        <v/>
      </c>
      <c r="I89" s="85" t="str">
        <f t="array" ref="I89">IF(G89="","",IFERROR(INDEX('Material Master'!$C$2:$C$201,IFERROR(MATCH(G89,'Material Master'!$F$2:$F$201,0),MATCH(G89,'Material Master'!$A$2:$A$201,0))),""))</f>
        <v/>
      </c>
      <c r="J89" s="86" t="str">
        <f>IF(E89="","",SUMIFS('Stock Movement'!$F$2:$F$501,'Stock Movement'!$D$2:$D$501,E89,'Stock Movement'!$E$2:$E$501,"IN")-SUMIFS('Stock Movement'!$F$2:$F$501,'Stock Movement'!$D$2:$D$501,E89,'Stock Movement'!$E$2:$E$501,"OUT"))</f>
        <v/>
      </c>
      <c r="K89" s="87" t="str">
        <f t="array" ref="K89">IF(G89="","",IFERROR(INDEX('Material Master'!$D$2:$D$201,IFERROR(MATCH(G89,'Material Master'!$F$2:$F$201,0),MATCH(G89,'Material Master'!$A$2:$A$201,0))),""))</f>
        <v/>
      </c>
      <c r="L89" s="85"/>
      <c r="M89" s="85"/>
    </row>
    <row r="90" ht="24.0" customHeight="1">
      <c r="A90" s="88"/>
      <c r="B90" s="89"/>
      <c r="C90" s="88"/>
      <c r="D90" s="90"/>
      <c r="E90" s="88" t="str">
        <f t="shared" si="1"/>
        <v/>
      </c>
      <c r="F90" s="91" t="str">
        <f t="shared" si="2"/>
        <v/>
      </c>
      <c r="G90" s="69"/>
      <c r="H90" s="69" t="str">
        <f t="array" ref="H90">IF(G90="","",IFERROR(INDEX('Material Master'!$B$2:$B$201,IFERROR(MATCH(G90,'Material Master'!$F$2:$F$201,0),MATCH(G90,'Material Master'!$A$2:$A$201,0))),""))</f>
        <v/>
      </c>
      <c r="I90" s="69" t="str">
        <f t="array" ref="I90">IF(G90="","",IFERROR(INDEX('Material Master'!$C$2:$C$201,IFERROR(MATCH(G90,'Material Master'!$F$2:$F$201,0),MATCH(G90,'Material Master'!$A$2:$A$201,0))),""))</f>
        <v/>
      </c>
      <c r="J90" s="75" t="str">
        <f>IF(E90="","",SUMIFS('Stock Movement'!$F$2:$F$501,'Stock Movement'!$D$2:$D$501,E90,'Stock Movement'!$E$2:$E$501,"IN")-SUMIFS('Stock Movement'!$F$2:$F$501,'Stock Movement'!$D$2:$D$501,E90,'Stock Movement'!$E$2:$E$501,"OUT"))</f>
        <v/>
      </c>
      <c r="K90" s="77" t="str">
        <f t="array" ref="K90">IF(G90="","",IFERROR(INDEX('Material Master'!$D$2:$D$201,IFERROR(MATCH(G90,'Material Master'!$F$2:$F$201,0),MATCH(G90,'Material Master'!$A$2:$A$201,0))),""))</f>
        <v/>
      </c>
      <c r="L90" s="69"/>
      <c r="M90" s="69"/>
    </row>
    <row r="91" ht="24.0" customHeight="1">
      <c r="A91" s="82"/>
      <c r="B91" s="98"/>
      <c r="C91" s="82"/>
      <c r="D91" s="99"/>
      <c r="E91" s="82" t="str">
        <f t="shared" si="1"/>
        <v/>
      </c>
      <c r="F91" s="83" t="str">
        <f t="shared" si="2"/>
        <v/>
      </c>
      <c r="G91" s="85"/>
      <c r="H91" s="85" t="str">
        <f t="array" ref="H91">IF(G91="","",IFERROR(INDEX('Material Master'!$B$2:$B$201,IFERROR(MATCH(G91,'Material Master'!$F$2:$F$201,0),MATCH(G91,'Material Master'!$A$2:$A$201,0))),""))</f>
        <v/>
      </c>
      <c r="I91" s="85" t="str">
        <f t="array" ref="I91">IF(G91="","",IFERROR(INDEX('Material Master'!$C$2:$C$201,IFERROR(MATCH(G91,'Material Master'!$F$2:$F$201,0),MATCH(G91,'Material Master'!$A$2:$A$201,0))),""))</f>
        <v/>
      </c>
      <c r="J91" s="86" t="str">
        <f>IF(E91="","",SUMIFS('Stock Movement'!$F$2:$F$501,'Stock Movement'!$D$2:$D$501,E91,'Stock Movement'!$E$2:$E$501,"IN")-SUMIFS('Stock Movement'!$F$2:$F$501,'Stock Movement'!$D$2:$D$501,E91,'Stock Movement'!$E$2:$E$501,"OUT"))</f>
        <v/>
      </c>
      <c r="K91" s="87" t="str">
        <f t="array" ref="K91">IF(G91="","",IFERROR(INDEX('Material Master'!$D$2:$D$201,IFERROR(MATCH(G91,'Material Master'!$F$2:$F$201,0),MATCH(G91,'Material Master'!$A$2:$A$201,0))),""))</f>
        <v/>
      </c>
      <c r="L91" s="85"/>
      <c r="M91" s="85"/>
    </row>
    <row r="92" ht="24.0" customHeight="1">
      <c r="A92" s="88"/>
      <c r="B92" s="89"/>
      <c r="C92" s="88"/>
      <c r="D92" s="90"/>
      <c r="E92" s="88" t="str">
        <f t="shared" si="1"/>
        <v/>
      </c>
      <c r="F92" s="91" t="str">
        <f t="shared" si="2"/>
        <v/>
      </c>
      <c r="G92" s="69"/>
      <c r="H92" s="69" t="str">
        <f t="array" ref="H92">IF(G92="","",IFERROR(INDEX('Material Master'!$B$2:$B$201,IFERROR(MATCH(G92,'Material Master'!$F$2:$F$201,0),MATCH(G92,'Material Master'!$A$2:$A$201,0))),""))</f>
        <v/>
      </c>
      <c r="I92" s="69" t="str">
        <f t="array" ref="I92">IF(G92="","",IFERROR(INDEX('Material Master'!$C$2:$C$201,IFERROR(MATCH(G92,'Material Master'!$F$2:$F$201,0),MATCH(G92,'Material Master'!$A$2:$A$201,0))),""))</f>
        <v/>
      </c>
      <c r="J92" s="75" t="str">
        <f>IF(E92="","",SUMIFS('Stock Movement'!$F$2:$F$501,'Stock Movement'!$D$2:$D$501,E92,'Stock Movement'!$E$2:$E$501,"IN")-SUMIFS('Stock Movement'!$F$2:$F$501,'Stock Movement'!$D$2:$D$501,E92,'Stock Movement'!$E$2:$E$501,"OUT"))</f>
        <v/>
      </c>
      <c r="K92" s="77" t="str">
        <f t="array" ref="K92">IF(G92="","",IFERROR(INDEX('Material Master'!$D$2:$D$201,IFERROR(MATCH(G92,'Material Master'!$F$2:$F$201,0),MATCH(G92,'Material Master'!$A$2:$A$201,0))),""))</f>
        <v/>
      </c>
      <c r="L92" s="69"/>
      <c r="M92" s="69"/>
    </row>
    <row r="93" ht="24.0" customHeight="1">
      <c r="A93" s="82"/>
      <c r="B93" s="98"/>
      <c r="C93" s="82"/>
      <c r="D93" s="99"/>
      <c r="E93" s="82" t="str">
        <f t="shared" si="1"/>
        <v/>
      </c>
      <c r="F93" s="83" t="str">
        <f t="shared" si="2"/>
        <v/>
      </c>
      <c r="G93" s="85"/>
      <c r="H93" s="85" t="str">
        <f t="array" ref="H93">IF(G93="","",IFERROR(INDEX('Material Master'!$B$2:$B$201,IFERROR(MATCH(G93,'Material Master'!$F$2:$F$201,0),MATCH(G93,'Material Master'!$A$2:$A$201,0))),""))</f>
        <v/>
      </c>
      <c r="I93" s="85" t="str">
        <f t="array" ref="I93">IF(G93="","",IFERROR(INDEX('Material Master'!$C$2:$C$201,IFERROR(MATCH(G93,'Material Master'!$F$2:$F$201,0),MATCH(G93,'Material Master'!$A$2:$A$201,0))),""))</f>
        <v/>
      </c>
      <c r="J93" s="86" t="str">
        <f>IF(E93="","",SUMIFS('Stock Movement'!$F$2:$F$501,'Stock Movement'!$D$2:$D$501,E93,'Stock Movement'!$E$2:$E$501,"IN")-SUMIFS('Stock Movement'!$F$2:$F$501,'Stock Movement'!$D$2:$D$501,E93,'Stock Movement'!$E$2:$E$501,"OUT"))</f>
        <v/>
      </c>
      <c r="K93" s="87" t="str">
        <f t="array" ref="K93">IF(G93="","",IFERROR(INDEX('Material Master'!$D$2:$D$201,IFERROR(MATCH(G93,'Material Master'!$F$2:$F$201,0),MATCH(G93,'Material Master'!$A$2:$A$201,0))),""))</f>
        <v/>
      </c>
      <c r="L93" s="85"/>
      <c r="M93" s="85"/>
    </row>
    <row r="94" ht="24.0" customHeight="1">
      <c r="A94" s="88"/>
      <c r="B94" s="89"/>
      <c r="C94" s="88"/>
      <c r="D94" s="90"/>
      <c r="E94" s="88" t="str">
        <f t="shared" si="1"/>
        <v/>
      </c>
      <c r="F94" s="91" t="str">
        <f t="shared" si="2"/>
        <v/>
      </c>
      <c r="G94" s="69"/>
      <c r="H94" s="69" t="str">
        <f t="array" ref="H94">IF(G94="","",IFERROR(INDEX('Material Master'!$B$2:$B$201,IFERROR(MATCH(G94,'Material Master'!$F$2:$F$201,0),MATCH(G94,'Material Master'!$A$2:$A$201,0))),""))</f>
        <v/>
      </c>
      <c r="I94" s="69" t="str">
        <f t="array" ref="I94">IF(G94="","",IFERROR(INDEX('Material Master'!$C$2:$C$201,IFERROR(MATCH(G94,'Material Master'!$F$2:$F$201,0),MATCH(G94,'Material Master'!$A$2:$A$201,0))),""))</f>
        <v/>
      </c>
      <c r="J94" s="75" t="str">
        <f>IF(E94="","",SUMIFS('Stock Movement'!$F$2:$F$501,'Stock Movement'!$D$2:$D$501,E94,'Stock Movement'!$E$2:$E$501,"IN")-SUMIFS('Stock Movement'!$F$2:$F$501,'Stock Movement'!$D$2:$D$501,E94,'Stock Movement'!$E$2:$E$501,"OUT"))</f>
        <v/>
      </c>
      <c r="K94" s="77" t="str">
        <f t="array" ref="K94">IF(G94="","",IFERROR(INDEX('Material Master'!$D$2:$D$201,IFERROR(MATCH(G94,'Material Master'!$F$2:$F$201,0),MATCH(G94,'Material Master'!$A$2:$A$201,0))),""))</f>
        <v/>
      </c>
      <c r="L94" s="69"/>
      <c r="M94" s="69"/>
    </row>
    <row r="95" ht="24.0" customHeight="1">
      <c r="A95" s="82"/>
      <c r="B95" s="98"/>
      <c r="C95" s="82"/>
      <c r="D95" s="99"/>
      <c r="E95" s="82" t="str">
        <f t="shared" si="1"/>
        <v/>
      </c>
      <c r="F95" s="83" t="str">
        <f t="shared" si="2"/>
        <v/>
      </c>
      <c r="G95" s="85"/>
      <c r="H95" s="85" t="str">
        <f t="array" ref="H95">IF(G95="","",IFERROR(INDEX('Material Master'!$B$2:$B$201,IFERROR(MATCH(G95,'Material Master'!$F$2:$F$201,0),MATCH(G95,'Material Master'!$A$2:$A$201,0))),""))</f>
        <v/>
      </c>
      <c r="I95" s="85" t="str">
        <f t="array" ref="I95">IF(G95="","",IFERROR(INDEX('Material Master'!$C$2:$C$201,IFERROR(MATCH(G95,'Material Master'!$F$2:$F$201,0),MATCH(G95,'Material Master'!$A$2:$A$201,0))),""))</f>
        <v/>
      </c>
      <c r="J95" s="86" t="str">
        <f>IF(E95="","",SUMIFS('Stock Movement'!$F$2:$F$501,'Stock Movement'!$D$2:$D$501,E95,'Stock Movement'!$E$2:$E$501,"IN")-SUMIFS('Stock Movement'!$F$2:$F$501,'Stock Movement'!$D$2:$D$501,E95,'Stock Movement'!$E$2:$E$501,"OUT"))</f>
        <v/>
      </c>
      <c r="K95" s="87" t="str">
        <f t="array" ref="K95">IF(G95="","",IFERROR(INDEX('Material Master'!$D$2:$D$201,IFERROR(MATCH(G95,'Material Master'!$F$2:$F$201,0),MATCH(G95,'Material Master'!$A$2:$A$201,0))),""))</f>
        <v/>
      </c>
      <c r="L95" s="85"/>
      <c r="M95" s="85"/>
    </row>
    <row r="96" ht="24.0" customHeight="1">
      <c r="A96" s="88"/>
      <c r="B96" s="89"/>
      <c r="C96" s="88"/>
      <c r="D96" s="90"/>
      <c r="E96" s="88" t="str">
        <f t="shared" si="1"/>
        <v/>
      </c>
      <c r="F96" s="91" t="str">
        <f t="shared" si="2"/>
        <v/>
      </c>
      <c r="G96" s="69"/>
      <c r="H96" s="69" t="str">
        <f t="array" ref="H96">IF(G96="","",IFERROR(INDEX('Material Master'!$B$2:$B$201,IFERROR(MATCH(G96,'Material Master'!$F$2:$F$201,0),MATCH(G96,'Material Master'!$A$2:$A$201,0))),""))</f>
        <v/>
      </c>
      <c r="I96" s="69" t="str">
        <f t="array" ref="I96">IF(G96="","",IFERROR(INDEX('Material Master'!$C$2:$C$201,IFERROR(MATCH(G96,'Material Master'!$F$2:$F$201,0),MATCH(G96,'Material Master'!$A$2:$A$201,0))),""))</f>
        <v/>
      </c>
      <c r="J96" s="75" t="str">
        <f>IF(E96="","",SUMIFS('Stock Movement'!$F$2:$F$501,'Stock Movement'!$D$2:$D$501,E96,'Stock Movement'!$E$2:$E$501,"IN")-SUMIFS('Stock Movement'!$F$2:$F$501,'Stock Movement'!$D$2:$D$501,E96,'Stock Movement'!$E$2:$E$501,"OUT"))</f>
        <v/>
      </c>
      <c r="K96" s="77" t="str">
        <f t="array" ref="K96">IF(G96="","",IFERROR(INDEX('Material Master'!$D$2:$D$201,IFERROR(MATCH(G96,'Material Master'!$F$2:$F$201,0),MATCH(G96,'Material Master'!$A$2:$A$201,0))),""))</f>
        <v/>
      </c>
      <c r="L96" s="69"/>
      <c r="M96" s="69"/>
    </row>
    <row r="97" ht="24.0" customHeight="1">
      <c r="A97" s="82"/>
      <c r="B97" s="98"/>
      <c r="C97" s="82"/>
      <c r="D97" s="99"/>
      <c r="E97" s="82" t="str">
        <f t="shared" si="1"/>
        <v/>
      </c>
      <c r="F97" s="83" t="str">
        <f t="shared" si="2"/>
        <v/>
      </c>
      <c r="G97" s="85"/>
      <c r="H97" s="85" t="str">
        <f t="array" ref="H97">IF(G97="","",IFERROR(INDEX('Material Master'!$B$2:$B$201,IFERROR(MATCH(G97,'Material Master'!$F$2:$F$201,0),MATCH(G97,'Material Master'!$A$2:$A$201,0))),""))</f>
        <v/>
      </c>
      <c r="I97" s="85" t="str">
        <f t="array" ref="I97">IF(G97="","",IFERROR(INDEX('Material Master'!$C$2:$C$201,IFERROR(MATCH(G97,'Material Master'!$F$2:$F$201,0),MATCH(G97,'Material Master'!$A$2:$A$201,0))),""))</f>
        <v/>
      </c>
      <c r="J97" s="86" t="str">
        <f>IF(E97="","",SUMIFS('Stock Movement'!$F$2:$F$501,'Stock Movement'!$D$2:$D$501,E97,'Stock Movement'!$E$2:$E$501,"IN")-SUMIFS('Stock Movement'!$F$2:$F$501,'Stock Movement'!$D$2:$D$501,E97,'Stock Movement'!$E$2:$E$501,"OUT"))</f>
        <v/>
      </c>
      <c r="K97" s="87" t="str">
        <f t="array" ref="K97">IF(G97="","",IFERROR(INDEX('Material Master'!$D$2:$D$201,IFERROR(MATCH(G97,'Material Master'!$F$2:$F$201,0),MATCH(G97,'Material Master'!$A$2:$A$201,0))),""))</f>
        <v/>
      </c>
      <c r="L97" s="85"/>
      <c r="M97" s="85"/>
    </row>
    <row r="98" ht="24.0" customHeight="1">
      <c r="A98" s="88"/>
      <c r="B98" s="89"/>
      <c r="C98" s="88"/>
      <c r="D98" s="90"/>
      <c r="E98" s="88" t="str">
        <f t="shared" si="1"/>
        <v/>
      </c>
      <c r="F98" s="91" t="str">
        <f t="shared" si="2"/>
        <v/>
      </c>
      <c r="G98" s="69"/>
      <c r="H98" s="69" t="str">
        <f t="array" ref="H98">IF(G98="","",IFERROR(INDEX('Material Master'!$B$2:$B$201,IFERROR(MATCH(G98,'Material Master'!$F$2:$F$201,0),MATCH(G98,'Material Master'!$A$2:$A$201,0))),""))</f>
        <v/>
      </c>
      <c r="I98" s="69" t="str">
        <f t="array" ref="I98">IF(G98="","",IFERROR(INDEX('Material Master'!$C$2:$C$201,IFERROR(MATCH(G98,'Material Master'!$F$2:$F$201,0),MATCH(G98,'Material Master'!$A$2:$A$201,0))),""))</f>
        <v/>
      </c>
      <c r="J98" s="75" t="str">
        <f>IF(E98="","",SUMIFS('Stock Movement'!$F$2:$F$501,'Stock Movement'!$D$2:$D$501,E98,'Stock Movement'!$E$2:$E$501,"IN")-SUMIFS('Stock Movement'!$F$2:$F$501,'Stock Movement'!$D$2:$D$501,E98,'Stock Movement'!$E$2:$E$501,"OUT"))</f>
        <v/>
      </c>
      <c r="K98" s="77" t="str">
        <f t="array" ref="K98">IF(G98="","",IFERROR(INDEX('Material Master'!$D$2:$D$201,IFERROR(MATCH(G98,'Material Master'!$F$2:$F$201,0),MATCH(G98,'Material Master'!$A$2:$A$201,0))),""))</f>
        <v/>
      </c>
      <c r="L98" s="69"/>
      <c r="M98" s="69"/>
    </row>
    <row r="99" ht="24.0" customHeight="1">
      <c r="A99" s="82"/>
      <c r="B99" s="98"/>
      <c r="C99" s="82"/>
      <c r="D99" s="99"/>
      <c r="E99" s="82" t="str">
        <f t="shared" si="1"/>
        <v/>
      </c>
      <c r="F99" s="83" t="str">
        <f t="shared" si="2"/>
        <v/>
      </c>
      <c r="G99" s="85"/>
      <c r="H99" s="85" t="str">
        <f t="array" ref="H99">IF(G99="","",IFERROR(INDEX('Material Master'!$B$2:$B$201,IFERROR(MATCH(G99,'Material Master'!$F$2:$F$201,0),MATCH(G99,'Material Master'!$A$2:$A$201,0))),""))</f>
        <v/>
      </c>
      <c r="I99" s="85" t="str">
        <f t="array" ref="I99">IF(G99="","",IFERROR(INDEX('Material Master'!$C$2:$C$201,IFERROR(MATCH(G99,'Material Master'!$F$2:$F$201,0),MATCH(G99,'Material Master'!$A$2:$A$201,0))),""))</f>
        <v/>
      </c>
      <c r="J99" s="86" t="str">
        <f>IF(E99="","",SUMIFS('Stock Movement'!$F$2:$F$501,'Stock Movement'!$D$2:$D$501,E99,'Stock Movement'!$E$2:$E$501,"IN")-SUMIFS('Stock Movement'!$F$2:$F$501,'Stock Movement'!$D$2:$D$501,E99,'Stock Movement'!$E$2:$E$501,"OUT"))</f>
        <v/>
      </c>
      <c r="K99" s="87" t="str">
        <f t="array" ref="K99">IF(G99="","",IFERROR(INDEX('Material Master'!$D$2:$D$201,IFERROR(MATCH(G99,'Material Master'!$F$2:$F$201,0),MATCH(G99,'Material Master'!$A$2:$A$201,0))),""))</f>
        <v/>
      </c>
      <c r="L99" s="85"/>
      <c r="M99" s="85"/>
    </row>
    <row r="100" ht="24.0" customHeight="1">
      <c r="A100" s="88"/>
      <c r="B100" s="89"/>
      <c r="C100" s="88"/>
      <c r="D100" s="90"/>
      <c r="E100" s="88" t="str">
        <f t="shared" si="1"/>
        <v/>
      </c>
      <c r="F100" s="91" t="str">
        <f t="shared" si="2"/>
        <v/>
      </c>
      <c r="G100" s="69"/>
      <c r="H100" s="69" t="str">
        <f t="array" ref="H100">IF(G100="","",IFERROR(INDEX('Material Master'!$B$2:$B$201,IFERROR(MATCH(G100,'Material Master'!$F$2:$F$201,0),MATCH(G100,'Material Master'!$A$2:$A$201,0))),""))</f>
        <v/>
      </c>
      <c r="I100" s="69" t="str">
        <f t="array" ref="I100">IF(G100="","",IFERROR(INDEX('Material Master'!$C$2:$C$201,IFERROR(MATCH(G100,'Material Master'!$F$2:$F$201,0),MATCH(G100,'Material Master'!$A$2:$A$201,0))),""))</f>
        <v/>
      </c>
      <c r="J100" s="75" t="str">
        <f>IF(E100="","",SUMIFS('Stock Movement'!$F$2:$F$501,'Stock Movement'!$D$2:$D$501,E100,'Stock Movement'!$E$2:$E$501,"IN")-SUMIFS('Stock Movement'!$F$2:$F$501,'Stock Movement'!$D$2:$D$501,E100,'Stock Movement'!$E$2:$E$501,"OUT"))</f>
        <v/>
      </c>
      <c r="K100" s="77" t="str">
        <f t="array" ref="K100">IF(G100="","",IFERROR(INDEX('Material Master'!$D$2:$D$201,IFERROR(MATCH(G100,'Material Master'!$F$2:$F$201,0),MATCH(G100,'Material Master'!$A$2:$A$201,0))),""))</f>
        <v/>
      </c>
      <c r="L100" s="69"/>
      <c r="M100" s="69"/>
    </row>
    <row r="101" ht="24.0" customHeight="1">
      <c r="A101" s="82"/>
      <c r="B101" s="98"/>
      <c r="C101" s="82"/>
      <c r="D101" s="99"/>
      <c r="E101" s="82" t="str">
        <f t="shared" si="1"/>
        <v/>
      </c>
      <c r="F101" s="83" t="str">
        <f t="shared" si="2"/>
        <v/>
      </c>
      <c r="G101" s="85"/>
      <c r="H101" s="85" t="str">
        <f t="array" ref="H101">IF(G101="","",IFERROR(INDEX('Material Master'!$B$2:$B$201,IFERROR(MATCH(G101,'Material Master'!$F$2:$F$201,0),MATCH(G101,'Material Master'!$A$2:$A$201,0))),""))</f>
        <v/>
      </c>
      <c r="I101" s="85" t="str">
        <f t="array" ref="I101">IF(G101="","",IFERROR(INDEX('Material Master'!$C$2:$C$201,IFERROR(MATCH(G101,'Material Master'!$F$2:$F$201,0),MATCH(G101,'Material Master'!$A$2:$A$201,0))),""))</f>
        <v/>
      </c>
      <c r="J101" s="86" t="str">
        <f>IF(E101="","",SUMIFS('Stock Movement'!$F$2:$F$501,'Stock Movement'!$D$2:$D$501,E101,'Stock Movement'!$E$2:$E$501,"IN")-SUMIFS('Stock Movement'!$F$2:$F$501,'Stock Movement'!$D$2:$D$501,E101,'Stock Movement'!$E$2:$E$501,"OUT"))</f>
        <v/>
      </c>
      <c r="K101" s="87" t="str">
        <f t="array" ref="K101">IF(G101="","",IFERROR(INDEX('Material Master'!$D$2:$D$201,IFERROR(MATCH(G101,'Material Master'!$F$2:$F$201,0),MATCH(G101,'Material Master'!$A$2:$A$201,0))),""))</f>
        <v/>
      </c>
      <c r="L101" s="85"/>
      <c r="M101" s="85"/>
    </row>
    <row r="102" ht="24.0" customHeight="1">
      <c r="A102" s="88"/>
      <c r="B102" s="89"/>
      <c r="C102" s="88"/>
      <c r="D102" s="90"/>
      <c r="E102" s="88" t="str">
        <f t="shared" si="1"/>
        <v/>
      </c>
      <c r="F102" s="91" t="str">
        <f t="shared" si="2"/>
        <v/>
      </c>
      <c r="G102" s="69"/>
      <c r="H102" s="69" t="str">
        <f t="array" ref="H102">IF(G102="","",IFERROR(INDEX('Material Master'!$B$2:$B$201,IFERROR(MATCH(G102,'Material Master'!$F$2:$F$201,0),MATCH(G102,'Material Master'!$A$2:$A$201,0))),""))</f>
        <v/>
      </c>
      <c r="I102" s="69" t="str">
        <f t="array" ref="I102">IF(G102="","",IFERROR(INDEX('Material Master'!$C$2:$C$201,IFERROR(MATCH(G102,'Material Master'!$F$2:$F$201,0),MATCH(G102,'Material Master'!$A$2:$A$201,0))),""))</f>
        <v/>
      </c>
      <c r="J102" s="75" t="str">
        <f>IF(E102="","",SUMIFS('Stock Movement'!$F$2:$F$501,'Stock Movement'!$D$2:$D$501,E102,'Stock Movement'!$E$2:$E$501,"IN")-SUMIFS('Stock Movement'!$F$2:$F$501,'Stock Movement'!$D$2:$D$501,E102,'Stock Movement'!$E$2:$E$501,"OUT"))</f>
        <v/>
      </c>
      <c r="K102" s="77" t="str">
        <f t="array" ref="K102">IF(G102="","",IFERROR(INDEX('Material Master'!$D$2:$D$201,IFERROR(MATCH(G102,'Material Master'!$F$2:$F$201,0),MATCH(G102,'Material Master'!$A$2:$A$201,0))),""))</f>
        <v/>
      </c>
      <c r="L102" s="69"/>
      <c r="M102" s="69"/>
    </row>
    <row r="103" ht="24.0" customHeight="1">
      <c r="A103" s="82"/>
      <c r="B103" s="98"/>
      <c r="C103" s="82"/>
      <c r="D103" s="99"/>
      <c r="E103" s="82" t="str">
        <f t="shared" si="1"/>
        <v/>
      </c>
      <c r="F103" s="83" t="str">
        <f t="shared" si="2"/>
        <v/>
      </c>
      <c r="G103" s="85"/>
      <c r="H103" s="85" t="str">
        <f t="array" ref="H103">IF(G103="","",IFERROR(INDEX('Material Master'!$B$2:$B$201,IFERROR(MATCH(G103,'Material Master'!$F$2:$F$201,0),MATCH(G103,'Material Master'!$A$2:$A$201,0))),""))</f>
        <v/>
      </c>
      <c r="I103" s="85" t="str">
        <f t="array" ref="I103">IF(G103="","",IFERROR(INDEX('Material Master'!$C$2:$C$201,IFERROR(MATCH(G103,'Material Master'!$F$2:$F$201,0),MATCH(G103,'Material Master'!$A$2:$A$201,0))),""))</f>
        <v/>
      </c>
      <c r="J103" s="86" t="str">
        <f>IF(E103="","",SUMIFS('Stock Movement'!$F$2:$F$501,'Stock Movement'!$D$2:$D$501,E103,'Stock Movement'!$E$2:$E$501,"IN")-SUMIFS('Stock Movement'!$F$2:$F$501,'Stock Movement'!$D$2:$D$501,E103,'Stock Movement'!$E$2:$E$501,"OUT"))</f>
        <v/>
      </c>
      <c r="K103" s="87" t="str">
        <f t="array" ref="K103">IF(G103="","",IFERROR(INDEX('Material Master'!$D$2:$D$201,IFERROR(MATCH(G103,'Material Master'!$F$2:$F$201,0),MATCH(G103,'Material Master'!$A$2:$A$201,0))),""))</f>
        <v/>
      </c>
      <c r="L103" s="85"/>
      <c r="M103" s="85"/>
    </row>
    <row r="104" ht="24.0" customHeight="1">
      <c r="A104" s="88"/>
      <c r="B104" s="89"/>
      <c r="C104" s="88"/>
      <c r="D104" s="90"/>
      <c r="E104" s="88" t="str">
        <f t="shared" si="1"/>
        <v/>
      </c>
      <c r="F104" s="91" t="str">
        <f t="shared" si="2"/>
        <v/>
      </c>
      <c r="G104" s="69"/>
      <c r="H104" s="69" t="str">
        <f t="array" ref="H104">IF(G104="","",IFERROR(INDEX('Material Master'!$B$2:$B$201,IFERROR(MATCH(G104,'Material Master'!$F$2:$F$201,0),MATCH(G104,'Material Master'!$A$2:$A$201,0))),""))</f>
        <v/>
      </c>
      <c r="I104" s="69" t="str">
        <f t="array" ref="I104">IF(G104="","",IFERROR(INDEX('Material Master'!$C$2:$C$201,IFERROR(MATCH(G104,'Material Master'!$F$2:$F$201,0),MATCH(G104,'Material Master'!$A$2:$A$201,0))),""))</f>
        <v/>
      </c>
      <c r="J104" s="75" t="str">
        <f>IF(E104="","",SUMIFS('Stock Movement'!$F$2:$F$501,'Stock Movement'!$D$2:$D$501,E104,'Stock Movement'!$E$2:$E$501,"IN")-SUMIFS('Stock Movement'!$F$2:$F$501,'Stock Movement'!$D$2:$D$501,E104,'Stock Movement'!$E$2:$E$501,"OUT"))</f>
        <v/>
      </c>
      <c r="K104" s="77" t="str">
        <f t="array" ref="K104">IF(G104="","",IFERROR(INDEX('Material Master'!$D$2:$D$201,IFERROR(MATCH(G104,'Material Master'!$F$2:$F$201,0),MATCH(G104,'Material Master'!$A$2:$A$201,0))),""))</f>
        <v/>
      </c>
      <c r="L104" s="69"/>
      <c r="M104" s="69"/>
    </row>
    <row r="105" ht="24.0" customHeight="1">
      <c r="A105" s="82"/>
      <c r="B105" s="98"/>
      <c r="C105" s="82"/>
      <c r="D105" s="99"/>
      <c r="E105" s="82" t="str">
        <f t="shared" si="1"/>
        <v/>
      </c>
      <c r="F105" s="83" t="str">
        <f t="shared" si="2"/>
        <v/>
      </c>
      <c r="G105" s="85"/>
      <c r="H105" s="85" t="str">
        <f t="array" ref="H105">IF(G105="","",IFERROR(INDEX('Material Master'!$B$2:$B$201,IFERROR(MATCH(G105,'Material Master'!$F$2:$F$201,0),MATCH(G105,'Material Master'!$A$2:$A$201,0))),""))</f>
        <v/>
      </c>
      <c r="I105" s="85" t="str">
        <f t="array" ref="I105">IF(G105="","",IFERROR(INDEX('Material Master'!$C$2:$C$201,IFERROR(MATCH(G105,'Material Master'!$F$2:$F$201,0),MATCH(G105,'Material Master'!$A$2:$A$201,0))),""))</f>
        <v/>
      </c>
      <c r="J105" s="86" t="str">
        <f>IF(E105="","",SUMIFS('Stock Movement'!$F$2:$F$501,'Stock Movement'!$D$2:$D$501,E105,'Stock Movement'!$E$2:$E$501,"IN")-SUMIFS('Stock Movement'!$F$2:$F$501,'Stock Movement'!$D$2:$D$501,E105,'Stock Movement'!$E$2:$E$501,"OUT"))</f>
        <v/>
      </c>
      <c r="K105" s="87" t="str">
        <f t="array" ref="K105">IF(G105="","",IFERROR(INDEX('Material Master'!$D$2:$D$201,IFERROR(MATCH(G105,'Material Master'!$F$2:$F$201,0),MATCH(G105,'Material Master'!$A$2:$A$201,0))),""))</f>
        <v/>
      </c>
      <c r="L105" s="85"/>
      <c r="M105" s="85"/>
    </row>
    <row r="106" ht="24.0" customHeight="1">
      <c r="A106" s="88"/>
      <c r="B106" s="89"/>
      <c r="C106" s="88"/>
      <c r="D106" s="90"/>
      <c r="E106" s="88" t="str">
        <f t="shared" si="1"/>
        <v/>
      </c>
      <c r="F106" s="91" t="str">
        <f t="shared" si="2"/>
        <v/>
      </c>
      <c r="G106" s="69"/>
      <c r="H106" s="69" t="str">
        <f t="array" ref="H106">IF(G106="","",IFERROR(INDEX('Material Master'!$B$2:$B$201,IFERROR(MATCH(G106,'Material Master'!$F$2:$F$201,0),MATCH(G106,'Material Master'!$A$2:$A$201,0))),""))</f>
        <v/>
      </c>
      <c r="I106" s="69" t="str">
        <f t="array" ref="I106">IF(G106="","",IFERROR(INDEX('Material Master'!$C$2:$C$201,IFERROR(MATCH(G106,'Material Master'!$F$2:$F$201,0),MATCH(G106,'Material Master'!$A$2:$A$201,0))),""))</f>
        <v/>
      </c>
      <c r="J106" s="75" t="str">
        <f>IF(E106="","",SUMIFS('Stock Movement'!$F$2:$F$501,'Stock Movement'!$D$2:$D$501,E106,'Stock Movement'!$E$2:$E$501,"IN")-SUMIFS('Stock Movement'!$F$2:$F$501,'Stock Movement'!$D$2:$D$501,E106,'Stock Movement'!$E$2:$E$501,"OUT"))</f>
        <v/>
      </c>
      <c r="K106" s="77" t="str">
        <f t="array" ref="K106">IF(G106="","",IFERROR(INDEX('Material Master'!$D$2:$D$201,IFERROR(MATCH(G106,'Material Master'!$F$2:$F$201,0),MATCH(G106,'Material Master'!$A$2:$A$201,0))),""))</f>
        <v/>
      </c>
      <c r="L106" s="69"/>
      <c r="M106" s="69"/>
    </row>
    <row r="107" ht="24.0" customHeight="1">
      <c r="A107" s="82"/>
      <c r="B107" s="98"/>
      <c r="C107" s="82"/>
      <c r="D107" s="99"/>
      <c r="E107" s="82" t="str">
        <f t="shared" si="1"/>
        <v/>
      </c>
      <c r="F107" s="83" t="str">
        <f t="shared" si="2"/>
        <v/>
      </c>
      <c r="G107" s="85"/>
      <c r="H107" s="85" t="str">
        <f t="array" ref="H107">IF(G107="","",IFERROR(INDEX('Material Master'!$B$2:$B$201,IFERROR(MATCH(G107,'Material Master'!$F$2:$F$201,0),MATCH(G107,'Material Master'!$A$2:$A$201,0))),""))</f>
        <v/>
      </c>
      <c r="I107" s="85" t="str">
        <f t="array" ref="I107">IF(G107="","",IFERROR(INDEX('Material Master'!$C$2:$C$201,IFERROR(MATCH(G107,'Material Master'!$F$2:$F$201,0),MATCH(G107,'Material Master'!$A$2:$A$201,0))),""))</f>
        <v/>
      </c>
      <c r="J107" s="86" t="str">
        <f>IF(E107="","",SUMIFS('Stock Movement'!$F$2:$F$501,'Stock Movement'!$D$2:$D$501,E107,'Stock Movement'!$E$2:$E$501,"IN")-SUMIFS('Stock Movement'!$F$2:$F$501,'Stock Movement'!$D$2:$D$501,E107,'Stock Movement'!$E$2:$E$501,"OUT"))</f>
        <v/>
      </c>
      <c r="K107" s="87" t="str">
        <f t="array" ref="K107">IF(G107="","",IFERROR(INDEX('Material Master'!$D$2:$D$201,IFERROR(MATCH(G107,'Material Master'!$F$2:$F$201,0),MATCH(G107,'Material Master'!$A$2:$A$201,0))),""))</f>
        <v/>
      </c>
      <c r="L107" s="85"/>
      <c r="M107" s="85"/>
    </row>
    <row r="108" ht="24.0" customHeight="1">
      <c r="A108" s="88"/>
      <c r="B108" s="89"/>
      <c r="C108" s="88"/>
      <c r="D108" s="90"/>
      <c r="E108" s="88" t="str">
        <f t="shared" si="1"/>
        <v/>
      </c>
      <c r="F108" s="91" t="str">
        <f t="shared" si="2"/>
        <v/>
      </c>
      <c r="G108" s="69"/>
      <c r="H108" s="69" t="str">
        <f t="array" ref="H108">IF(G108="","",IFERROR(INDEX('Material Master'!$B$2:$B$201,IFERROR(MATCH(G108,'Material Master'!$F$2:$F$201,0),MATCH(G108,'Material Master'!$A$2:$A$201,0))),""))</f>
        <v/>
      </c>
      <c r="I108" s="69" t="str">
        <f t="array" ref="I108">IF(G108="","",IFERROR(INDEX('Material Master'!$C$2:$C$201,IFERROR(MATCH(G108,'Material Master'!$F$2:$F$201,0),MATCH(G108,'Material Master'!$A$2:$A$201,0))),""))</f>
        <v/>
      </c>
      <c r="J108" s="75" t="str">
        <f>IF(E108="","",SUMIFS('Stock Movement'!$F$2:$F$501,'Stock Movement'!$D$2:$D$501,E108,'Stock Movement'!$E$2:$E$501,"IN")-SUMIFS('Stock Movement'!$F$2:$F$501,'Stock Movement'!$D$2:$D$501,E108,'Stock Movement'!$E$2:$E$501,"OUT"))</f>
        <v/>
      </c>
      <c r="K108" s="77" t="str">
        <f t="array" ref="K108">IF(G108="","",IFERROR(INDEX('Material Master'!$D$2:$D$201,IFERROR(MATCH(G108,'Material Master'!$F$2:$F$201,0),MATCH(G108,'Material Master'!$A$2:$A$201,0))),""))</f>
        <v/>
      </c>
      <c r="L108" s="69"/>
      <c r="M108" s="69"/>
    </row>
    <row r="109" ht="24.0" customHeight="1">
      <c r="A109" s="82"/>
      <c r="B109" s="98"/>
      <c r="C109" s="82"/>
      <c r="D109" s="99"/>
      <c r="E109" s="82" t="str">
        <f t="shared" si="1"/>
        <v/>
      </c>
      <c r="F109" s="83" t="str">
        <f t="shared" si="2"/>
        <v/>
      </c>
      <c r="G109" s="85"/>
      <c r="H109" s="85" t="str">
        <f t="array" ref="H109">IF(G109="","",IFERROR(INDEX('Material Master'!$B$2:$B$201,IFERROR(MATCH(G109,'Material Master'!$F$2:$F$201,0),MATCH(G109,'Material Master'!$A$2:$A$201,0))),""))</f>
        <v/>
      </c>
      <c r="I109" s="85" t="str">
        <f t="array" ref="I109">IF(G109="","",IFERROR(INDEX('Material Master'!$C$2:$C$201,IFERROR(MATCH(G109,'Material Master'!$F$2:$F$201,0),MATCH(G109,'Material Master'!$A$2:$A$201,0))),""))</f>
        <v/>
      </c>
      <c r="J109" s="86" t="str">
        <f>IF(E109="","",SUMIFS('Stock Movement'!$F$2:$F$501,'Stock Movement'!$D$2:$D$501,E109,'Stock Movement'!$E$2:$E$501,"IN")-SUMIFS('Stock Movement'!$F$2:$F$501,'Stock Movement'!$D$2:$D$501,E109,'Stock Movement'!$E$2:$E$501,"OUT"))</f>
        <v/>
      </c>
      <c r="K109" s="87" t="str">
        <f t="array" ref="K109">IF(G109="","",IFERROR(INDEX('Material Master'!$D$2:$D$201,IFERROR(MATCH(G109,'Material Master'!$F$2:$F$201,0),MATCH(G109,'Material Master'!$A$2:$A$201,0))),""))</f>
        <v/>
      </c>
      <c r="L109" s="85"/>
      <c r="M109" s="85"/>
    </row>
    <row r="110" ht="24.0" customHeight="1">
      <c r="A110" s="88"/>
      <c r="B110" s="89"/>
      <c r="C110" s="88"/>
      <c r="D110" s="90"/>
      <c r="E110" s="88" t="str">
        <f t="shared" si="1"/>
        <v/>
      </c>
      <c r="F110" s="91" t="str">
        <f t="shared" si="2"/>
        <v/>
      </c>
      <c r="G110" s="69"/>
      <c r="H110" s="69" t="str">
        <f t="array" ref="H110">IF(G110="","",IFERROR(INDEX('Material Master'!$B$2:$B$201,IFERROR(MATCH(G110,'Material Master'!$F$2:$F$201,0),MATCH(G110,'Material Master'!$A$2:$A$201,0))),""))</f>
        <v/>
      </c>
      <c r="I110" s="69" t="str">
        <f t="array" ref="I110">IF(G110="","",IFERROR(INDEX('Material Master'!$C$2:$C$201,IFERROR(MATCH(G110,'Material Master'!$F$2:$F$201,0),MATCH(G110,'Material Master'!$A$2:$A$201,0))),""))</f>
        <v/>
      </c>
      <c r="J110" s="75" t="str">
        <f>IF(E110="","",SUMIFS('Stock Movement'!$F$2:$F$501,'Stock Movement'!$D$2:$D$501,E110,'Stock Movement'!$E$2:$E$501,"IN")-SUMIFS('Stock Movement'!$F$2:$F$501,'Stock Movement'!$D$2:$D$501,E110,'Stock Movement'!$E$2:$E$501,"OUT"))</f>
        <v/>
      </c>
      <c r="K110" s="77" t="str">
        <f t="array" ref="K110">IF(G110="","",IFERROR(INDEX('Material Master'!$D$2:$D$201,IFERROR(MATCH(G110,'Material Master'!$F$2:$F$201,0),MATCH(G110,'Material Master'!$A$2:$A$201,0))),""))</f>
        <v/>
      </c>
      <c r="L110" s="69"/>
      <c r="M110" s="69"/>
    </row>
    <row r="111" ht="24.0" customHeight="1">
      <c r="A111" s="82"/>
      <c r="B111" s="98"/>
      <c r="C111" s="82"/>
      <c r="D111" s="99"/>
      <c r="E111" s="82" t="str">
        <f t="shared" si="1"/>
        <v/>
      </c>
      <c r="F111" s="83" t="str">
        <f t="shared" si="2"/>
        <v/>
      </c>
      <c r="G111" s="85"/>
      <c r="H111" s="85" t="str">
        <f t="array" ref="H111">IF(G111="","",IFERROR(INDEX('Material Master'!$B$2:$B$201,IFERROR(MATCH(G111,'Material Master'!$F$2:$F$201,0),MATCH(G111,'Material Master'!$A$2:$A$201,0))),""))</f>
        <v/>
      </c>
      <c r="I111" s="85" t="str">
        <f t="array" ref="I111">IF(G111="","",IFERROR(INDEX('Material Master'!$C$2:$C$201,IFERROR(MATCH(G111,'Material Master'!$F$2:$F$201,0),MATCH(G111,'Material Master'!$A$2:$A$201,0))),""))</f>
        <v/>
      </c>
      <c r="J111" s="86" t="str">
        <f>IF(E111="","",SUMIFS('Stock Movement'!$F$2:$F$501,'Stock Movement'!$D$2:$D$501,E111,'Stock Movement'!$E$2:$E$501,"IN")-SUMIFS('Stock Movement'!$F$2:$F$501,'Stock Movement'!$D$2:$D$501,E111,'Stock Movement'!$E$2:$E$501,"OUT"))</f>
        <v/>
      </c>
      <c r="K111" s="87" t="str">
        <f t="array" ref="K111">IF(G111="","",IFERROR(INDEX('Material Master'!$D$2:$D$201,IFERROR(MATCH(G111,'Material Master'!$F$2:$F$201,0),MATCH(G111,'Material Master'!$A$2:$A$201,0))),""))</f>
        <v/>
      </c>
      <c r="L111" s="85"/>
      <c r="M111" s="85"/>
    </row>
    <row r="112" ht="24.0" customHeight="1">
      <c r="A112" s="88"/>
      <c r="B112" s="89"/>
      <c r="C112" s="88"/>
      <c r="D112" s="90"/>
      <c r="E112" s="88" t="str">
        <f t="shared" si="1"/>
        <v/>
      </c>
      <c r="F112" s="91" t="str">
        <f t="shared" si="2"/>
        <v/>
      </c>
      <c r="G112" s="69"/>
      <c r="H112" s="69" t="str">
        <f t="array" ref="H112">IF(G112="","",IFERROR(INDEX('Material Master'!$B$2:$B$201,IFERROR(MATCH(G112,'Material Master'!$F$2:$F$201,0),MATCH(G112,'Material Master'!$A$2:$A$201,0))),""))</f>
        <v/>
      </c>
      <c r="I112" s="69" t="str">
        <f t="array" ref="I112">IF(G112="","",IFERROR(INDEX('Material Master'!$C$2:$C$201,IFERROR(MATCH(G112,'Material Master'!$F$2:$F$201,0),MATCH(G112,'Material Master'!$A$2:$A$201,0))),""))</f>
        <v/>
      </c>
      <c r="J112" s="75" t="str">
        <f>IF(E112="","",SUMIFS('Stock Movement'!$F$2:$F$501,'Stock Movement'!$D$2:$D$501,E112,'Stock Movement'!$E$2:$E$501,"IN")-SUMIFS('Stock Movement'!$F$2:$F$501,'Stock Movement'!$D$2:$D$501,E112,'Stock Movement'!$E$2:$E$501,"OUT"))</f>
        <v/>
      </c>
      <c r="K112" s="77" t="str">
        <f t="array" ref="K112">IF(G112="","",IFERROR(INDEX('Material Master'!$D$2:$D$201,IFERROR(MATCH(G112,'Material Master'!$F$2:$F$201,0),MATCH(G112,'Material Master'!$A$2:$A$201,0))),""))</f>
        <v/>
      </c>
      <c r="L112" s="69"/>
      <c r="M112" s="69"/>
    </row>
    <row r="113" ht="24.0" customHeight="1">
      <c r="A113" s="82"/>
      <c r="B113" s="98"/>
      <c r="C113" s="82"/>
      <c r="D113" s="99"/>
      <c r="E113" s="82" t="str">
        <f t="shared" si="1"/>
        <v/>
      </c>
      <c r="F113" s="83" t="str">
        <f t="shared" si="2"/>
        <v/>
      </c>
      <c r="G113" s="85"/>
      <c r="H113" s="85" t="str">
        <f t="array" ref="H113">IF(G113="","",IFERROR(INDEX('Material Master'!$B$2:$B$201,IFERROR(MATCH(G113,'Material Master'!$F$2:$F$201,0),MATCH(G113,'Material Master'!$A$2:$A$201,0))),""))</f>
        <v/>
      </c>
      <c r="I113" s="85" t="str">
        <f t="array" ref="I113">IF(G113="","",IFERROR(INDEX('Material Master'!$C$2:$C$201,IFERROR(MATCH(G113,'Material Master'!$F$2:$F$201,0),MATCH(G113,'Material Master'!$A$2:$A$201,0))),""))</f>
        <v/>
      </c>
      <c r="J113" s="86" t="str">
        <f>IF(E113="","",SUMIFS('Stock Movement'!$F$2:$F$501,'Stock Movement'!$D$2:$D$501,E113,'Stock Movement'!$E$2:$E$501,"IN")-SUMIFS('Stock Movement'!$F$2:$F$501,'Stock Movement'!$D$2:$D$501,E113,'Stock Movement'!$E$2:$E$501,"OUT"))</f>
        <v/>
      </c>
      <c r="K113" s="87" t="str">
        <f t="array" ref="K113">IF(G113="","",IFERROR(INDEX('Material Master'!$D$2:$D$201,IFERROR(MATCH(G113,'Material Master'!$F$2:$F$201,0),MATCH(G113,'Material Master'!$A$2:$A$201,0))),""))</f>
        <v/>
      </c>
      <c r="L113" s="85"/>
      <c r="M113" s="85"/>
    </row>
    <row r="114" ht="24.0" customHeight="1">
      <c r="A114" s="88"/>
      <c r="B114" s="89"/>
      <c r="C114" s="88"/>
      <c r="D114" s="90"/>
      <c r="E114" s="88" t="str">
        <f t="shared" si="1"/>
        <v/>
      </c>
      <c r="F114" s="91" t="str">
        <f t="shared" si="2"/>
        <v/>
      </c>
      <c r="G114" s="69"/>
      <c r="H114" s="69" t="str">
        <f t="array" ref="H114">IF(G114="","",IFERROR(INDEX('Material Master'!$B$2:$B$201,IFERROR(MATCH(G114,'Material Master'!$F$2:$F$201,0),MATCH(G114,'Material Master'!$A$2:$A$201,0))),""))</f>
        <v/>
      </c>
      <c r="I114" s="69" t="str">
        <f t="array" ref="I114">IF(G114="","",IFERROR(INDEX('Material Master'!$C$2:$C$201,IFERROR(MATCH(G114,'Material Master'!$F$2:$F$201,0),MATCH(G114,'Material Master'!$A$2:$A$201,0))),""))</f>
        <v/>
      </c>
      <c r="J114" s="75" t="str">
        <f>IF(E114="","",SUMIFS('Stock Movement'!$F$2:$F$501,'Stock Movement'!$D$2:$D$501,E114,'Stock Movement'!$E$2:$E$501,"IN")-SUMIFS('Stock Movement'!$F$2:$F$501,'Stock Movement'!$D$2:$D$501,E114,'Stock Movement'!$E$2:$E$501,"OUT"))</f>
        <v/>
      </c>
      <c r="K114" s="77" t="str">
        <f t="array" ref="K114">IF(G114="","",IFERROR(INDEX('Material Master'!$D$2:$D$201,IFERROR(MATCH(G114,'Material Master'!$F$2:$F$201,0),MATCH(G114,'Material Master'!$A$2:$A$201,0))),""))</f>
        <v/>
      </c>
      <c r="L114" s="69"/>
      <c r="M114" s="69"/>
    </row>
    <row r="115" ht="24.0" customHeight="1">
      <c r="A115" s="82"/>
      <c r="B115" s="98"/>
      <c r="C115" s="82"/>
      <c r="D115" s="99"/>
      <c r="E115" s="82" t="str">
        <f t="shared" si="1"/>
        <v/>
      </c>
      <c r="F115" s="83" t="str">
        <f t="shared" si="2"/>
        <v/>
      </c>
      <c r="G115" s="85"/>
      <c r="H115" s="85" t="str">
        <f t="array" ref="H115">IF(G115="","",IFERROR(INDEX('Material Master'!$B$2:$B$201,IFERROR(MATCH(G115,'Material Master'!$F$2:$F$201,0),MATCH(G115,'Material Master'!$A$2:$A$201,0))),""))</f>
        <v/>
      </c>
      <c r="I115" s="85" t="str">
        <f t="array" ref="I115">IF(G115="","",IFERROR(INDEX('Material Master'!$C$2:$C$201,IFERROR(MATCH(G115,'Material Master'!$F$2:$F$201,0),MATCH(G115,'Material Master'!$A$2:$A$201,0))),""))</f>
        <v/>
      </c>
      <c r="J115" s="86" t="str">
        <f>IF(E115="","",SUMIFS('Stock Movement'!$F$2:$F$501,'Stock Movement'!$D$2:$D$501,E115,'Stock Movement'!$E$2:$E$501,"IN")-SUMIFS('Stock Movement'!$F$2:$F$501,'Stock Movement'!$D$2:$D$501,E115,'Stock Movement'!$E$2:$E$501,"OUT"))</f>
        <v/>
      </c>
      <c r="K115" s="87" t="str">
        <f t="array" ref="K115">IF(G115="","",IFERROR(INDEX('Material Master'!$D$2:$D$201,IFERROR(MATCH(G115,'Material Master'!$F$2:$F$201,0),MATCH(G115,'Material Master'!$A$2:$A$201,0))),""))</f>
        <v/>
      </c>
      <c r="L115" s="85"/>
      <c r="M115" s="85"/>
    </row>
    <row r="116" ht="24.0" customHeight="1">
      <c r="A116" s="88"/>
      <c r="B116" s="89"/>
      <c r="C116" s="88"/>
      <c r="D116" s="90"/>
      <c r="E116" s="88" t="str">
        <f t="shared" si="1"/>
        <v/>
      </c>
      <c r="F116" s="91" t="str">
        <f t="shared" si="2"/>
        <v/>
      </c>
      <c r="G116" s="69"/>
      <c r="H116" s="69" t="str">
        <f t="array" ref="H116">IF(G116="","",IFERROR(INDEX('Material Master'!$B$2:$B$201,IFERROR(MATCH(G116,'Material Master'!$F$2:$F$201,0),MATCH(G116,'Material Master'!$A$2:$A$201,0))),""))</f>
        <v/>
      </c>
      <c r="I116" s="69" t="str">
        <f t="array" ref="I116">IF(G116="","",IFERROR(INDEX('Material Master'!$C$2:$C$201,IFERROR(MATCH(G116,'Material Master'!$F$2:$F$201,0),MATCH(G116,'Material Master'!$A$2:$A$201,0))),""))</f>
        <v/>
      </c>
      <c r="J116" s="75" t="str">
        <f>IF(E116="","",SUMIFS('Stock Movement'!$F$2:$F$501,'Stock Movement'!$D$2:$D$501,E116,'Stock Movement'!$E$2:$E$501,"IN")-SUMIFS('Stock Movement'!$F$2:$F$501,'Stock Movement'!$D$2:$D$501,E116,'Stock Movement'!$E$2:$E$501,"OUT"))</f>
        <v/>
      </c>
      <c r="K116" s="77" t="str">
        <f t="array" ref="K116">IF(G116="","",IFERROR(INDEX('Material Master'!$D$2:$D$201,IFERROR(MATCH(G116,'Material Master'!$F$2:$F$201,0),MATCH(G116,'Material Master'!$A$2:$A$201,0))),""))</f>
        <v/>
      </c>
      <c r="L116" s="69"/>
      <c r="M116" s="69"/>
    </row>
    <row r="117" ht="24.0" customHeight="1">
      <c r="A117" s="82"/>
      <c r="B117" s="98"/>
      <c r="C117" s="82"/>
      <c r="D117" s="99"/>
      <c r="E117" s="82" t="str">
        <f t="shared" si="1"/>
        <v/>
      </c>
      <c r="F117" s="83" t="str">
        <f t="shared" si="2"/>
        <v/>
      </c>
      <c r="G117" s="85"/>
      <c r="H117" s="85" t="str">
        <f t="array" ref="H117">IF(G117="","",IFERROR(INDEX('Material Master'!$B$2:$B$201,IFERROR(MATCH(G117,'Material Master'!$F$2:$F$201,0),MATCH(G117,'Material Master'!$A$2:$A$201,0))),""))</f>
        <v/>
      </c>
      <c r="I117" s="85" t="str">
        <f t="array" ref="I117">IF(G117="","",IFERROR(INDEX('Material Master'!$C$2:$C$201,IFERROR(MATCH(G117,'Material Master'!$F$2:$F$201,0),MATCH(G117,'Material Master'!$A$2:$A$201,0))),""))</f>
        <v/>
      </c>
      <c r="J117" s="86" t="str">
        <f>IF(E117="","",SUMIFS('Stock Movement'!$F$2:$F$501,'Stock Movement'!$D$2:$D$501,E117,'Stock Movement'!$E$2:$E$501,"IN")-SUMIFS('Stock Movement'!$F$2:$F$501,'Stock Movement'!$D$2:$D$501,E117,'Stock Movement'!$E$2:$E$501,"OUT"))</f>
        <v/>
      </c>
      <c r="K117" s="87" t="str">
        <f t="array" ref="K117">IF(G117="","",IFERROR(INDEX('Material Master'!$D$2:$D$201,IFERROR(MATCH(G117,'Material Master'!$F$2:$F$201,0),MATCH(G117,'Material Master'!$A$2:$A$201,0))),""))</f>
        <v/>
      </c>
      <c r="L117" s="85"/>
      <c r="M117" s="85"/>
    </row>
    <row r="118" ht="24.0" customHeight="1">
      <c r="A118" s="88"/>
      <c r="B118" s="89"/>
      <c r="C118" s="88"/>
      <c r="D118" s="90"/>
      <c r="E118" s="88" t="str">
        <f t="shared" si="1"/>
        <v/>
      </c>
      <c r="F118" s="91" t="str">
        <f t="shared" si="2"/>
        <v/>
      </c>
      <c r="G118" s="69"/>
      <c r="H118" s="69" t="str">
        <f t="array" ref="H118">IF(G118="","",IFERROR(INDEX('Material Master'!$B$2:$B$201,IFERROR(MATCH(G118,'Material Master'!$F$2:$F$201,0),MATCH(G118,'Material Master'!$A$2:$A$201,0))),""))</f>
        <v/>
      </c>
      <c r="I118" s="69" t="str">
        <f t="array" ref="I118">IF(G118="","",IFERROR(INDEX('Material Master'!$C$2:$C$201,IFERROR(MATCH(G118,'Material Master'!$F$2:$F$201,0),MATCH(G118,'Material Master'!$A$2:$A$201,0))),""))</f>
        <v/>
      </c>
      <c r="J118" s="75" t="str">
        <f>IF(E118="","",SUMIFS('Stock Movement'!$F$2:$F$501,'Stock Movement'!$D$2:$D$501,E118,'Stock Movement'!$E$2:$E$501,"IN")-SUMIFS('Stock Movement'!$F$2:$F$501,'Stock Movement'!$D$2:$D$501,E118,'Stock Movement'!$E$2:$E$501,"OUT"))</f>
        <v/>
      </c>
      <c r="K118" s="77" t="str">
        <f t="array" ref="K118">IF(G118="","",IFERROR(INDEX('Material Master'!$D$2:$D$201,IFERROR(MATCH(G118,'Material Master'!$F$2:$F$201,0),MATCH(G118,'Material Master'!$A$2:$A$201,0))),""))</f>
        <v/>
      </c>
      <c r="L118" s="69"/>
      <c r="M118" s="69"/>
    </row>
    <row r="119" ht="24.0" customHeight="1">
      <c r="A119" s="82"/>
      <c r="B119" s="98"/>
      <c r="C119" s="82"/>
      <c r="D119" s="99"/>
      <c r="E119" s="82" t="str">
        <f t="shared" si="1"/>
        <v/>
      </c>
      <c r="F119" s="83" t="str">
        <f t="shared" si="2"/>
        <v/>
      </c>
      <c r="G119" s="85"/>
      <c r="H119" s="85" t="str">
        <f t="array" ref="H119">IF(G119="","",IFERROR(INDEX('Material Master'!$B$2:$B$201,IFERROR(MATCH(G119,'Material Master'!$F$2:$F$201,0),MATCH(G119,'Material Master'!$A$2:$A$201,0))),""))</f>
        <v/>
      </c>
      <c r="I119" s="85" t="str">
        <f t="array" ref="I119">IF(G119="","",IFERROR(INDEX('Material Master'!$C$2:$C$201,IFERROR(MATCH(G119,'Material Master'!$F$2:$F$201,0),MATCH(G119,'Material Master'!$A$2:$A$201,0))),""))</f>
        <v/>
      </c>
      <c r="J119" s="86" t="str">
        <f>IF(E119="","",SUMIFS('Stock Movement'!$F$2:$F$501,'Stock Movement'!$D$2:$D$501,E119,'Stock Movement'!$E$2:$E$501,"IN")-SUMIFS('Stock Movement'!$F$2:$F$501,'Stock Movement'!$D$2:$D$501,E119,'Stock Movement'!$E$2:$E$501,"OUT"))</f>
        <v/>
      </c>
      <c r="K119" s="87" t="str">
        <f t="array" ref="K119">IF(G119="","",IFERROR(INDEX('Material Master'!$D$2:$D$201,IFERROR(MATCH(G119,'Material Master'!$F$2:$F$201,0),MATCH(G119,'Material Master'!$A$2:$A$201,0))),""))</f>
        <v/>
      </c>
      <c r="L119" s="85"/>
      <c r="M119" s="85"/>
    </row>
    <row r="120" ht="24.0" customHeight="1">
      <c r="A120" s="88"/>
      <c r="B120" s="89"/>
      <c r="C120" s="88"/>
      <c r="D120" s="90"/>
      <c r="E120" s="88" t="str">
        <f t="shared" si="1"/>
        <v/>
      </c>
      <c r="F120" s="91" t="str">
        <f t="shared" si="2"/>
        <v/>
      </c>
      <c r="G120" s="69"/>
      <c r="H120" s="69" t="str">
        <f t="array" ref="H120">IF(G120="","",IFERROR(INDEX('Material Master'!$B$2:$B$201,IFERROR(MATCH(G120,'Material Master'!$F$2:$F$201,0),MATCH(G120,'Material Master'!$A$2:$A$201,0))),""))</f>
        <v/>
      </c>
      <c r="I120" s="69" t="str">
        <f t="array" ref="I120">IF(G120="","",IFERROR(INDEX('Material Master'!$C$2:$C$201,IFERROR(MATCH(G120,'Material Master'!$F$2:$F$201,0),MATCH(G120,'Material Master'!$A$2:$A$201,0))),""))</f>
        <v/>
      </c>
      <c r="J120" s="75" t="str">
        <f>IF(E120="","",SUMIFS('Stock Movement'!$F$2:$F$501,'Stock Movement'!$D$2:$D$501,E120,'Stock Movement'!$E$2:$E$501,"IN")-SUMIFS('Stock Movement'!$F$2:$F$501,'Stock Movement'!$D$2:$D$501,E120,'Stock Movement'!$E$2:$E$501,"OUT"))</f>
        <v/>
      </c>
      <c r="K120" s="77" t="str">
        <f t="array" ref="K120">IF(G120="","",IFERROR(INDEX('Material Master'!$D$2:$D$201,IFERROR(MATCH(G120,'Material Master'!$F$2:$F$201,0),MATCH(G120,'Material Master'!$A$2:$A$201,0))),""))</f>
        <v/>
      </c>
      <c r="L120" s="69"/>
      <c r="M120" s="69"/>
    </row>
    <row r="121" ht="24.0" customHeight="1">
      <c r="A121" s="82"/>
      <c r="B121" s="98"/>
      <c r="C121" s="82"/>
      <c r="D121" s="99"/>
      <c r="E121" s="82" t="str">
        <f t="shared" si="1"/>
        <v/>
      </c>
      <c r="F121" s="83" t="str">
        <f t="shared" si="2"/>
        <v/>
      </c>
      <c r="G121" s="85"/>
      <c r="H121" s="85" t="str">
        <f t="array" ref="H121">IF(G121="","",IFERROR(INDEX('Material Master'!$B$2:$B$201,IFERROR(MATCH(G121,'Material Master'!$F$2:$F$201,0),MATCH(G121,'Material Master'!$A$2:$A$201,0))),""))</f>
        <v/>
      </c>
      <c r="I121" s="85" t="str">
        <f t="array" ref="I121">IF(G121="","",IFERROR(INDEX('Material Master'!$C$2:$C$201,IFERROR(MATCH(G121,'Material Master'!$F$2:$F$201,0),MATCH(G121,'Material Master'!$A$2:$A$201,0))),""))</f>
        <v/>
      </c>
      <c r="J121" s="86" t="str">
        <f>IF(E121="","",SUMIFS('Stock Movement'!$F$2:$F$501,'Stock Movement'!$D$2:$D$501,E121,'Stock Movement'!$E$2:$E$501,"IN")-SUMIFS('Stock Movement'!$F$2:$F$501,'Stock Movement'!$D$2:$D$501,E121,'Stock Movement'!$E$2:$E$501,"OUT"))</f>
        <v/>
      </c>
      <c r="K121" s="87" t="str">
        <f t="array" ref="K121">IF(G121="","",IFERROR(INDEX('Material Master'!$D$2:$D$201,IFERROR(MATCH(G121,'Material Master'!$F$2:$F$201,0),MATCH(G121,'Material Master'!$A$2:$A$201,0))),""))</f>
        <v/>
      </c>
      <c r="L121" s="85"/>
      <c r="M121" s="85"/>
    </row>
    <row r="122" ht="24.0" customHeight="1">
      <c r="A122" s="88"/>
      <c r="B122" s="89"/>
      <c r="C122" s="88"/>
      <c r="D122" s="90"/>
      <c r="E122" s="88" t="str">
        <f t="shared" si="1"/>
        <v/>
      </c>
      <c r="F122" s="91" t="str">
        <f t="shared" si="2"/>
        <v/>
      </c>
      <c r="G122" s="69"/>
      <c r="H122" s="69" t="str">
        <f t="array" ref="H122">IF(G122="","",IFERROR(INDEX('Material Master'!$B$2:$B$201,IFERROR(MATCH(G122,'Material Master'!$F$2:$F$201,0),MATCH(G122,'Material Master'!$A$2:$A$201,0))),""))</f>
        <v/>
      </c>
      <c r="I122" s="69" t="str">
        <f t="array" ref="I122">IF(G122="","",IFERROR(INDEX('Material Master'!$C$2:$C$201,IFERROR(MATCH(G122,'Material Master'!$F$2:$F$201,0),MATCH(G122,'Material Master'!$A$2:$A$201,0))),""))</f>
        <v/>
      </c>
      <c r="J122" s="75" t="str">
        <f>IF(E122="","",SUMIFS('Stock Movement'!$F$2:$F$501,'Stock Movement'!$D$2:$D$501,E122,'Stock Movement'!$E$2:$E$501,"IN")-SUMIFS('Stock Movement'!$F$2:$F$501,'Stock Movement'!$D$2:$D$501,E122,'Stock Movement'!$E$2:$E$501,"OUT"))</f>
        <v/>
      </c>
      <c r="K122" s="77" t="str">
        <f t="array" ref="K122">IF(G122="","",IFERROR(INDEX('Material Master'!$D$2:$D$201,IFERROR(MATCH(G122,'Material Master'!$F$2:$F$201,0),MATCH(G122,'Material Master'!$A$2:$A$201,0))),""))</f>
        <v/>
      </c>
      <c r="L122" s="69"/>
      <c r="M122" s="69"/>
    </row>
    <row r="123" ht="24.0" customHeight="1">
      <c r="A123" s="82"/>
      <c r="B123" s="98"/>
      <c r="C123" s="82"/>
      <c r="D123" s="99"/>
      <c r="E123" s="82" t="str">
        <f t="shared" si="1"/>
        <v/>
      </c>
      <c r="F123" s="83" t="str">
        <f t="shared" si="2"/>
        <v/>
      </c>
      <c r="G123" s="85"/>
      <c r="H123" s="85" t="str">
        <f t="array" ref="H123">IF(G123="","",IFERROR(INDEX('Material Master'!$B$2:$B$201,IFERROR(MATCH(G123,'Material Master'!$F$2:$F$201,0),MATCH(G123,'Material Master'!$A$2:$A$201,0))),""))</f>
        <v/>
      </c>
      <c r="I123" s="85" t="str">
        <f t="array" ref="I123">IF(G123="","",IFERROR(INDEX('Material Master'!$C$2:$C$201,IFERROR(MATCH(G123,'Material Master'!$F$2:$F$201,0),MATCH(G123,'Material Master'!$A$2:$A$201,0))),""))</f>
        <v/>
      </c>
      <c r="J123" s="86" t="str">
        <f>IF(E123="","",SUMIFS('Stock Movement'!$F$2:$F$501,'Stock Movement'!$D$2:$D$501,E123,'Stock Movement'!$E$2:$E$501,"IN")-SUMIFS('Stock Movement'!$F$2:$F$501,'Stock Movement'!$D$2:$D$501,E123,'Stock Movement'!$E$2:$E$501,"OUT"))</f>
        <v/>
      </c>
      <c r="K123" s="87" t="str">
        <f t="array" ref="K123">IF(G123="","",IFERROR(INDEX('Material Master'!$D$2:$D$201,IFERROR(MATCH(G123,'Material Master'!$F$2:$F$201,0),MATCH(G123,'Material Master'!$A$2:$A$201,0))),""))</f>
        <v/>
      </c>
      <c r="L123" s="85"/>
      <c r="M123" s="85"/>
    </row>
    <row r="124" ht="24.0" customHeight="1">
      <c r="A124" s="88"/>
      <c r="B124" s="89"/>
      <c r="C124" s="88"/>
      <c r="D124" s="90"/>
      <c r="E124" s="88" t="str">
        <f t="shared" si="1"/>
        <v/>
      </c>
      <c r="F124" s="91" t="str">
        <f t="shared" si="2"/>
        <v/>
      </c>
      <c r="G124" s="69"/>
      <c r="H124" s="69" t="str">
        <f t="array" ref="H124">IF(G124="","",IFERROR(INDEX('Material Master'!$B$2:$B$201,IFERROR(MATCH(G124,'Material Master'!$F$2:$F$201,0),MATCH(G124,'Material Master'!$A$2:$A$201,0))),""))</f>
        <v/>
      </c>
      <c r="I124" s="69" t="str">
        <f t="array" ref="I124">IF(G124="","",IFERROR(INDEX('Material Master'!$C$2:$C$201,IFERROR(MATCH(G124,'Material Master'!$F$2:$F$201,0),MATCH(G124,'Material Master'!$A$2:$A$201,0))),""))</f>
        <v/>
      </c>
      <c r="J124" s="75" t="str">
        <f>IF(E124="","",SUMIFS('Stock Movement'!$F$2:$F$501,'Stock Movement'!$D$2:$D$501,E124,'Stock Movement'!$E$2:$E$501,"IN")-SUMIFS('Stock Movement'!$F$2:$F$501,'Stock Movement'!$D$2:$D$501,E124,'Stock Movement'!$E$2:$E$501,"OUT"))</f>
        <v/>
      </c>
      <c r="K124" s="77" t="str">
        <f t="array" ref="K124">IF(G124="","",IFERROR(INDEX('Material Master'!$D$2:$D$201,IFERROR(MATCH(G124,'Material Master'!$F$2:$F$201,0),MATCH(G124,'Material Master'!$A$2:$A$201,0))),""))</f>
        <v/>
      </c>
      <c r="L124" s="69"/>
      <c r="M124" s="69"/>
    </row>
    <row r="125" ht="24.0" customHeight="1">
      <c r="A125" s="82"/>
      <c r="B125" s="98"/>
      <c r="C125" s="82"/>
      <c r="D125" s="99"/>
      <c r="E125" s="82" t="str">
        <f t="shared" si="1"/>
        <v/>
      </c>
      <c r="F125" s="83" t="str">
        <f t="shared" si="2"/>
        <v/>
      </c>
      <c r="G125" s="85"/>
      <c r="H125" s="85" t="str">
        <f t="array" ref="H125">IF(G125="","",IFERROR(INDEX('Material Master'!$B$2:$B$201,IFERROR(MATCH(G125,'Material Master'!$F$2:$F$201,0),MATCH(G125,'Material Master'!$A$2:$A$201,0))),""))</f>
        <v/>
      </c>
      <c r="I125" s="85" t="str">
        <f t="array" ref="I125">IF(G125="","",IFERROR(INDEX('Material Master'!$C$2:$C$201,IFERROR(MATCH(G125,'Material Master'!$F$2:$F$201,0),MATCH(G125,'Material Master'!$A$2:$A$201,0))),""))</f>
        <v/>
      </c>
      <c r="J125" s="86" t="str">
        <f>IF(E125="","",SUMIFS('Stock Movement'!$F$2:$F$501,'Stock Movement'!$D$2:$D$501,E125,'Stock Movement'!$E$2:$E$501,"IN")-SUMIFS('Stock Movement'!$F$2:$F$501,'Stock Movement'!$D$2:$D$501,E125,'Stock Movement'!$E$2:$E$501,"OUT"))</f>
        <v/>
      </c>
      <c r="K125" s="87" t="str">
        <f t="array" ref="K125">IF(G125="","",IFERROR(INDEX('Material Master'!$D$2:$D$201,IFERROR(MATCH(G125,'Material Master'!$F$2:$F$201,0),MATCH(G125,'Material Master'!$A$2:$A$201,0))),""))</f>
        <v/>
      </c>
      <c r="L125" s="85"/>
      <c r="M125" s="85"/>
    </row>
    <row r="126" ht="24.0" customHeight="1">
      <c r="A126" s="88"/>
      <c r="B126" s="89"/>
      <c r="C126" s="88"/>
      <c r="D126" s="90"/>
      <c r="E126" s="88" t="str">
        <f t="shared" si="1"/>
        <v/>
      </c>
      <c r="F126" s="91" t="str">
        <f t="shared" si="2"/>
        <v/>
      </c>
      <c r="G126" s="69"/>
      <c r="H126" s="69" t="str">
        <f t="array" ref="H126">IF(G126="","",IFERROR(INDEX('Material Master'!$B$2:$B$201,IFERROR(MATCH(G126,'Material Master'!$F$2:$F$201,0),MATCH(G126,'Material Master'!$A$2:$A$201,0))),""))</f>
        <v/>
      </c>
      <c r="I126" s="69" t="str">
        <f t="array" ref="I126">IF(G126="","",IFERROR(INDEX('Material Master'!$C$2:$C$201,IFERROR(MATCH(G126,'Material Master'!$F$2:$F$201,0),MATCH(G126,'Material Master'!$A$2:$A$201,0))),""))</f>
        <v/>
      </c>
      <c r="J126" s="75" t="str">
        <f>IF(E126="","",SUMIFS('Stock Movement'!$F$2:$F$501,'Stock Movement'!$D$2:$D$501,E126,'Stock Movement'!$E$2:$E$501,"IN")-SUMIFS('Stock Movement'!$F$2:$F$501,'Stock Movement'!$D$2:$D$501,E126,'Stock Movement'!$E$2:$E$501,"OUT"))</f>
        <v/>
      </c>
      <c r="K126" s="77" t="str">
        <f t="array" ref="K126">IF(G126="","",IFERROR(INDEX('Material Master'!$D$2:$D$201,IFERROR(MATCH(G126,'Material Master'!$F$2:$F$201,0),MATCH(G126,'Material Master'!$A$2:$A$201,0))),""))</f>
        <v/>
      </c>
      <c r="L126" s="69"/>
      <c r="M126" s="69"/>
    </row>
    <row r="127" ht="24.0" customHeight="1">
      <c r="A127" s="82"/>
      <c r="B127" s="98"/>
      <c r="C127" s="82"/>
      <c r="D127" s="99"/>
      <c r="E127" s="82" t="str">
        <f t="shared" si="1"/>
        <v/>
      </c>
      <c r="F127" s="83" t="str">
        <f t="shared" si="2"/>
        <v/>
      </c>
      <c r="G127" s="85"/>
      <c r="H127" s="85" t="str">
        <f t="array" ref="H127">IF(G127="","",IFERROR(INDEX('Material Master'!$B$2:$B$201,IFERROR(MATCH(G127,'Material Master'!$F$2:$F$201,0),MATCH(G127,'Material Master'!$A$2:$A$201,0))),""))</f>
        <v/>
      </c>
      <c r="I127" s="85" t="str">
        <f t="array" ref="I127">IF(G127="","",IFERROR(INDEX('Material Master'!$C$2:$C$201,IFERROR(MATCH(G127,'Material Master'!$F$2:$F$201,0),MATCH(G127,'Material Master'!$A$2:$A$201,0))),""))</f>
        <v/>
      </c>
      <c r="J127" s="86" t="str">
        <f>IF(E127="","",SUMIFS('Stock Movement'!$F$2:$F$501,'Stock Movement'!$D$2:$D$501,E127,'Stock Movement'!$E$2:$E$501,"IN")-SUMIFS('Stock Movement'!$F$2:$F$501,'Stock Movement'!$D$2:$D$501,E127,'Stock Movement'!$E$2:$E$501,"OUT"))</f>
        <v/>
      </c>
      <c r="K127" s="87" t="str">
        <f t="array" ref="K127">IF(G127="","",IFERROR(INDEX('Material Master'!$D$2:$D$201,IFERROR(MATCH(G127,'Material Master'!$F$2:$F$201,0),MATCH(G127,'Material Master'!$A$2:$A$201,0))),""))</f>
        <v/>
      </c>
      <c r="L127" s="85"/>
      <c r="M127" s="85"/>
    </row>
    <row r="128" ht="24.0" customHeight="1">
      <c r="A128" s="88"/>
      <c r="B128" s="89"/>
      <c r="C128" s="88"/>
      <c r="D128" s="90"/>
      <c r="E128" s="88" t="str">
        <f t="shared" si="1"/>
        <v/>
      </c>
      <c r="F128" s="91" t="str">
        <f t="shared" si="2"/>
        <v/>
      </c>
      <c r="G128" s="69"/>
      <c r="H128" s="69" t="str">
        <f t="array" ref="H128">IF(G128="","",IFERROR(INDEX('Material Master'!$B$2:$B$201,IFERROR(MATCH(G128,'Material Master'!$F$2:$F$201,0),MATCH(G128,'Material Master'!$A$2:$A$201,0))),""))</f>
        <v/>
      </c>
      <c r="I128" s="69" t="str">
        <f t="array" ref="I128">IF(G128="","",IFERROR(INDEX('Material Master'!$C$2:$C$201,IFERROR(MATCH(G128,'Material Master'!$F$2:$F$201,0),MATCH(G128,'Material Master'!$A$2:$A$201,0))),""))</f>
        <v/>
      </c>
      <c r="J128" s="75" t="str">
        <f>IF(E128="","",SUMIFS('Stock Movement'!$F$2:$F$501,'Stock Movement'!$D$2:$D$501,E128,'Stock Movement'!$E$2:$E$501,"IN")-SUMIFS('Stock Movement'!$F$2:$F$501,'Stock Movement'!$D$2:$D$501,E128,'Stock Movement'!$E$2:$E$501,"OUT"))</f>
        <v/>
      </c>
      <c r="K128" s="77" t="str">
        <f t="array" ref="K128">IF(G128="","",IFERROR(INDEX('Material Master'!$D$2:$D$201,IFERROR(MATCH(G128,'Material Master'!$F$2:$F$201,0),MATCH(G128,'Material Master'!$A$2:$A$201,0))),""))</f>
        <v/>
      </c>
      <c r="L128" s="69"/>
      <c r="M128" s="69"/>
    </row>
    <row r="129" ht="24.0" customHeight="1">
      <c r="A129" s="82"/>
      <c r="B129" s="98"/>
      <c r="C129" s="82"/>
      <c r="D129" s="99"/>
      <c r="E129" s="82" t="str">
        <f t="shared" si="1"/>
        <v/>
      </c>
      <c r="F129" s="83" t="str">
        <f t="shared" si="2"/>
        <v/>
      </c>
      <c r="G129" s="85"/>
      <c r="H129" s="85" t="str">
        <f t="array" ref="H129">IF(G129="","",IFERROR(INDEX('Material Master'!$B$2:$B$201,IFERROR(MATCH(G129,'Material Master'!$F$2:$F$201,0),MATCH(G129,'Material Master'!$A$2:$A$201,0))),""))</f>
        <v/>
      </c>
      <c r="I129" s="85" t="str">
        <f t="array" ref="I129">IF(G129="","",IFERROR(INDEX('Material Master'!$C$2:$C$201,IFERROR(MATCH(G129,'Material Master'!$F$2:$F$201,0),MATCH(G129,'Material Master'!$A$2:$A$201,0))),""))</f>
        <v/>
      </c>
      <c r="J129" s="86" t="str">
        <f>IF(E129="","",SUMIFS('Stock Movement'!$F$2:$F$501,'Stock Movement'!$D$2:$D$501,E129,'Stock Movement'!$E$2:$E$501,"IN")-SUMIFS('Stock Movement'!$F$2:$F$501,'Stock Movement'!$D$2:$D$501,E129,'Stock Movement'!$E$2:$E$501,"OUT"))</f>
        <v/>
      </c>
      <c r="K129" s="87" t="str">
        <f t="array" ref="K129">IF(G129="","",IFERROR(INDEX('Material Master'!$D$2:$D$201,IFERROR(MATCH(G129,'Material Master'!$F$2:$F$201,0),MATCH(G129,'Material Master'!$A$2:$A$201,0))),""))</f>
        <v/>
      </c>
      <c r="L129" s="85"/>
      <c r="M129" s="85"/>
    </row>
    <row r="130" ht="24.0" customHeight="1">
      <c r="A130" s="88"/>
      <c r="B130" s="89"/>
      <c r="C130" s="88"/>
      <c r="D130" s="90"/>
      <c r="E130" s="88" t="str">
        <f t="shared" si="1"/>
        <v/>
      </c>
      <c r="F130" s="91" t="str">
        <f t="shared" si="2"/>
        <v/>
      </c>
      <c r="G130" s="69"/>
      <c r="H130" s="69" t="str">
        <f t="array" ref="H130">IF(G130="","",IFERROR(INDEX('Material Master'!$B$2:$B$201,IFERROR(MATCH(G130,'Material Master'!$F$2:$F$201,0),MATCH(G130,'Material Master'!$A$2:$A$201,0))),""))</f>
        <v/>
      </c>
      <c r="I130" s="69" t="str">
        <f t="array" ref="I130">IF(G130="","",IFERROR(INDEX('Material Master'!$C$2:$C$201,IFERROR(MATCH(G130,'Material Master'!$F$2:$F$201,0),MATCH(G130,'Material Master'!$A$2:$A$201,0))),""))</f>
        <v/>
      </c>
      <c r="J130" s="75" t="str">
        <f>IF(E130="","",SUMIFS('Stock Movement'!$F$2:$F$501,'Stock Movement'!$D$2:$D$501,E130,'Stock Movement'!$E$2:$E$501,"IN")-SUMIFS('Stock Movement'!$F$2:$F$501,'Stock Movement'!$D$2:$D$501,E130,'Stock Movement'!$E$2:$E$501,"OUT"))</f>
        <v/>
      </c>
      <c r="K130" s="77" t="str">
        <f t="array" ref="K130">IF(G130="","",IFERROR(INDEX('Material Master'!$D$2:$D$201,IFERROR(MATCH(G130,'Material Master'!$F$2:$F$201,0),MATCH(G130,'Material Master'!$A$2:$A$201,0))),""))</f>
        <v/>
      </c>
      <c r="L130" s="69"/>
      <c r="M130" s="69"/>
    </row>
    <row r="131" ht="24.0" customHeight="1">
      <c r="A131" s="82"/>
      <c r="B131" s="98"/>
      <c r="C131" s="82"/>
      <c r="D131" s="99"/>
      <c r="E131" s="82" t="str">
        <f t="shared" si="1"/>
        <v/>
      </c>
      <c r="F131" s="83" t="str">
        <f t="shared" si="2"/>
        <v/>
      </c>
      <c r="G131" s="85"/>
      <c r="H131" s="85" t="str">
        <f t="array" ref="H131">IF(G131="","",IFERROR(INDEX('Material Master'!$B$2:$B$201,IFERROR(MATCH(G131,'Material Master'!$F$2:$F$201,0),MATCH(G131,'Material Master'!$A$2:$A$201,0))),""))</f>
        <v/>
      </c>
      <c r="I131" s="85" t="str">
        <f t="array" ref="I131">IF(G131="","",IFERROR(INDEX('Material Master'!$C$2:$C$201,IFERROR(MATCH(G131,'Material Master'!$F$2:$F$201,0),MATCH(G131,'Material Master'!$A$2:$A$201,0))),""))</f>
        <v/>
      </c>
      <c r="J131" s="86" t="str">
        <f>IF(E131="","",SUMIFS('Stock Movement'!$F$2:$F$501,'Stock Movement'!$D$2:$D$501,E131,'Stock Movement'!$E$2:$E$501,"IN")-SUMIFS('Stock Movement'!$F$2:$F$501,'Stock Movement'!$D$2:$D$501,E131,'Stock Movement'!$E$2:$E$501,"OUT"))</f>
        <v/>
      </c>
      <c r="K131" s="87" t="str">
        <f t="array" ref="K131">IF(G131="","",IFERROR(INDEX('Material Master'!$D$2:$D$201,IFERROR(MATCH(G131,'Material Master'!$F$2:$F$201,0),MATCH(G131,'Material Master'!$A$2:$A$201,0))),""))</f>
        <v/>
      </c>
      <c r="L131" s="85"/>
      <c r="M131" s="85"/>
    </row>
    <row r="132" ht="24.0" customHeight="1">
      <c r="A132" s="88"/>
      <c r="B132" s="89"/>
      <c r="C132" s="88"/>
      <c r="D132" s="90"/>
      <c r="E132" s="88" t="str">
        <f t="shared" si="1"/>
        <v/>
      </c>
      <c r="F132" s="91" t="str">
        <f t="shared" si="2"/>
        <v/>
      </c>
      <c r="G132" s="69"/>
      <c r="H132" s="69" t="str">
        <f t="array" ref="H132">IF(G132="","",IFERROR(INDEX('Material Master'!$B$2:$B$201,IFERROR(MATCH(G132,'Material Master'!$F$2:$F$201,0),MATCH(G132,'Material Master'!$A$2:$A$201,0))),""))</f>
        <v/>
      </c>
      <c r="I132" s="69" t="str">
        <f t="array" ref="I132">IF(G132="","",IFERROR(INDEX('Material Master'!$C$2:$C$201,IFERROR(MATCH(G132,'Material Master'!$F$2:$F$201,0),MATCH(G132,'Material Master'!$A$2:$A$201,0))),""))</f>
        <v/>
      </c>
      <c r="J132" s="75" t="str">
        <f>IF(E132="","",SUMIFS('Stock Movement'!$F$2:$F$501,'Stock Movement'!$D$2:$D$501,E132,'Stock Movement'!$E$2:$E$501,"IN")-SUMIFS('Stock Movement'!$F$2:$F$501,'Stock Movement'!$D$2:$D$501,E132,'Stock Movement'!$E$2:$E$501,"OUT"))</f>
        <v/>
      </c>
      <c r="K132" s="77" t="str">
        <f t="array" ref="K132">IF(G132="","",IFERROR(INDEX('Material Master'!$D$2:$D$201,IFERROR(MATCH(G132,'Material Master'!$F$2:$F$201,0),MATCH(G132,'Material Master'!$A$2:$A$201,0))),""))</f>
        <v/>
      </c>
      <c r="L132" s="69"/>
      <c r="M132" s="69"/>
    </row>
    <row r="133" ht="24.0" customHeight="1">
      <c r="A133" s="82"/>
      <c r="B133" s="98"/>
      <c r="C133" s="82"/>
      <c r="D133" s="99"/>
      <c r="E133" s="82" t="str">
        <f t="shared" si="1"/>
        <v/>
      </c>
      <c r="F133" s="83" t="str">
        <f t="shared" si="2"/>
        <v/>
      </c>
      <c r="G133" s="85"/>
      <c r="H133" s="85" t="str">
        <f t="array" ref="H133">IF(G133="","",IFERROR(INDEX('Material Master'!$B$2:$B$201,IFERROR(MATCH(G133,'Material Master'!$F$2:$F$201,0),MATCH(G133,'Material Master'!$A$2:$A$201,0))),""))</f>
        <v/>
      </c>
      <c r="I133" s="85" t="str">
        <f t="array" ref="I133">IF(G133="","",IFERROR(INDEX('Material Master'!$C$2:$C$201,IFERROR(MATCH(G133,'Material Master'!$F$2:$F$201,0),MATCH(G133,'Material Master'!$A$2:$A$201,0))),""))</f>
        <v/>
      </c>
      <c r="J133" s="86" t="str">
        <f>IF(E133="","",SUMIFS('Stock Movement'!$F$2:$F$501,'Stock Movement'!$D$2:$D$501,E133,'Stock Movement'!$E$2:$E$501,"IN")-SUMIFS('Stock Movement'!$F$2:$F$501,'Stock Movement'!$D$2:$D$501,E133,'Stock Movement'!$E$2:$E$501,"OUT"))</f>
        <v/>
      </c>
      <c r="K133" s="87" t="str">
        <f t="array" ref="K133">IF(G133="","",IFERROR(INDEX('Material Master'!$D$2:$D$201,IFERROR(MATCH(G133,'Material Master'!$F$2:$F$201,0),MATCH(G133,'Material Master'!$A$2:$A$201,0))),""))</f>
        <v/>
      </c>
      <c r="L133" s="85"/>
      <c r="M133" s="85"/>
    </row>
    <row r="134" ht="24.0" customHeight="1">
      <c r="A134" s="88"/>
      <c r="B134" s="89"/>
      <c r="C134" s="88"/>
      <c r="D134" s="90"/>
      <c r="E134" s="88" t="str">
        <f t="shared" si="1"/>
        <v/>
      </c>
      <c r="F134" s="91" t="str">
        <f t="shared" si="2"/>
        <v/>
      </c>
      <c r="G134" s="69"/>
      <c r="H134" s="69" t="str">
        <f t="array" ref="H134">IF(G134="","",IFERROR(INDEX('Material Master'!$B$2:$B$201,IFERROR(MATCH(G134,'Material Master'!$F$2:$F$201,0),MATCH(G134,'Material Master'!$A$2:$A$201,0))),""))</f>
        <v/>
      </c>
      <c r="I134" s="69" t="str">
        <f t="array" ref="I134">IF(G134="","",IFERROR(INDEX('Material Master'!$C$2:$C$201,IFERROR(MATCH(G134,'Material Master'!$F$2:$F$201,0),MATCH(G134,'Material Master'!$A$2:$A$201,0))),""))</f>
        <v/>
      </c>
      <c r="J134" s="75" t="str">
        <f>IF(E134="","",SUMIFS('Stock Movement'!$F$2:$F$501,'Stock Movement'!$D$2:$D$501,E134,'Stock Movement'!$E$2:$E$501,"IN")-SUMIFS('Stock Movement'!$F$2:$F$501,'Stock Movement'!$D$2:$D$501,E134,'Stock Movement'!$E$2:$E$501,"OUT"))</f>
        <v/>
      </c>
      <c r="K134" s="77" t="str">
        <f t="array" ref="K134">IF(G134="","",IFERROR(INDEX('Material Master'!$D$2:$D$201,IFERROR(MATCH(G134,'Material Master'!$F$2:$F$201,0),MATCH(G134,'Material Master'!$A$2:$A$201,0))),""))</f>
        <v/>
      </c>
      <c r="L134" s="69"/>
      <c r="M134" s="69"/>
    </row>
    <row r="135" ht="24.0" customHeight="1">
      <c r="A135" s="82"/>
      <c r="B135" s="98"/>
      <c r="C135" s="82"/>
      <c r="D135" s="99"/>
      <c r="E135" s="82" t="str">
        <f t="shared" si="1"/>
        <v/>
      </c>
      <c r="F135" s="83" t="str">
        <f t="shared" si="2"/>
        <v/>
      </c>
      <c r="G135" s="85"/>
      <c r="H135" s="85" t="str">
        <f t="array" ref="H135">IF(G135="","",IFERROR(INDEX('Material Master'!$B$2:$B$201,IFERROR(MATCH(G135,'Material Master'!$F$2:$F$201,0),MATCH(G135,'Material Master'!$A$2:$A$201,0))),""))</f>
        <v/>
      </c>
      <c r="I135" s="85" t="str">
        <f t="array" ref="I135">IF(G135="","",IFERROR(INDEX('Material Master'!$C$2:$C$201,IFERROR(MATCH(G135,'Material Master'!$F$2:$F$201,0),MATCH(G135,'Material Master'!$A$2:$A$201,0))),""))</f>
        <v/>
      </c>
      <c r="J135" s="86" t="str">
        <f>IF(E135="","",SUMIFS('Stock Movement'!$F$2:$F$501,'Stock Movement'!$D$2:$D$501,E135,'Stock Movement'!$E$2:$E$501,"IN")-SUMIFS('Stock Movement'!$F$2:$F$501,'Stock Movement'!$D$2:$D$501,E135,'Stock Movement'!$E$2:$E$501,"OUT"))</f>
        <v/>
      </c>
      <c r="K135" s="87" t="str">
        <f t="array" ref="K135">IF(G135="","",IFERROR(INDEX('Material Master'!$D$2:$D$201,IFERROR(MATCH(G135,'Material Master'!$F$2:$F$201,0),MATCH(G135,'Material Master'!$A$2:$A$201,0))),""))</f>
        <v/>
      </c>
      <c r="L135" s="85"/>
      <c r="M135" s="85"/>
    </row>
    <row r="136" ht="24.0" customHeight="1">
      <c r="A136" s="88"/>
      <c r="B136" s="89"/>
      <c r="C136" s="88"/>
      <c r="D136" s="90"/>
      <c r="E136" s="88" t="str">
        <f t="shared" si="1"/>
        <v/>
      </c>
      <c r="F136" s="91" t="str">
        <f t="shared" si="2"/>
        <v/>
      </c>
      <c r="G136" s="69"/>
      <c r="H136" s="69" t="str">
        <f t="array" ref="H136">IF(G136="","",IFERROR(INDEX('Material Master'!$B$2:$B$201,IFERROR(MATCH(G136,'Material Master'!$F$2:$F$201,0),MATCH(G136,'Material Master'!$A$2:$A$201,0))),""))</f>
        <v/>
      </c>
      <c r="I136" s="69" t="str">
        <f t="array" ref="I136">IF(G136="","",IFERROR(INDEX('Material Master'!$C$2:$C$201,IFERROR(MATCH(G136,'Material Master'!$F$2:$F$201,0),MATCH(G136,'Material Master'!$A$2:$A$201,0))),""))</f>
        <v/>
      </c>
      <c r="J136" s="75" t="str">
        <f>IF(E136="","",SUMIFS('Stock Movement'!$F$2:$F$501,'Stock Movement'!$D$2:$D$501,E136,'Stock Movement'!$E$2:$E$501,"IN")-SUMIFS('Stock Movement'!$F$2:$F$501,'Stock Movement'!$D$2:$D$501,E136,'Stock Movement'!$E$2:$E$501,"OUT"))</f>
        <v/>
      </c>
      <c r="K136" s="77" t="str">
        <f t="array" ref="K136">IF(G136="","",IFERROR(INDEX('Material Master'!$D$2:$D$201,IFERROR(MATCH(G136,'Material Master'!$F$2:$F$201,0),MATCH(G136,'Material Master'!$A$2:$A$201,0))),""))</f>
        <v/>
      </c>
      <c r="L136" s="69"/>
      <c r="M136" s="69"/>
    </row>
    <row r="137" ht="24.0" customHeight="1">
      <c r="A137" s="82"/>
      <c r="B137" s="98"/>
      <c r="C137" s="82"/>
      <c r="D137" s="99"/>
      <c r="E137" s="82" t="str">
        <f t="shared" si="1"/>
        <v/>
      </c>
      <c r="F137" s="83" t="str">
        <f t="shared" si="2"/>
        <v/>
      </c>
      <c r="G137" s="85"/>
      <c r="H137" s="85" t="str">
        <f t="array" ref="H137">IF(G137="","",IFERROR(INDEX('Material Master'!$B$2:$B$201,IFERROR(MATCH(G137,'Material Master'!$F$2:$F$201,0),MATCH(G137,'Material Master'!$A$2:$A$201,0))),""))</f>
        <v/>
      </c>
      <c r="I137" s="85" t="str">
        <f t="array" ref="I137">IF(G137="","",IFERROR(INDEX('Material Master'!$C$2:$C$201,IFERROR(MATCH(G137,'Material Master'!$F$2:$F$201,0),MATCH(G137,'Material Master'!$A$2:$A$201,0))),""))</f>
        <v/>
      </c>
      <c r="J137" s="86" t="str">
        <f>IF(E137="","",SUMIFS('Stock Movement'!$F$2:$F$501,'Stock Movement'!$D$2:$D$501,E137,'Stock Movement'!$E$2:$E$501,"IN")-SUMIFS('Stock Movement'!$F$2:$F$501,'Stock Movement'!$D$2:$D$501,E137,'Stock Movement'!$E$2:$E$501,"OUT"))</f>
        <v/>
      </c>
      <c r="K137" s="87" t="str">
        <f t="array" ref="K137">IF(G137="","",IFERROR(INDEX('Material Master'!$D$2:$D$201,IFERROR(MATCH(G137,'Material Master'!$F$2:$F$201,0),MATCH(G137,'Material Master'!$A$2:$A$201,0))),""))</f>
        <v/>
      </c>
      <c r="L137" s="85"/>
      <c r="M137" s="85"/>
    </row>
    <row r="138" ht="24.0" customHeight="1">
      <c r="A138" s="88"/>
      <c r="B138" s="89"/>
      <c r="C138" s="88"/>
      <c r="D138" s="90"/>
      <c r="E138" s="88" t="str">
        <f t="shared" si="1"/>
        <v/>
      </c>
      <c r="F138" s="91" t="str">
        <f t="shared" si="2"/>
        <v/>
      </c>
      <c r="G138" s="69"/>
      <c r="H138" s="69" t="str">
        <f t="array" ref="H138">IF(G138="","",IFERROR(INDEX('Material Master'!$B$2:$B$201,IFERROR(MATCH(G138,'Material Master'!$F$2:$F$201,0),MATCH(G138,'Material Master'!$A$2:$A$201,0))),""))</f>
        <v/>
      </c>
      <c r="I138" s="69" t="str">
        <f t="array" ref="I138">IF(G138="","",IFERROR(INDEX('Material Master'!$C$2:$C$201,IFERROR(MATCH(G138,'Material Master'!$F$2:$F$201,0),MATCH(G138,'Material Master'!$A$2:$A$201,0))),""))</f>
        <v/>
      </c>
      <c r="J138" s="75" t="str">
        <f>IF(E138="","",SUMIFS('Stock Movement'!$F$2:$F$501,'Stock Movement'!$D$2:$D$501,E138,'Stock Movement'!$E$2:$E$501,"IN")-SUMIFS('Stock Movement'!$F$2:$F$501,'Stock Movement'!$D$2:$D$501,E138,'Stock Movement'!$E$2:$E$501,"OUT"))</f>
        <v/>
      </c>
      <c r="K138" s="77" t="str">
        <f t="array" ref="K138">IF(G138="","",IFERROR(INDEX('Material Master'!$D$2:$D$201,IFERROR(MATCH(G138,'Material Master'!$F$2:$F$201,0),MATCH(G138,'Material Master'!$A$2:$A$201,0))),""))</f>
        <v/>
      </c>
      <c r="L138" s="69"/>
      <c r="M138" s="69"/>
    </row>
    <row r="139" ht="24.0" customHeight="1">
      <c r="A139" s="82"/>
      <c r="B139" s="98"/>
      <c r="C139" s="82"/>
      <c r="D139" s="99"/>
      <c r="E139" s="82" t="str">
        <f t="shared" si="1"/>
        <v/>
      </c>
      <c r="F139" s="83" t="str">
        <f t="shared" si="2"/>
        <v/>
      </c>
      <c r="G139" s="85"/>
      <c r="H139" s="85" t="str">
        <f t="array" ref="H139">IF(G139="","",IFERROR(INDEX('Material Master'!$B$2:$B$201,IFERROR(MATCH(G139,'Material Master'!$F$2:$F$201,0),MATCH(G139,'Material Master'!$A$2:$A$201,0))),""))</f>
        <v/>
      </c>
      <c r="I139" s="85" t="str">
        <f t="array" ref="I139">IF(G139="","",IFERROR(INDEX('Material Master'!$C$2:$C$201,IFERROR(MATCH(G139,'Material Master'!$F$2:$F$201,0),MATCH(G139,'Material Master'!$A$2:$A$201,0))),""))</f>
        <v/>
      </c>
      <c r="J139" s="86" t="str">
        <f>IF(E139="","",SUMIFS('Stock Movement'!$F$2:$F$501,'Stock Movement'!$D$2:$D$501,E139,'Stock Movement'!$E$2:$E$501,"IN")-SUMIFS('Stock Movement'!$F$2:$F$501,'Stock Movement'!$D$2:$D$501,E139,'Stock Movement'!$E$2:$E$501,"OUT"))</f>
        <v/>
      </c>
      <c r="K139" s="87" t="str">
        <f t="array" ref="K139">IF(G139="","",IFERROR(INDEX('Material Master'!$D$2:$D$201,IFERROR(MATCH(G139,'Material Master'!$F$2:$F$201,0),MATCH(G139,'Material Master'!$A$2:$A$201,0))),""))</f>
        <v/>
      </c>
      <c r="L139" s="85"/>
      <c r="M139" s="85"/>
    </row>
    <row r="140" ht="24.0" customHeight="1">
      <c r="A140" s="88"/>
      <c r="B140" s="89"/>
      <c r="C140" s="88"/>
      <c r="D140" s="90"/>
      <c r="E140" s="88" t="str">
        <f t="shared" si="1"/>
        <v/>
      </c>
      <c r="F140" s="91" t="str">
        <f t="shared" si="2"/>
        <v/>
      </c>
      <c r="G140" s="69"/>
      <c r="H140" s="69" t="str">
        <f t="array" ref="H140">IF(G140="","",IFERROR(INDEX('Material Master'!$B$2:$B$201,IFERROR(MATCH(G140,'Material Master'!$F$2:$F$201,0),MATCH(G140,'Material Master'!$A$2:$A$201,0))),""))</f>
        <v/>
      </c>
      <c r="I140" s="69" t="str">
        <f t="array" ref="I140">IF(G140="","",IFERROR(INDEX('Material Master'!$C$2:$C$201,IFERROR(MATCH(G140,'Material Master'!$F$2:$F$201,0),MATCH(G140,'Material Master'!$A$2:$A$201,0))),""))</f>
        <v/>
      </c>
      <c r="J140" s="75" t="str">
        <f>IF(E140="","",SUMIFS('Stock Movement'!$F$2:$F$501,'Stock Movement'!$D$2:$D$501,E140,'Stock Movement'!$E$2:$E$501,"IN")-SUMIFS('Stock Movement'!$F$2:$F$501,'Stock Movement'!$D$2:$D$501,E140,'Stock Movement'!$E$2:$E$501,"OUT"))</f>
        <v/>
      </c>
      <c r="K140" s="77" t="str">
        <f t="array" ref="K140">IF(G140="","",IFERROR(INDEX('Material Master'!$D$2:$D$201,IFERROR(MATCH(G140,'Material Master'!$F$2:$F$201,0),MATCH(G140,'Material Master'!$A$2:$A$201,0))),""))</f>
        <v/>
      </c>
      <c r="L140" s="69"/>
      <c r="M140" s="69"/>
    </row>
    <row r="141" ht="24.0" customHeight="1">
      <c r="A141" s="82"/>
      <c r="B141" s="98"/>
      <c r="C141" s="82"/>
      <c r="D141" s="99"/>
      <c r="E141" s="82" t="str">
        <f t="shared" si="1"/>
        <v/>
      </c>
      <c r="F141" s="83" t="str">
        <f t="shared" si="2"/>
        <v/>
      </c>
      <c r="G141" s="85"/>
      <c r="H141" s="85" t="str">
        <f t="array" ref="H141">IF(G141="","",IFERROR(INDEX('Material Master'!$B$2:$B$201,IFERROR(MATCH(G141,'Material Master'!$F$2:$F$201,0),MATCH(G141,'Material Master'!$A$2:$A$201,0))),""))</f>
        <v/>
      </c>
      <c r="I141" s="85" t="str">
        <f t="array" ref="I141">IF(G141="","",IFERROR(INDEX('Material Master'!$C$2:$C$201,IFERROR(MATCH(G141,'Material Master'!$F$2:$F$201,0),MATCH(G141,'Material Master'!$A$2:$A$201,0))),""))</f>
        <v/>
      </c>
      <c r="J141" s="86" t="str">
        <f>IF(E141="","",SUMIFS('Stock Movement'!$F$2:$F$501,'Stock Movement'!$D$2:$D$501,E141,'Stock Movement'!$E$2:$E$501,"IN")-SUMIFS('Stock Movement'!$F$2:$F$501,'Stock Movement'!$D$2:$D$501,E141,'Stock Movement'!$E$2:$E$501,"OUT"))</f>
        <v/>
      </c>
      <c r="K141" s="87" t="str">
        <f t="array" ref="K141">IF(G141="","",IFERROR(INDEX('Material Master'!$D$2:$D$201,IFERROR(MATCH(G141,'Material Master'!$F$2:$F$201,0),MATCH(G141,'Material Master'!$A$2:$A$201,0))),""))</f>
        <v/>
      </c>
      <c r="L141" s="85"/>
      <c r="M141" s="85"/>
    </row>
    <row r="142" ht="24.0" customHeight="1">
      <c r="A142" s="88"/>
      <c r="B142" s="89"/>
      <c r="C142" s="88"/>
      <c r="D142" s="90"/>
      <c r="E142" s="88" t="str">
        <f t="shared" si="1"/>
        <v/>
      </c>
      <c r="F142" s="91" t="str">
        <f t="shared" si="2"/>
        <v/>
      </c>
      <c r="G142" s="69"/>
      <c r="H142" s="69" t="str">
        <f t="array" ref="H142">IF(G142="","",IFERROR(INDEX('Material Master'!$B$2:$B$201,IFERROR(MATCH(G142,'Material Master'!$F$2:$F$201,0),MATCH(G142,'Material Master'!$A$2:$A$201,0))),""))</f>
        <v/>
      </c>
      <c r="I142" s="69" t="str">
        <f t="array" ref="I142">IF(G142="","",IFERROR(INDEX('Material Master'!$C$2:$C$201,IFERROR(MATCH(G142,'Material Master'!$F$2:$F$201,0),MATCH(G142,'Material Master'!$A$2:$A$201,0))),""))</f>
        <v/>
      </c>
      <c r="J142" s="75" t="str">
        <f>IF(E142="","",SUMIFS('Stock Movement'!$F$2:$F$501,'Stock Movement'!$D$2:$D$501,E142,'Stock Movement'!$E$2:$E$501,"IN")-SUMIFS('Stock Movement'!$F$2:$F$501,'Stock Movement'!$D$2:$D$501,E142,'Stock Movement'!$E$2:$E$501,"OUT"))</f>
        <v/>
      </c>
      <c r="K142" s="77" t="str">
        <f t="array" ref="K142">IF(G142="","",IFERROR(INDEX('Material Master'!$D$2:$D$201,IFERROR(MATCH(G142,'Material Master'!$F$2:$F$201,0),MATCH(G142,'Material Master'!$A$2:$A$201,0))),""))</f>
        <v/>
      </c>
      <c r="L142" s="69"/>
      <c r="M142" s="69"/>
    </row>
    <row r="143" ht="24.0" customHeight="1">
      <c r="A143" s="82"/>
      <c r="B143" s="98"/>
      <c r="C143" s="82"/>
      <c r="D143" s="99"/>
      <c r="E143" s="82" t="str">
        <f t="shared" si="1"/>
        <v/>
      </c>
      <c r="F143" s="83" t="str">
        <f t="shared" si="2"/>
        <v/>
      </c>
      <c r="G143" s="85"/>
      <c r="H143" s="85" t="str">
        <f t="array" ref="H143">IF(G143="","",IFERROR(INDEX('Material Master'!$B$2:$B$201,IFERROR(MATCH(G143,'Material Master'!$F$2:$F$201,0),MATCH(G143,'Material Master'!$A$2:$A$201,0))),""))</f>
        <v/>
      </c>
      <c r="I143" s="85" t="str">
        <f t="array" ref="I143">IF(G143="","",IFERROR(INDEX('Material Master'!$C$2:$C$201,IFERROR(MATCH(G143,'Material Master'!$F$2:$F$201,0),MATCH(G143,'Material Master'!$A$2:$A$201,0))),""))</f>
        <v/>
      </c>
      <c r="J143" s="86" t="str">
        <f>IF(E143="","",SUMIFS('Stock Movement'!$F$2:$F$501,'Stock Movement'!$D$2:$D$501,E143,'Stock Movement'!$E$2:$E$501,"IN")-SUMIFS('Stock Movement'!$F$2:$F$501,'Stock Movement'!$D$2:$D$501,E143,'Stock Movement'!$E$2:$E$501,"OUT"))</f>
        <v/>
      </c>
      <c r="K143" s="87" t="str">
        <f t="array" ref="K143">IF(G143="","",IFERROR(INDEX('Material Master'!$D$2:$D$201,IFERROR(MATCH(G143,'Material Master'!$F$2:$F$201,0),MATCH(G143,'Material Master'!$A$2:$A$201,0))),""))</f>
        <v/>
      </c>
      <c r="L143" s="85"/>
      <c r="M143" s="85"/>
    </row>
    <row r="144" ht="24.0" customHeight="1">
      <c r="A144" s="88"/>
      <c r="B144" s="89"/>
      <c r="C144" s="88"/>
      <c r="D144" s="90"/>
      <c r="E144" s="88" t="str">
        <f t="shared" si="1"/>
        <v/>
      </c>
      <c r="F144" s="91" t="str">
        <f t="shared" si="2"/>
        <v/>
      </c>
      <c r="G144" s="69"/>
      <c r="H144" s="69" t="str">
        <f t="array" ref="H144">IF(G144="","",IFERROR(INDEX('Material Master'!$B$2:$B$201,IFERROR(MATCH(G144,'Material Master'!$F$2:$F$201,0),MATCH(G144,'Material Master'!$A$2:$A$201,0))),""))</f>
        <v/>
      </c>
      <c r="I144" s="69" t="str">
        <f t="array" ref="I144">IF(G144="","",IFERROR(INDEX('Material Master'!$C$2:$C$201,IFERROR(MATCH(G144,'Material Master'!$F$2:$F$201,0),MATCH(G144,'Material Master'!$A$2:$A$201,0))),""))</f>
        <v/>
      </c>
      <c r="J144" s="75" t="str">
        <f>IF(E144="","",SUMIFS('Stock Movement'!$F$2:$F$501,'Stock Movement'!$D$2:$D$501,E144,'Stock Movement'!$E$2:$E$501,"IN")-SUMIFS('Stock Movement'!$F$2:$F$501,'Stock Movement'!$D$2:$D$501,E144,'Stock Movement'!$E$2:$E$501,"OUT"))</f>
        <v/>
      </c>
      <c r="K144" s="77" t="str">
        <f t="array" ref="K144">IF(G144="","",IFERROR(INDEX('Material Master'!$D$2:$D$201,IFERROR(MATCH(G144,'Material Master'!$F$2:$F$201,0),MATCH(G144,'Material Master'!$A$2:$A$201,0))),""))</f>
        <v/>
      </c>
      <c r="L144" s="69"/>
      <c r="M144" s="69"/>
    </row>
    <row r="145" ht="24.0" customHeight="1">
      <c r="A145" s="82"/>
      <c r="B145" s="98"/>
      <c r="C145" s="82"/>
      <c r="D145" s="99"/>
      <c r="E145" s="82" t="str">
        <f t="shared" si="1"/>
        <v/>
      </c>
      <c r="F145" s="83" t="str">
        <f t="shared" si="2"/>
        <v/>
      </c>
      <c r="G145" s="85"/>
      <c r="H145" s="85" t="str">
        <f t="array" ref="H145">IF(G145="","",IFERROR(INDEX('Material Master'!$B$2:$B$201,IFERROR(MATCH(G145,'Material Master'!$F$2:$F$201,0),MATCH(G145,'Material Master'!$A$2:$A$201,0))),""))</f>
        <v/>
      </c>
      <c r="I145" s="85" t="str">
        <f t="array" ref="I145">IF(G145="","",IFERROR(INDEX('Material Master'!$C$2:$C$201,IFERROR(MATCH(G145,'Material Master'!$F$2:$F$201,0),MATCH(G145,'Material Master'!$A$2:$A$201,0))),""))</f>
        <v/>
      </c>
      <c r="J145" s="86" t="str">
        <f>IF(E145="","",SUMIFS('Stock Movement'!$F$2:$F$501,'Stock Movement'!$D$2:$D$501,E145,'Stock Movement'!$E$2:$E$501,"IN")-SUMIFS('Stock Movement'!$F$2:$F$501,'Stock Movement'!$D$2:$D$501,E145,'Stock Movement'!$E$2:$E$501,"OUT"))</f>
        <v/>
      </c>
      <c r="K145" s="87" t="str">
        <f t="array" ref="K145">IF(G145="","",IFERROR(INDEX('Material Master'!$D$2:$D$201,IFERROR(MATCH(G145,'Material Master'!$F$2:$F$201,0),MATCH(G145,'Material Master'!$A$2:$A$201,0))),""))</f>
        <v/>
      </c>
      <c r="L145" s="85"/>
      <c r="M145" s="85"/>
    </row>
    <row r="146" ht="24.0" customHeight="1">
      <c r="A146" s="88"/>
      <c r="B146" s="89"/>
      <c r="C146" s="88"/>
      <c r="D146" s="90"/>
      <c r="E146" s="88" t="str">
        <f t="shared" si="1"/>
        <v/>
      </c>
      <c r="F146" s="91" t="str">
        <f t="shared" si="2"/>
        <v/>
      </c>
      <c r="G146" s="69"/>
      <c r="H146" s="69" t="str">
        <f t="array" ref="H146">IF(G146="","",IFERROR(INDEX('Material Master'!$B$2:$B$201,IFERROR(MATCH(G146,'Material Master'!$F$2:$F$201,0),MATCH(G146,'Material Master'!$A$2:$A$201,0))),""))</f>
        <v/>
      </c>
      <c r="I146" s="69" t="str">
        <f t="array" ref="I146">IF(G146="","",IFERROR(INDEX('Material Master'!$C$2:$C$201,IFERROR(MATCH(G146,'Material Master'!$F$2:$F$201,0),MATCH(G146,'Material Master'!$A$2:$A$201,0))),""))</f>
        <v/>
      </c>
      <c r="J146" s="75" t="str">
        <f>IF(E146="","",SUMIFS('Stock Movement'!$F$2:$F$501,'Stock Movement'!$D$2:$D$501,E146,'Stock Movement'!$E$2:$E$501,"IN")-SUMIFS('Stock Movement'!$F$2:$F$501,'Stock Movement'!$D$2:$D$501,E146,'Stock Movement'!$E$2:$E$501,"OUT"))</f>
        <v/>
      </c>
      <c r="K146" s="77" t="str">
        <f t="array" ref="K146">IF(G146="","",IFERROR(INDEX('Material Master'!$D$2:$D$201,IFERROR(MATCH(G146,'Material Master'!$F$2:$F$201,0),MATCH(G146,'Material Master'!$A$2:$A$201,0))),""))</f>
        <v/>
      </c>
      <c r="L146" s="69"/>
      <c r="M146" s="69"/>
    </row>
    <row r="147" ht="24.0" customHeight="1">
      <c r="A147" s="82"/>
      <c r="B147" s="98"/>
      <c r="C147" s="82"/>
      <c r="D147" s="99"/>
      <c r="E147" s="82" t="str">
        <f t="shared" si="1"/>
        <v/>
      </c>
      <c r="F147" s="83" t="str">
        <f t="shared" si="2"/>
        <v/>
      </c>
      <c r="G147" s="85"/>
      <c r="H147" s="85" t="str">
        <f t="array" ref="H147">IF(G147="","",IFERROR(INDEX('Material Master'!$B$2:$B$201,IFERROR(MATCH(G147,'Material Master'!$F$2:$F$201,0),MATCH(G147,'Material Master'!$A$2:$A$201,0))),""))</f>
        <v/>
      </c>
      <c r="I147" s="85" t="str">
        <f t="array" ref="I147">IF(G147="","",IFERROR(INDEX('Material Master'!$C$2:$C$201,IFERROR(MATCH(G147,'Material Master'!$F$2:$F$201,0),MATCH(G147,'Material Master'!$A$2:$A$201,0))),""))</f>
        <v/>
      </c>
      <c r="J147" s="86" t="str">
        <f>IF(E147="","",SUMIFS('Stock Movement'!$F$2:$F$501,'Stock Movement'!$D$2:$D$501,E147,'Stock Movement'!$E$2:$E$501,"IN")-SUMIFS('Stock Movement'!$F$2:$F$501,'Stock Movement'!$D$2:$D$501,E147,'Stock Movement'!$E$2:$E$501,"OUT"))</f>
        <v/>
      </c>
      <c r="K147" s="87" t="str">
        <f t="array" ref="K147">IF(G147="","",IFERROR(INDEX('Material Master'!$D$2:$D$201,IFERROR(MATCH(G147,'Material Master'!$F$2:$F$201,0),MATCH(G147,'Material Master'!$A$2:$A$201,0))),""))</f>
        <v/>
      </c>
      <c r="L147" s="85"/>
      <c r="M147" s="85"/>
    </row>
    <row r="148" ht="24.0" customHeight="1">
      <c r="A148" s="88"/>
      <c r="B148" s="89"/>
      <c r="C148" s="88"/>
      <c r="D148" s="90"/>
      <c r="E148" s="88" t="str">
        <f t="shared" si="1"/>
        <v/>
      </c>
      <c r="F148" s="91" t="str">
        <f t="shared" si="2"/>
        <v/>
      </c>
      <c r="G148" s="69"/>
      <c r="H148" s="69" t="str">
        <f t="array" ref="H148">IF(G148="","",IFERROR(INDEX('Material Master'!$B$2:$B$201,IFERROR(MATCH(G148,'Material Master'!$F$2:$F$201,0),MATCH(G148,'Material Master'!$A$2:$A$201,0))),""))</f>
        <v/>
      </c>
      <c r="I148" s="69" t="str">
        <f t="array" ref="I148">IF(G148="","",IFERROR(INDEX('Material Master'!$C$2:$C$201,IFERROR(MATCH(G148,'Material Master'!$F$2:$F$201,0),MATCH(G148,'Material Master'!$A$2:$A$201,0))),""))</f>
        <v/>
      </c>
      <c r="J148" s="75" t="str">
        <f>IF(E148="","",SUMIFS('Stock Movement'!$F$2:$F$501,'Stock Movement'!$D$2:$D$501,E148,'Stock Movement'!$E$2:$E$501,"IN")-SUMIFS('Stock Movement'!$F$2:$F$501,'Stock Movement'!$D$2:$D$501,E148,'Stock Movement'!$E$2:$E$501,"OUT"))</f>
        <v/>
      </c>
      <c r="K148" s="77" t="str">
        <f t="array" ref="K148">IF(G148="","",IFERROR(INDEX('Material Master'!$D$2:$D$201,IFERROR(MATCH(G148,'Material Master'!$F$2:$F$201,0),MATCH(G148,'Material Master'!$A$2:$A$201,0))),""))</f>
        <v/>
      </c>
      <c r="L148" s="69"/>
      <c r="M148" s="69"/>
    </row>
    <row r="149" ht="24.0" customHeight="1">
      <c r="A149" s="82"/>
      <c r="B149" s="98"/>
      <c r="C149" s="82"/>
      <c r="D149" s="99"/>
      <c r="E149" s="82" t="str">
        <f t="shared" si="1"/>
        <v/>
      </c>
      <c r="F149" s="83" t="str">
        <f t="shared" si="2"/>
        <v/>
      </c>
      <c r="G149" s="85"/>
      <c r="H149" s="85" t="str">
        <f t="array" ref="H149">IF(G149="","",IFERROR(INDEX('Material Master'!$B$2:$B$201,IFERROR(MATCH(G149,'Material Master'!$F$2:$F$201,0),MATCH(G149,'Material Master'!$A$2:$A$201,0))),""))</f>
        <v/>
      </c>
      <c r="I149" s="85" t="str">
        <f t="array" ref="I149">IF(G149="","",IFERROR(INDEX('Material Master'!$C$2:$C$201,IFERROR(MATCH(G149,'Material Master'!$F$2:$F$201,0),MATCH(G149,'Material Master'!$A$2:$A$201,0))),""))</f>
        <v/>
      </c>
      <c r="J149" s="86" t="str">
        <f>IF(E149="","",SUMIFS('Stock Movement'!$F$2:$F$501,'Stock Movement'!$D$2:$D$501,E149,'Stock Movement'!$E$2:$E$501,"IN")-SUMIFS('Stock Movement'!$F$2:$F$501,'Stock Movement'!$D$2:$D$501,E149,'Stock Movement'!$E$2:$E$501,"OUT"))</f>
        <v/>
      </c>
      <c r="K149" s="87" t="str">
        <f t="array" ref="K149">IF(G149="","",IFERROR(INDEX('Material Master'!$D$2:$D$201,IFERROR(MATCH(G149,'Material Master'!$F$2:$F$201,0),MATCH(G149,'Material Master'!$A$2:$A$201,0))),""))</f>
        <v/>
      </c>
      <c r="L149" s="85"/>
      <c r="M149" s="85"/>
    </row>
    <row r="150" ht="24.0" customHeight="1">
      <c r="A150" s="88"/>
      <c r="B150" s="89"/>
      <c r="C150" s="88"/>
      <c r="D150" s="90"/>
      <c r="E150" s="88" t="str">
        <f t="shared" si="1"/>
        <v/>
      </c>
      <c r="F150" s="91" t="str">
        <f t="shared" si="2"/>
        <v/>
      </c>
      <c r="G150" s="69"/>
      <c r="H150" s="69" t="str">
        <f t="array" ref="H150">IF(G150="","",IFERROR(INDEX('Material Master'!$B$2:$B$201,IFERROR(MATCH(G150,'Material Master'!$F$2:$F$201,0),MATCH(G150,'Material Master'!$A$2:$A$201,0))),""))</f>
        <v/>
      </c>
      <c r="I150" s="69" t="str">
        <f t="array" ref="I150">IF(G150="","",IFERROR(INDEX('Material Master'!$C$2:$C$201,IFERROR(MATCH(G150,'Material Master'!$F$2:$F$201,0),MATCH(G150,'Material Master'!$A$2:$A$201,0))),""))</f>
        <v/>
      </c>
      <c r="J150" s="75" t="str">
        <f>IF(E150="","",SUMIFS('Stock Movement'!$F$2:$F$501,'Stock Movement'!$D$2:$D$501,E150,'Stock Movement'!$E$2:$E$501,"IN")-SUMIFS('Stock Movement'!$F$2:$F$501,'Stock Movement'!$D$2:$D$501,E150,'Stock Movement'!$E$2:$E$501,"OUT"))</f>
        <v/>
      </c>
      <c r="K150" s="77" t="str">
        <f t="array" ref="K150">IF(G150="","",IFERROR(INDEX('Material Master'!$D$2:$D$201,IFERROR(MATCH(G150,'Material Master'!$F$2:$F$201,0),MATCH(G150,'Material Master'!$A$2:$A$201,0))),""))</f>
        <v/>
      </c>
      <c r="L150" s="69"/>
      <c r="M150" s="69"/>
    </row>
    <row r="151" ht="24.0" customHeight="1">
      <c r="A151" s="82"/>
      <c r="B151" s="98"/>
      <c r="C151" s="82"/>
      <c r="D151" s="99"/>
      <c r="E151" s="82" t="str">
        <f t="shared" si="1"/>
        <v/>
      </c>
      <c r="F151" s="83" t="str">
        <f t="shared" si="2"/>
        <v/>
      </c>
      <c r="G151" s="85"/>
      <c r="H151" s="85" t="str">
        <f t="array" ref="H151">IF(G151="","",IFERROR(INDEX('Material Master'!$B$2:$B$201,IFERROR(MATCH(G151,'Material Master'!$F$2:$F$201,0),MATCH(G151,'Material Master'!$A$2:$A$201,0))),""))</f>
        <v/>
      </c>
      <c r="I151" s="85" t="str">
        <f t="array" ref="I151">IF(G151="","",IFERROR(INDEX('Material Master'!$C$2:$C$201,IFERROR(MATCH(G151,'Material Master'!$F$2:$F$201,0),MATCH(G151,'Material Master'!$A$2:$A$201,0))),""))</f>
        <v/>
      </c>
      <c r="J151" s="86" t="str">
        <f>IF(E151="","",SUMIFS('Stock Movement'!$F$2:$F$501,'Stock Movement'!$D$2:$D$501,E151,'Stock Movement'!$E$2:$E$501,"IN")-SUMIFS('Stock Movement'!$F$2:$F$501,'Stock Movement'!$D$2:$D$501,E151,'Stock Movement'!$E$2:$E$501,"OUT"))</f>
        <v/>
      </c>
      <c r="K151" s="87" t="str">
        <f t="array" ref="K151">IF(G151="","",IFERROR(INDEX('Material Master'!$D$2:$D$201,IFERROR(MATCH(G151,'Material Master'!$F$2:$F$201,0),MATCH(G151,'Material Master'!$A$2:$A$201,0))),""))</f>
        <v/>
      </c>
      <c r="L151" s="85"/>
      <c r="M151" s="85"/>
    </row>
    <row r="152" ht="24.0" customHeight="1">
      <c r="A152" s="88"/>
      <c r="B152" s="89"/>
      <c r="C152" s="88"/>
      <c r="D152" s="90"/>
      <c r="E152" s="88" t="str">
        <f t="shared" si="1"/>
        <v/>
      </c>
      <c r="F152" s="91" t="str">
        <f t="shared" si="2"/>
        <v/>
      </c>
      <c r="G152" s="69"/>
      <c r="H152" s="69" t="str">
        <f t="array" ref="H152">IF(G152="","",IFERROR(INDEX('Material Master'!$B$2:$B$201,IFERROR(MATCH(G152,'Material Master'!$F$2:$F$201,0),MATCH(G152,'Material Master'!$A$2:$A$201,0))),""))</f>
        <v/>
      </c>
      <c r="I152" s="69" t="str">
        <f t="array" ref="I152">IF(G152="","",IFERROR(INDEX('Material Master'!$C$2:$C$201,IFERROR(MATCH(G152,'Material Master'!$F$2:$F$201,0),MATCH(G152,'Material Master'!$A$2:$A$201,0))),""))</f>
        <v/>
      </c>
      <c r="J152" s="75" t="str">
        <f>IF(E152="","",SUMIFS('Stock Movement'!$F$2:$F$501,'Stock Movement'!$D$2:$D$501,E152,'Stock Movement'!$E$2:$E$501,"IN")-SUMIFS('Stock Movement'!$F$2:$F$501,'Stock Movement'!$D$2:$D$501,E152,'Stock Movement'!$E$2:$E$501,"OUT"))</f>
        <v/>
      </c>
      <c r="K152" s="77" t="str">
        <f t="array" ref="K152">IF(G152="","",IFERROR(INDEX('Material Master'!$D$2:$D$201,IFERROR(MATCH(G152,'Material Master'!$F$2:$F$201,0),MATCH(G152,'Material Master'!$A$2:$A$201,0))),""))</f>
        <v/>
      </c>
      <c r="L152" s="69"/>
      <c r="M152" s="69"/>
    </row>
    <row r="153" ht="24.0" customHeight="1">
      <c r="A153" s="82"/>
      <c r="B153" s="98"/>
      <c r="C153" s="82"/>
      <c r="D153" s="99"/>
      <c r="E153" s="82" t="str">
        <f t="shared" si="1"/>
        <v/>
      </c>
      <c r="F153" s="83" t="str">
        <f t="shared" si="2"/>
        <v/>
      </c>
      <c r="G153" s="85"/>
      <c r="H153" s="85" t="str">
        <f t="array" ref="H153">IF(G153="","",IFERROR(INDEX('Material Master'!$B$2:$B$201,IFERROR(MATCH(G153,'Material Master'!$F$2:$F$201,0),MATCH(G153,'Material Master'!$A$2:$A$201,0))),""))</f>
        <v/>
      </c>
      <c r="I153" s="85" t="str">
        <f t="array" ref="I153">IF(G153="","",IFERROR(INDEX('Material Master'!$C$2:$C$201,IFERROR(MATCH(G153,'Material Master'!$F$2:$F$201,0),MATCH(G153,'Material Master'!$A$2:$A$201,0))),""))</f>
        <v/>
      </c>
      <c r="J153" s="86" t="str">
        <f>IF(E153="","",SUMIFS('Stock Movement'!$F$2:$F$501,'Stock Movement'!$D$2:$D$501,E153,'Stock Movement'!$E$2:$E$501,"IN")-SUMIFS('Stock Movement'!$F$2:$F$501,'Stock Movement'!$D$2:$D$501,E153,'Stock Movement'!$E$2:$E$501,"OUT"))</f>
        <v/>
      </c>
      <c r="K153" s="87" t="str">
        <f t="array" ref="K153">IF(G153="","",IFERROR(INDEX('Material Master'!$D$2:$D$201,IFERROR(MATCH(G153,'Material Master'!$F$2:$F$201,0),MATCH(G153,'Material Master'!$A$2:$A$201,0))),""))</f>
        <v/>
      </c>
      <c r="L153" s="85"/>
      <c r="M153" s="85"/>
    </row>
    <row r="154" ht="24.0" customHeight="1">
      <c r="A154" s="88"/>
      <c r="B154" s="89"/>
      <c r="C154" s="88"/>
      <c r="D154" s="90"/>
      <c r="E154" s="88" t="str">
        <f t="shared" si="1"/>
        <v/>
      </c>
      <c r="F154" s="91" t="str">
        <f t="shared" si="2"/>
        <v/>
      </c>
      <c r="G154" s="69"/>
      <c r="H154" s="69" t="str">
        <f t="array" ref="H154">IF(G154="","",IFERROR(INDEX('Material Master'!$B$2:$B$201,IFERROR(MATCH(G154,'Material Master'!$F$2:$F$201,0),MATCH(G154,'Material Master'!$A$2:$A$201,0))),""))</f>
        <v/>
      </c>
      <c r="I154" s="69" t="str">
        <f t="array" ref="I154">IF(G154="","",IFERROR(INDEX('Material Master'!$C$2:$C$201,IFERROR(MATCH(G154,'Material Master'!$F$2:$F$201,0),MATCH(G154,'Material Master'!$A$2:$A$201,0))),""))</f>
        <v/>
      </c>
      <c r="J154" s="75" t="str">
        <f>IF(E154="","",SUMIFS('Stock Movement'!$F$2:$F$501,'Stock Movement'!$D$2:$D$501,E154,'Stock Movement'!$E$2:$E$501,"IN")-SUMIFS('Stock Movement'!$F$2:$F$501,'Stock Movement'!$D$2:$D$501,E154,'Stock Movement'!$E$2:$E$501,"OUT"))</f>
        <v/>
      </c>
      <c r="K154" s="77" t="str">
        <f t="array" ref="K154">IF(G154="","",IFERROR(INDEX('Material Master'!$D$2:$D$201,IFERROR(MATCH(G154,'Material Master'!$F$2:$F$201,0),MATCH(G154,'Material Master'!$A$2:$A$201,0))),""))</f>
        <v/>
      </c>
      <c r="L154" s="69"/>
      <c r="M154" s="69"/>
    </row>
    <row r="155" ht="24.0" customHeight="1">
      <c r="A155" s="82"/>
      <c r="B155" s="98"/>
      <c r="C155" s="82"/>
      <c r="D155" s="99"/>
      <c r="E155" s="82" t="str">
        <f t="shared" si="1"/>
        <v/>
      </c>
      <c r="F155" s="83" t="str">
        <f t="shared" si="2"/>
        <v/>
      </c>
      <c r="G155" s="85"/>
      <c r="H155" s="85" t="str">
        <f t="array" ref="H155">IF(G155="","",IFERROR(INDEX('Material Master'!$B$2:$B$201,IFERROR(MATCH(G155,'Material Master'!$F$2:$F$201,0),MATCH(G155,'Material Master'!$A$2:$A$201,0))),""))</f>
        <v/>
      </c>
      <c r="I155" s="85" t="str">
        <f t="array" ref="I155">IF(G155="","",IFERROR(INDEX('Material Master'!$C$2:$C$201,IFERROR(MATCH(G155,'Material Master'!$F$2:$F$201,0),MATCH(G155,'Material Master'!$A$2:$A$201,0))),""))</f>
        <v/>
      </c>
      <c r="J155" s="86" t="str">
        <f>IF(E155="","",SUMIFS('Stock Movement'!$F$2:$F$501,'Stock Movement'!$D$2:$D$501,E155,'Stock Movement'!$E$2:$E$501,"IN")-SUMIFS('Stock Movement'!$F$2:$F$501,'Stock Movement'!$D$2:$D$501,E155,'Stock Movement'!$E$2:$E$501,"OUT"))</f>
        <v/>
      </c>
      <c r="K155" s="87" t="str">
        <f t="array" ref="K155">IF(G155="","",IFERROR(INDEX('Material Master'!$D$2:$D$201,IFERROR(MATCH(G155,'Material Master'!$F$2:$F$201,0),MATCH(G155,'Material Master'!$A$2:$A$201,0))),""))</f>
        <v/>
      </c>
      <c r="L155" s="85"/>
      <c r="M155" s="85"/>
    </row>
    <row r="156" ht="24.0" customHeight="1">
      <c r="A156" s="88"/>
      <c r="B156" s="89"/>
      <c r="C156" s="88"/>
      <c r="D156" s="90"/>
      <c r="E156" s="88" t="str">
        <f t="shared" si="1"/>
        <v/>
      </c>
      <c r="F156" s="91" t="str">
        <f t="shared" si="2"/>
        <v/>
      </c>
      <c r="G156" s="69"/>
      <c r="H156" s="69" t="str">
        <f t="array" ref="H156">IF(G156="","",IFERROR(INDEX('Material Master'!$B$2:$B$201,IFERROR(MATCH(G156,'Material Master'!$F$2:$F$201,0),MATCH(G156,'Material Master'!$A$2:$A$201,0))),""))</f>
        <v/>
      </c>
      <c r="I156" s="69" t="str">
        <f t="array" ref="I156">IF(G156="","",IFERROR(INDEX('Material Master'!$C$2:$C$201,IFERROR(MATCH(G156,'Material Master'!$F$2:$F$201,0),MATCH(G156,'Material Master'!$A$2:$A$201,0))),""))</f>
        <v/>
      </c>
      <c r="J156" s="75" t="str">
        <f>IF(E156="","",SUMIFS('Stock Movement'!$F$2:$F$501,'Stock Movement'!$D$2:$D$501,E156,'Stock Movement'!$E$2:$E$501,"IN")-SUMIFS('Stock Movement'!$F$2:$F$501,'Stock Movement'!$D$2:$D$501,E156,'Stock Movement'!$E$2:$E$501,"OUT"))</f>
        <v/>
      </c>
      <c r="K156" s="77" t="str">
        <f t="array" ref="K156">IF(G156="","",IFERROR(INDEX('Material Master'!$D$2:$D$201,IFERROR(MATCH(G156,'Material Master'!$F$2:$F$201,0),MATCH(G156,'Material Master'!$A$2:$A$201,0))),""))</f>
        <v/>
      </c>
      <c r="L156" s="69"/>
      <c r="M156" s="69"/>
    </row>
    <row r="157" ht="24.0" customHeight="1">
      <c r="A157" s="82"/>
      <c r="B157" s="98"/>
      <c r="C157" s="82"/>
      <c r="D157" s="99"/>
      <c r="E157" s="82" t="str">
        <f t="shared" si="1"/>
        <v/>
      </c>
      <c r="F157" s="83" t="str">
        <f t="shared" si="2"/>
        <v/>
      </c>
      <c r="G157" s="85"/>
      <c r="H157" s="85" t="str">
        <f t="array" ref="H157">IF(G157="","",IFERROR(INDEX('Material Master'!$B$2:$B$201,IFERROR(MATCH(G157,'Material Master'!$F$2:$F$201,0),MATCH(G157,'Material Master'!$A$2:$A$201,0))),""))</f>
        <v/>
      </c>
      <c r="I157" s="85" t="str">
        <f t="array" ref="I157">IF(G157="","",IFERROR(INDEX('Material Master'!$C$2:$C$201,IFERROR(MATCH(G157,'Material Master'!$F$2:$F$201,0),MATCH(G157,'Material Master'!$A$2:$A$201,0))),""))</f>
        <v/>
      </c>
      <c r="J157" s="86" t="str">
        <f>IF(E157="","",SUMIFS('Stock Movement'!$F$2:$F$501,'Stock Movement'!$D$2:$D$501,E157,'Stock Movement'!$E$2:$E$501,"IN")-SUMIFS('Stock Movement'!$F$2:$F$501,'Stock Movement'!$D$2:$D$501,E157,'Stock Movement'!$E$2:$E$501,"OUT"))</f>
        <v/>
      </c>
      <c r="K157" s="87" t="str">
        <f t="array" ref="K157">IF(G157="","",IFERROR(INDEX('Material Master'!$D$2:$D$201,IFERROR(MATCH(G157,'Material Master'!$F$2:$F$201,0),MATCH(G157,'Material Master'!$A$2:$A$201,0))),""))</f>
        <v/>
      </c>
      <c r="L157" s="85"/>
      <c r="M157" s="85"/>
    </row>
    <row r="158" ht="24.0" customHeight="1">
      <c r="A158" s="88"/>
      <c r="B158" s="89"/>
      <c r="C158" s="88"/>
      <c r="D158" s="90"/>
      <c r="E158" s="88" t="str">
        <f t="shared" si="1"/>
        <v/>
      </c>
      <c r="F158" s="91" t="str">
        <f t="shared" si="2"/>
        <v/>
      </c>
      <c r="G158" s="69"/>
      <c r="H158" s="69" t="str">
        <f t="array" ref="H158">IF(G158="","",IFERROR(INDEX('Material Master'!$B$2:$B$201,IFERROR(MATCH(G158,'Material Master'!$F$2:$F$201,0),MATCH(G158,'Material Master'!$A$2:$A$201,0))),""))</f>
        <v/>
      </c>
      <c r="I158" s="69" t="str">
        <f t="array" ref="I158">IF(G158="","",IFERROR(INDEX('Material Master'!$C$2:$C$201,IFERROR(MATCH(G158,'Material Master'!$F$2:$F$201,0),MATCH(G158,'Material Master'!$A$2:$A$201,0))),""))</f>
        <v/>
      </c>
      <c r="J158" s="75" t="str">
        <f>IF(E158="","",SUMIFS('Stock Movement'!$F$2:$F$501,'Stock Movement'!$D$2:$D$501,E158,'Stock Movement'!$E$2:$E$501,"IN")-SUMIFS('Stock Movement'!$F$2:$F$501,'Stock Movement'!$D$2:$D$501,E158,'Stock Movement'!$E$2:$E$501,"OUT"))</f>
        <v/>
      </c>
      <c r="K158" s="77" t="str">
        <f t="array" ref="K158">IF(G158="","",IFERROR(INDEX('Material Master'!$D$2:$D$201,IFERROR(MATCH(G158,'Material Master'!$F$2:$F$201,0),MATCH(G158,'Material Master'!$A$2:$A$201,0))),""))</f>
        <v/>
      </c>
      <c r="L158" s="69"/>
      <c r="M158" s="69"/>
    </row>
    <row r="159" ht="24.0" customHeight="1">
      <c r="A159" s="82"/>
      <c r="B159" s="98"/>
      <c r="C159" s="82"/>
      <c r="D159" s="99"/>
      <c r="E159" s="82" t="str">
        <f t="shared" si="1"/>
        <v/>
      </c>
      <c r="F159" s="83" t="str">
        <f t="shared" si="2"/>
        <v/>
      </c>
      <c r="G159" s="85"/>
      <c r="H159" s="85" t="str">
        <f t="array" ref="H159">IF(G159="","",IFERROR(INDEX('Material Master'!$B$2:$B$201,IFERROR(MATCH(G159,'Material Master'!$F$2:$F$201,0),MATCH(G159,'Material Master'!$A$2:$A$201,0))),""))</f>
        <v/>
      </c>
      <c r="I159" s="85" t="str">
        <f t="array" ref="I159">IF(G159="","",IFERROR(INDEX('Material Master'!$C$2:$C$201,IFERROR(MATCH(G159,'Material Master'!$F$2:$F$201,0),MATCH(G159,'Material Master'!$A$2:$A$201,0))),""))</f>
        <v/>
      </c>
      <c r="J159" s="86" t="str">
        <f>IF(E159="","",SUMIFS('Stock Movement'!$F$2:$F$501,'Stock Movement'!$D$2:$D$501,E159,'Stock Movement'!$E$2:$E$501,"IN")-SUMIFS('Stock Movement'!$F$2:$F$501,'Stock Movement'!$D$2:$D$501,E159,'Stock Movement'!$E$2:$E$501,"OUT"))</f>
        <v/>
      </c>
      <c r="K159" s="87" t="str">
        <f t="array" ref="K159">IF(G159="","",IFERROR(INDEX('Material Master'!$D$2:$D$201,IFERROR(MATCH(G159,'Material Master'!$F$2:$F$201,0),MATCH(G159,'Material Master'!$A$2:$A$201,0))),""))</f>
        <v/>
      </c>
      <c r="L159" s="85"/>
      <c r="M159" s="85"/>
    </row>
    <row r="160" ht="24.0" customHeight="1">
      <c r="A160" s="88"/>
      <c r="B160" s="89"/>
      <c r="C160" s="88"/>
      <c r="D160" s="90"/>
      <c r="E160" s="88" t="str">
        <f t="shared" si="1"/>
        <v/>
      </c>
      <c r="F160" s="91" t="str">
        <f t="shared" si="2"/>
        <v/>
      </c>
      <c r="G160" s="69"/>
      <c r="H160" s="69" t="str">
        <f t="array" ref="H160">IF(G160="","",IFERROR(INDEX('Material Master'!$B$2:$B$201,IFERROR(MATCH(G160,'Material Master'!$F$2:$F$201,0),MATCH(G160,'Material Master'!$A$2:$A$201,0))),""))</f>
        <v/>
      </c>
      <c r="I160" s="69" t="str">
        <f t="array" ref="I160">IF(G160="","",IFERROR(INDEX('Material Master'!$C$2:$C$201,IFERROR(MATCH(G160,'Material Master'!$F$2:$F$201,0),MATCH(G160,'Material Master'!$A$2:$A$201,0))),""))</f>
        <v/>
      </c>
      <c r="J160" s="75" t="str">
        <f>IF(E160="","",SUMIFS('Stock Movement'!$F$2:$F$501,'Stock Movement'!$D$2:$D$501,E160,'Stock Movement'!$E$2:$E$501,"IN")-SUMIFS('Stock Movement'!$F$2:$F$501,'Stock Movement'!$D$2:$D$501,E160,'Stock Movement'!$E$2:$E$501,"OUT"))</f>
        <v/>
      </c>
      <c r="K160" s="77" t="str">
        <f t="array" ref="K160">IF(G160="","",IFERROR(INDEX('Material Master'!$D$2:$D$201,IFERROR(MATCH(G160,'Material Master'!$F$2:$F$201,0),MATCH(G160,'Material Master'!$A$2:$A$201,0))),""))</f>
        <v/>
      </c>
      <c r="L160" s="69"/>
      <c r="M160" s="69"/>
    </row>
    <row r="161" ht="24.0" customHeight="1">
      <c r="A161" s="82"/>
      <c r="B161" s="98"/>
      <c r="C161" s="82"/>
      <c r="D161" s="99"/>
      <c r="E161" s="82" t="str">
        <f t="shared" si="1"/>
        <v/>
      </c>
      <c r="F161" s="83" t="str">
        <f t="shared" si="2"/>
        <v/>
      </c>
      <c r="G161" s="85"/>
      <c r="H161" s="85" t="str">
        <f t="array" ref="H161">IF(G161="","",IFERROR(INDEX('Material Master'!$B$2:$B$201,IFERROR(MATCH(G161,'Material Master'!$F$2:$F$201,0),MATCH(G161,'Material Master'!$A$2:$A$201,0))),""))</f>
        <v/>
      </c>
      <c r="I161" s="85" t="str">
        <f t="array" ref="I161">IF(G161="","",IFERROR(INDEX('Material Master'!$C$2:$C$201,IFERROR(MATCH(G161,'Material Master'!$F$2:$F$201,0),MATCH(G161,'Material Master'!$A$2:$A$201,0))),""))</f>
        <v/>
      </c>
      <c r="J161" s="86" t="str">
        <f>IF(E161="","",SUMIFS('Stock Movement'!$F$2:$F$501,'Stock Movement'!$D$2:$D$501,E161,'Stock Movement'!$E$2:$E$501,"IN")-SUMIFS('Stock Movement'!$F$2:$F$501,'Stock Movement'!$D$2:$D$501,E161,'Stock Movement'!$E$2:$E$501,"OUT"))</f>
        <v/>
      </c>
      <c r="K161" s="87" t="str">
        <f t="array" ref="K161">IF(G161="","",IFERROR(INDEX('Material Master'!$D$2:$D$201,IFERROR(MATCH(G161,'Material Master'!$F$2:$F$201,0),MATCH(G161,'Material Master'!$A$2:$A$201,0))),""))</f>
        <v/>
      </c>
      <c r="L161" s="85"/>
      <c r="M161" s="85"/>
    </row>
    <row r="162" ht="24.0" customHeight="1">
      <c r="A162" s="88"/>
      <c r="B162" s="89"/>
      <c r="C162" s="88"/>
      <c r="D162" s="90"/>
      <c r="E162" s="88" t="str">
        <f t="shared" si="1"/>
        <v/>
      </c>
      <c r="F162" s="91" t="str">
        <f t="shared" si="2"/>
        <v/>
      </c>
      <c r="G162" s="69"/>
      <c r="H162" s="69" t="str">
        <f t="array" ref="H162">IF(G162="","",IFERROR(INDEX('Material Master'!$B$2:$B$201,IFERROR(MATCH(G162,'Material Master'!$F$2:$F$201,0),MATCH(G162,'Material Master'!$A$2:$A$201,0))),""))</f>
        <v/>
      </c>
      <c r="I162" s="69" t="str">
        <f t="array" ref="I162">IF(G162="","",IFERROR(INDEX('Material Master'!$C$2:$C$201,IFERROR(MATCH(G162,'Material Master'!$F$2:$F$201,0),MATCH(G162,'Material Master'!$A$2:$A$201,0))),""))</f>
        <v/>
      </c>
      <c r="J162" s="75" t="str">
        <f>IF(E162="","",SUMIFS('Stock Movement'!$F$2:$F$501,'Stock Movement'!$D$2:$D$501,E162,'Stock Movement'!$E$2:$E$501,"IN")-SUMIFS('Stock Movement'!$F$2:$F$501,'Stock Movement'!$D$2:$D$501,E162,'Stock Movement'!$E$2:$E$501,"OUT"))</f>
        <v/>
      </c>
      <c r="K162" s="77" t="str">
        <f t="array" ref="K162">IF(G162="","",IFERROR(INDEX('Material Master'!$D$2:$D$201,IFERROR(MATCH(G162,'Material Master'!$F$2:$F$201,0),MATCH(G162,'Material Master'!$A$2:$A$201,0))),""))</f>
        <v/>
      </c>
      <c r="L162" s="69"/>
      <c r="M162" s="69"/>
    </row>
    <row r="163" ht="24.0" customHeight="1">
      <c r="A163" s="82"/>
      <c r="B163" s="98"/>
      <c r="C163" s="82"/>
      <c r="D163" s="99"/>
      <c r="E163" s="82" t="str">
        <f t="shared" si="1"/>
        <v/>
      </c>
      <c r="F163" s="83" t="str">
        <f t="shared" si="2"/>
        <v/>
      </c>
      <c r="G163" s="85"/>
      <c r="H163" s="85" t="str">
        <f t="array" ref="H163">IF(G163="","",IFERROR(INDEX('Material Master'!$B$2:$B$201,IFERROR(MATCH(G163,'Material Master'!$F$2:$F$201,0),MATCH(G163,'Material Master'!$A$2:$A$201,0))),""))</f>
        <v/>
      </c>
      <c r="I163" s="85" t="str">
        <f t="array" ref="I163">IF(G163="","",IFERROR(INDEX('Material Master'!$C$2:$C$201,IFERROR(MATCH(G163,'Material Master'!$F$2:$F$201,0),MATCH(G163,'Material Master'!$A$2:$A$201,0))),""))</f>
        <v/>
      </c>
      <c r="J163" s="86" t="str">
        <f>IF(E163="","",SUMIFS('Stock Movement'!$F$2:$F$501,'Stock Movement'!$D$2:$D$501,E163,'Stock Movement'!$E$2:$E$501,"IN")-SUMIFS('Stock Movement'!$F$2:$F$501,'Stock Movement'!$D$2:$D$501,E163,'Stock Movement'!$E$2:$E$501,"OUT"))</f>
        <v/>
      </c>
      <c r="K163" s="87" t="str">
        <f t="array" ref="K163">IF(G163="","",IFERROR(INDEX('Material Master'!$D$2:$D$201,IFERROR(MATCH(G163,'Material Master'!$F$2:$F$201,0),MATCH(G163,'Material Master'!$A$2:$A$201,0))),""))</f>
        <v/>
      </c>
      <c r="L163" s="85"/>
      <c r="M163" s="85"/>
    </row>
    <row r="164" ht="24.0" customHeight="1">
      <c r="A164" s="88"/>
      <c r="B164" s="89"/>
      <c r="C164" s="88"/>
      <c r="D164" s="90"/>
      <c r="E164" s="88" t="str">
        <f t="shared" si="1"/>
        <v/>
      </c>
      <c r="F164" s="91" t="str">
        <f t="shared" si="2"/>
        <v/>
      </c>
      <c r="G164" s="69"/>
      <c r="H164" s="69" t="str">
        <f t="array" ref="H164">IF(G164="","",IFERROR(INDEX('Material Master'!$B$2:$B$201,IFERROR(MATCH(G164,'Material Master'!$F$2:$F$201,0),MATCH(G164,'Material Master'!$A$2:$A$201,0))),""))</f>
        <v/>
      </c>
      <c r="I164" s="69" t="str">
        <f t="array" ref="I164">IF(G164="","",IFERROR(INDEX('Material Master'!$C$2:$C$201,IFERROR(MATCH(G164,'Material Master'!$F$2:$F$201,0),MATCH(G164,'Material Master'!$A$2:$A$201,0))),""))</f>
        <v/>
      </c>
      <c r="J164" s="75" t="str">
        <f>IF(E164="","",SUMIFS('Stock Movement'!$F$2:$F$501,'Stock Movement'!$D$2:$D$501,E164,'Stock Movement'!$E$2:$E$501,"IN")-SUMIFS('Stock Movement'!$F$2:$F$501,'Stock Movement'!$D$2:$D$501,E164,'Stock Movement'!$E$2:$E$501,"OUT"))</f>
        <v/>
      </c>
      <c r="K164" s="77" t="str">
        <f t="array" ref="K164">IF(G164="","",IFERROR(INDEX('Material Master'!$D$2:$D$201,IFERROR(MATCH(G164,'Material Master'!$F$2:$F$201,0),MATCH(G164,'Material Master'!$A$2:$A$201,0))),""))</f>
        <v/>
      </c>
      <c r="L164" s="69"/>
      <c r="M164" s="69"/>
    </row>
    <row r="165" ht="24.0" customHeight="1">
      <c r="A165" s="82"/>
      <c r="B165" s="98"/>
      <c r="C165" s="82"/>
      <c r="D165" s="99"/>
      <c r="E165" s="82" t="str">
        <f t="shared" si="1"/>
        <v/>
      </c>
      <c r="F165" s="83" t="str">
        <f t="shared" si="2"/>
        <v/>
      </c>
      <c r="G165" s="85"/>
      <c r="H165" s="85" t="str">
        <f t="array" ref="H165">IF(G165="","",IFERROR(INDEX('Material Master'!$B$2:$B$201,IFERROR(MATCH(G165,'Material Master'!$F$2:$F$201,0),MATCH(G165,'Material Master'!$A$2:$A$201,0))),""))</f>
        <v/>
      </c>
      <c r="I165" s="85" t="str">
        <f t="array" ref="I165">IF(G165="","",IFERROR(INDEX('Material Master'!$C$2:$C$201,IFERROR(MATCH(G165,'Material Master'!$F$2:$F$201,0),MATCH(G165,'Material Master'!$A$2:$A$201,0))),""))</f>
        <v/>
      </c>
      <c r="J165" s="86" t="str">
        <f>IF(E165="","",SUMIFS('Stock Movement'!$F$2:$F$501,'Stock Movement'!$D$2:$D$501,E165,'Stock Movement'!$E$2:$E$501,"IN")-SUMIFS('Stock Movement'!$F$2:$F$501,'Stock Movement'!$D$2:$D$501,E165,'Stock Movement'!$E$2:$E$501,"OUT"))</f>
        <v/>
      </c>
      <c r="K165" s="87" t="str">
        <f t="array" ref="K165">IF(G165="","",IFERROR(INDEX('Material Master'!$D$2:$D$201,IFERROR(MATCH(G165,'Material Master'!$F$2:$F$201,0),MATCH(G165,'Material Master'!$A$2:$A$201,0))),""))</f>
        <v/>
      </c>
      <c r="L165" s="85"/>
      <c r="M165" s="85"/>
    </row>
    <row r="166" ht="24.0" customHeight="1">
      <c r="A166" s="88"/>
      <c r="B166" s="89"/>
      <c r="C166" s="88"/>
      <c r="D166" s="90"/>
      <c r="E166" s="88" t="str">
        <f t="shared" si="1"/>
        <v/>
      </c>
      <c r="F166" s="91" t="str">
        <f t="shared" si="2"/>
        <v/>
      </c>
      <c r="G166" s="69"/>
      <c r="H166" s="69" t="str">
        <f t="array" ref="H166">IF(G166="","",IFERROR(INDEX('Material Master'!$B$2:$B$201,IFERROR(MATCH(G166,'Material Master'!$F$2:$F$201,0),MATCH(G166,'Material Master'!$A$2:$A$201,0))),""))</f>
        <v/>
      </c>
      <c r="I166" s="69" t="str">
        <f t="array" ref="I166">IF(G166="","",IFERROR(INDEX('Material Master'!$C$2:$C$201,IFERROR(MATCH(G166,'Material Master'!$F$2:$F$201,0),MATCH(G166,'Material Master'!$A$2:$A$201,0))),""))</f>
        <v/>
      </c>
      <c r="J166" s="75" t="str">
        <f>IF(E166="","",SUMIFS('Stock Movement'!$F$2:$F$501,'Stock Movement'!$D$2:$D$501,E166,'Stock Movement'!$E$2:$E$501,"IN")-SUMIFS('Stock Movement'!$F$2:$F$501,'Stock Movement'!$D$2:$D$501,E166,'Stock Movement'!$E$2:$E$501,"OUT"))</f>
        <v/>
      </c>
      <c r="K166" s="77" t="str">
        <f t="array" ref="K166">IF(G166="","",IFERROR(INDEX('Material Master'!$D$2:$D$201,IFERROR(MATCH(G166,'Material Master'!$F$2:$F$201,0),MATCH(G166,'Material Master'!$A$2:$A$201,0))),""))</f>
        <v/>
      </c>
      <c r="L166" s="69"/>
      <c r="M166" s="69"/>
    </row>
    <row r="167" ht="24.0" customHeight="1">
      <c r="A167" s="82"/>
      <c r="B167" s="98"/>
      <c r="C167" s="82"/>
      <c r="D167" s="99"/>
      <c r="E167" s="82" t="str">
        <f t="shared" si="1"/>
        <v/>
      </c>
      <c r="F167" s="83" t="str">
        <f t="shared" si="2"/>
        <v/>
      </c>
      <c r="G167" s="85"/>
      <c r="H167" s="85" t="str">
        <f t="array" ref="H167">IF(G167="","",IFERROR(INDEX('Material Master'!$B$2:$B$201,IFERROR(MATCH(G167,'Material Master'!$F$2:$F$201,0),MATCH(G167,'Material Master'!$A$2:$A$201,0))),""))</f>
        <v/>
      </c>
      <c r="I167" s="85" t="str">
        <f t="array" ref="I167">IF(G167="","",IFERROR(INDEX('Material Master'!$C$2:$C$201,IFERROR(MATCH(G167,'Material Master'!$F$2:$F$201,0),MATCH(G167,'Material Master'!$A$2:$A$201,0))),""))</f>
        <v/>
      </c>
      <c r="J167" s="86" t="str">
        <f>IF(E167="","",SUMIFS('Stock Movement'!$F$2:$F$501,'Stock Movement'!$D$2:$D$501,E167,'Stock Movement'!$E$2:$E$501,"IN")-SUMIFS('Stock Movement'!$F$2:$F$501,'Stock Movement'!$D$2:$D$501,E167,'Stock Movement'!$E$2:$E$501,"OUT"))</f>
        <v/>
      </c>
      <c r="K167" s="87" t="str">
        <f t="array" ref="K167">IF(G167="","",IFERROR(INDEX('Material Master'!$D$2:$D$201,IFERROR(MATCH(G167,'Material Master'!$F$2:$F$201,0),MATCH(G167,'Material Master'!$A$2:$A$201,0))),""))</f>
        <v/>
      </c>
      <c r="L167" s="85"/>
      <c r="M167" s="85"/>
    </row>
    <row r="168" ht="24.0" customHeight="1">
      <c r="A168" s="88"/>
      <c r="B168" s="89"/>
      <c r="C168" s="88"/>
      <c r="D168" s="90"/>
      <c r="E168" s="88" t="str">
        <f t="shared" si="1"/>
        <v/>
      </c>
      <c r="F168" s="91" t="str">
        <f t="shared" si="2"/>
        <v/>
      </c>
      <c r="G168" s="69"/>
      <c r="H168" s="69" t="str">
        <f t="array" ref="H168">IF(G168="","",IFERROR(INDEX('Material Master'!$B$2:$B$201,IFERROR(MATCH(G168,'Material Master'!$F$2:$F$201,0),MATCH(G168,'Material Master'!$A$2:$A$201,0))),""))</f>
        <v/>
      </c>
      <c r="I168" s="69" t="str">
        <f t="array" ref="I168">IF(G168="","",IFERROR(INDEX('Material Master'!$C$2:$C$201,IFERROR(MATCH(G168,'Material Master'!$F$2:$F$201,0),MATCH(G168,'Material Master'!$A$2:$A$201,0))),""))</f>
        <v/>
      </c>
      <c r="J168" s="75" t="str">
        <f>IF(E168="","",SUMIFS('Stock Movement'!$F$2:$F$501,'Stock Movement'!$D$2:$D$501,E168,'Stock Movement'!$E$2:$E$501,"IN")-SUMIFS('Stock Movement'!$F$2:$F$501,'Stock Movement'!$D$2:$D$501,E168,'Stock Movement'!$E$2:$E$501,"OUT"))</f>
        <v/>
      </c>
      <c r="K168" s="77" t="str">
        <f t="array" ref="K168">IF(G168="","",IFERROR(INDEX('Material Master'!$D$2:$D$201,IFERROR(MATCH(G168,'Material Master'!$F$2:$F$201,0),MATCH(G168,'Material Master'!$A$2:$A$201,0))),""))</f>
        <v/>
      </c>
      <c r="L168" s="69"/>
      <c r="M168" s="69"/>
    </row>
    <row r="169" ht="24.0" customHeight="1">
      <c r="A169" s="82"/>
      <c r="B169" s="98"/>
      <c r="C169" s="82"/>
      <c r="D169" s="99"/>
      <c r="E169" s="82" t="str">
        <f t="shared" si="1"/>
        <v/>
      </c>
      <c r="F169" s="83" t="str">
        <f t="shared" si="2"/>
        <v/>
      </c>
      <c r="G169" s="85"/>
      <c r="H169" s="85" t="str">
        <f t="array" ref="H169">IF(G169="","",IFERROR(INDEX('Material Master'!$B$2:$B$201,IFERROR(MATCH(G169,'Material Master'!$F$2:$F$201,0),MATCH(G169,'Material Master'!$A$2:$A$201,0))),""))</f>
        <v/>
      </c>
      <c r="I169" s="85" t="str">
        <f t="array" ref="I169">IF(G169="","",IFERROR(INDEX('Material Master'!$C$2:$C$201,IFERROR(MATCH(G169,'Material Master'!$F$2:$F$201,0),MATCH(G169,'Material Master'!$A$2:$A$201,0))),""))</f>
        <v/>
      </c>
      <c r="J169" s="86" t="str">
        <f>IF(E169="","",SUMIFS('Stock Movement'!$F$2:$F$501,'Stock Movement'!$D$2:$D$501,E169,'Stock Movement'!$E$2:$E$501,"IN")-SUMIFS('Stock Movement'!$F$2:$F$501,'Stock Movement'!$D$2:$D$501,E169,'Stock Movement'!$E$2:$E$501,"OUT"))</f>
        <v/>
      </c>
      <c r="K169" s="87" t="str">
        <f t="array" ref="K169">IF(G169="","",IFERROR(INDEX('Material Master'!$D$2:$D$201,IFERROR(MATCH(G169,'Material Master'!$F$2:$F$201,0),MATCH(G169,'Material Master'!$A$2:$A$201,0))),""))</f>
        <v/>
      </c>
      <c r="L169" s="85"/>
      <c r="M169" s="85"/>
    </row>
    <row r="170" ht="24.0" customHeight="1">
      <c r="A170" s="88"/>
      <c r="B170" s="89"/>
      <c r="C170" s="88"/>
      <c r="D170" s="90"/>
      <c r="E170" s="88" t="str">
        <f t="shared" si="1"/>
        <v/>
      </c>
      <c r="F170" s="91" t="str">
        <f t="shared" si="2"/>
        <v/>
      </c>
      <c r="G170" s="69"/>
      <c r="H170" s="69" t="str">
        <f t="array" ref="H170">IF(G170="","",IFERROR(INDEX('Material Master'!$B$2:$B$201,IFERROR(MATCH(G170,'Material Master'!$F$2:$F$201,0),MATCH(G170,'Material Master'!$A$2:$A$201,0))),""))</f>
        <v/>
      </c>
      <c r="I170" s="69" t="str">
        <f t="array" ref="I170">IF(G170="","",IFERROR(INDEX('Material Master'!$C$2:$C$201,IFERROR(MATCH(G170,'Material Master'!$F$2:$F$201,0),MATCH(G170,'Material Master'!$A$2:$A$201,0))),""))</f>
        <v/>
      </c>
      <c r="J170" s="75" t="str">
        <f>IF(E170="","",SUMIFS('Stock Movement'!$F$2:$F$501,'Stock Movement'!$D$2:$D$501,E170,'Stock Movement'!$E$2:$E$501,"IN")-SUMIFS('Stock Movement'!$F$2:$F$501,'Stock Movement'!$D$2:$D$501,E170,'Stock Movement'!$E$2:$E$501,"OUT"))</f>
        <v/>
      </c>
      <c r="K170" s="77" t="str">
        <f t="array" ref="K170">IF(G170="","",IFERROR(INDEX('Material Master'!$D$2:$D$201,IFERROR(MATCH(G170,'Material Master'!$F$2:$F$201,0),MATCH(G170,'Material Master'!$A$2:$A$201,0))),""))</f>
        <v/>
      </c>
      <c r="L170" s="69"/>
      <c r="M170" s="69"/>
    </row>
    <row r="171" ht="24.0" customHeight="1">
      <c r="A171" s="82"/>
      <c r="B171" s="98"/>
      <c r="C171" s="82"/>
      <c r="D171" s="99"/>
      <c r="E171" s="82" t="str">
        <f t="shared" si="1"/>
        <v/>
      </c>
      <c r="F171" s="83" t="str">
        <f t="shared" si="2"/>
        <v/>
      </c>
      <c r="G171" s="85"/>
      <c r="H171" s="85" t="str">
        <f t="array" ref="H171">IF(G171="","",IFERROR(INDEX('Material Master'!$B$2:$B$201,IFERROR(MATCH(G171,'Material Master'!$F$2:$F$201,0),MATCH(G171,'Material Master'!$A$2:$A$201,0))),""))</f>
        <v/>
      </c>
      <c r="I171" s="85" t="str">
        <f t="array" ref="I171">IF(G171="","",IFERROR(INDEX('Material Master'!$C$2:$C$201,IFERROR(MATCH(G171,'Material Master'!$F$2:$F$201,0),MATCH(G171,'Material Master'!$A$2:$A$201,0))),""))</f>
        <v/>
      </c>
      <c r="J171" s="86" t="str">
        <f>IF(E171="","",SUMIFS('Stock Movement'!$F$2:$F$501,'Stock Movement'!$D$2:$D$501,E171,'Stock Movement'!$E$2:$E$501,"IN")-SUMIFS('Stock Movement'!$F$2:$F$501,'Stock Movement'!$D$2:$D$501,E171,'Stock Movement'!$E$2:$E$501,"OUT"))</f>
        <v/>
      </c>
      <c r="K171" s="87" t="str">
        <f t="array" ref="K171">IF(G171="","",IFERROR(INDEX('Material Master'!$D$2:$D$201,IFERROR(MATCH(G171,'Material Master'!$F$2:$F$201,0),MATCH(G171,'Material Master'!$A$2:$A$201,0))),""))</f>
        <v/>
      </c>
      <c r="L171" s="85"/>
      <c r="M171" s="85"/>
    </row>
    <row r="172" ht="24.0" customHeight="1">
      <c r="A172" s="88"/>
      <c r="B172" s="89"/>
      <c r="C172" s="88"/>
      <c r="D172" s="90"/>
      <c r="E172" s="88" t="str">
        <f t="shared" si="1"/>
        <v/>
      </c>
      <c r="F172" s="91" t="str">
        <f t="shared" si="2"/>
        <v/>
      </c>
      <c r="G172" s="69"/>
      <c r="H172" s="69" t="str">
        <f t="array" ref="H172">IF(G172="","",IFERROR(INDEX('Material Master'!$B$2:$B$201,IFERROR(MATCH(G172,'Material Master'!$F$2:$F$201,0),MATCH(G172,'Material Master'!$A$2:$A$201,0))),""))</f>
        <v/>
      </c>
      <c r="I172" s="69" t="str">
        <f t="array" ref="I172">IF(G172="","",IFERROR(INDEX('Material Master'!$C$2:$C$201,IFERROR(MATCH(G172,'Material Master'!$F$2:$F$201,0),MATCH(G172,'Material Master'!$A$2:$A$201,0))),""))</f>
        <v/>
      </c>
      <c r="J172" s="75" t="str">
        <f>IF(E172="","",SUMIFS('Stock Movement'!$F$2:$F$501,'Stock Movement'!$D$2:$D$501,E172,'Stock Movement'!$E$2:$E$501,"IN")-SUMIFS('Stock Movement'!$F$2:$F$501,'Stock Movement'!$D$2:$D$501,E172,'Stock Movement'!$E$2:$E$501,"OUT"))</f>
        <v/>
      </c>
      <c r="K172" s="77" t="str">
        <f t="array" ref="K172">IF(G172="","",IFERROR(INDEX('Material Master'!$D$2:$D$201,IFERROR(MATCH(G172,'Material Master'!$F$2:$F$201,0),MATCH(G172,'Material Master'!$A$2:$A$201,0))),""))</f>
        <v/>
      </c>
      <c r="L172" s="69"/>
      <c r="M172" s="69"/>
    </row>
    <row r="173" ht="24.0" customHeight="1">
      <c r="A173" s="82"/>
      <c r="B173" s="98"/>
      <c r="C173" s="82"/>
      <c r="D173" s="99"/>
      <c r="E173" s="82" t="str">
        <f t="shared" si="1"/>
        <v/>
      </c>
      <c r="F173" s="83" t="str">
        <f t="shared" si="2"/>
        <v/>
      </c>
      <c r="G173" s="85"/>
      <c r="H173" s="85" t="str">
        <f t="array" ref="H173">IF(G173="","",IFERROR(INDEX('Material Master'!$B$2:$B$201,IFERROR(MATCH(G173,'Material Master'!$F$2:$F$201,0),MATCH(G173,'Material Master'!$A$2:$A$201,0))),""))</f>
        <v/>
      </c>
      <c r="I173" s="85" t="str">
        <f t="array" ref="I173">IF(G173="","",IFERROR(INDEX('Material Master'!$C$2:$C$201,IFERROR(MATCH(G173,'Material Master'!$F$2:$F$201,0),MATCH(G173,'Material Master'!$A$2:$A$201,0))),""))</f>
        <v/>
      </c>
      <c r="J173" s="86" t="str">
        <f>IF(E173="","",SUMIFS('Stock Movement'!$F$2:$F$501,'Stock Movement'!$D$2:$D$501,E173,'Stock Movement'!$E$2:$E$501,"IN")-SUMIFS('Stock Movement'!$F$2:$F$501,'Stock Movement'!$D$2:$D$501,E173,'Stock Movement'!$E$2:$E$501,"OUT"))</f>
        <v/>
      </c>
      <c r="K173" s="87" t="str">
        <f t="array" ref="K173">IF(G173="","",IFERROR(INDEX('Material Master'!$D$2:$D$201,IFERROR(MATCH(G173,'Material Master'!$F$2:$F$201,0),MATCH(G173,'Material Master'!$A$2:$A$201,0))),""))</f>
        <v/>
      </c>
      <c r="L173" s="85"/>
      <c r="M173" s="85"/>
    </row>
    <row r="174" ht="24.0" customHeight="1">
      <c r="A174" s="88"/>
      <c r="B174" s="89"/>
      <c r="C174" s="88"/>
      <c r="D174" s="90"/>
      <c r="E174" s="88" t="str">
        <f t="shared" si="1"/>
        <v/>
      </c>
      <c r="F174" s="91" t="str">
        <f t="shared" si="2"/>
        <v/>
      </c>
      <c r="G174" s="69"/>
      <c r="H174" s="69" t="str">
        <f t="array" ref="H174">IF(G174="","",IFERROR(INDEX('Material Master'!$B$2:$B$201,IFERROR(MATCH(G174,'Material Master'!$F$2:$F$201,0),MATCH(G174,'Material Master'!$A$2:$A$201,0))),""))</f>
        <v/>
      </c>
      <c r="I174" s="69" t="str">
        <f t="array" ref="I174">IF(G174="","",IFERROR(INDEX('Material Master'!$C$2:$C$201,IFERROR(MATCH(G174,'Material Master'!$F$2:$F$201,0),MATCH(G174,'Material Master'!$A$2:$A$201,0))),""))</f>
        <v/>
      </c>
      <c r="J174" s="75" t="str">
        <f>IF(E174="","",SUMIFS('Stock Movement'!$F$2:$F$501,'Stock Movement'!$D$2:$D$501,E174,'Stock Movement'!$E$2:$E$501,"IN")-SUMIFS('Stock Movement'!$F$2:$F$501,'Stock Movement'!$D$2:$D$501,E174,'Stock Movement'!$E$2:$E$501,"OUT"))</f>
        <v/>
      </c>
      <c r="K174" s="77" t="str">
        <f t="array" ref="K174">IF(G174="","",IFERROR(INDEX('Material Master'!$D$2:$D$201,IFERROR(MATCH(G174,'Material Master'!$F$2:$F$201,0),MATCH(G174,'Material Master'!$A$2:$A$201,0))),""))</f>
        <v/>
      </c>
      <c r="L174" s="69"/>
      <c r="M174" s="69"/>
    </row>
    <row r="175" ht="24.0" customHeight="1">
      <c r="A175" s="82"/>
      <c r="B175" s="98"/>
      <c r="C175" s="82"/>
      <c r="D175" s="99"/>
      <c r="E175" s="82" t="str">
        <f t="shared" si="1"/>
        <v/>
      </c>
      <c r="F175" s="83" t="str">
        <f t="shared" si="2"/>
        <v/>
      </c>
      <c r="G175" s="85"/>
      <c r="H175" s="85" t="str">
        <f t="array" ref="H175">IF(G175="","",IFERROR(INDEX('Material Master'!$B$2:$B$201,IFERROR(MATCH(G175,'Material Master'!$F$2:$F$201,0),MATCH(G175,'Material Master'!$A$2:$A$201,0))),""))</f>
        <v/>
      </c>
      <c r="I175" s="85" t="str">
        <f t="array" ref="I175">IF(G175="","",IFERROR(INDEX('Material Master'!$C$2:$C$201,IFERROR(MATCH(G175,'Material Master'!$F$2:$F$201,0),MATCH(G175,'Material Master'!$A$2:$A$201,0))),""))</f>
        <v/>
      </c>
      <c r="J175" s="86" t="str">
        <f>IF(E175="","",SUMIFS('Stock Movement'!$F$2:$F$501,'Stock Movement'!$D$2:$D$501,E175,'Stock Movement'!$E$2:$E$501,"IN")-SUMIFS('Stock Movement'!$F$2:$F$501,'Stock Movement'!$D$2:$D$501,E175,'Stock Movement'!$E$2:$E$501,"OUT"))</f>
        <v/>
      </c>
      <c r="K175" s="87" t="str">
        <f t="array" ref="K175">IF(G175="","",IFERROR(INDEX('Material Master'!$D$2:$D$201,IFERROR(MATCH(G175,'Material Master'!$F$2:$F$201,0),MATCH(G175,'Material Master'!$A$2:$A$201,0))),""))</f>
        <v/>
      </c>
      <c r="L175" s="85"/>
      <c r="M175" s="85"/>
    </row>
    <row r="176" ht="24.0" customHeight="1">
      <c r="A176" s="88"/>
      <c r="B176" s="89"/>
      <c r="C176" s="88"/>
      <c r="D176" s="90"/>
      <c r="E176" s="88" t="str">
        <f t="shared" si="1"/>
        <v/>
      </c>
      <c r="F176" s="91" t="str">
        <f t="shared" si="2"/>
        <v/>
      </c>
      <c r="G176" s="69"/>
      <c r="H176" s="69" t="str">
        <f t="array" ref="H176">IF(G176="","",IFERROR(INDEX('Material Master'!$B$2:$B$201,IFERROR(MATCH(G176,'Material Master'!$F$2:$F$201,0),MATCH(G176,'Material Master'!$A$2:$A$201,0))),""))</f>
        <v/>
      </c>
      <c r="I176" s="69" t="str">
        <f t="array" ref="I176">IF(G176="","",IFERROR(INDEX('Material Master'!$C$2:$C$201,IFERROR(MATCH(G176,'Material Master'!$F$2:$F$201,0),MATCH(G176,'Material Master'!$A$2:$A$201,0))),""))</f>
        <v/>
      </c>
      <c r="J176" s="75" t="str">
        <f>IF(E176="","",SUMIFS('Stock Movement'!$F$2:$F$501,'Stock Movement'!$D$2:$D$501,E176,'Stock Movement'!$E$2:$E$501,"IN")-SUMIFS('Stock Movement'!$F$2:$F$501,'Stock Movement'!$D$2:$D$501,E176,'Stock Movement'!$E$2:$E$501,"OUT"))</f>
        <v/>
      </c>
      <c r="K176" s="77" t="str">
        <f t="array" ref="K176">IF(G176="","",IFERROR(INDEX('Material Master'!$D$2:$D$201,IFERROR(MATCH(G176,'Material Master'!$F$2:$F$201,0),MATCH(G176,'Material Master'!$A$2:$A$201,0))),""))</f>
        <v/>
      </c>
      <c r="L176" s="69"/>
      <c r="M176" s="69"/>
    </row>
    <row r="177" ht="24.0" customHeight="1">
      <c r="A177" s="82"/>
      <c r="B177" s="98"/>
      <c r="C177" s="82"/>
      <c r="D177" s="99"/>
      <c r="E177" s="82" t="str">
        <f t="shared" si="1"/>
        <v/>
      </c>
      <c r="F177" s="83" t="str">
        <f t="shared" si="2"/>
        <v/>
      </c>
      <c r="G177" s="85"/>
      <c r="H177" s="85" t="str">
        <f t="array" ref="H177">IF(G177="","",IFERROR(INDEX('Material Master'!$B$2:$B$201,IFERROR(MATCH(G177,'Material Master'!$F$2:$F$201,0),MATCH(G177,'Material Master'!$A$2:$A$201,0))),""))</f>
        <v/>
      </c>
      <c r="I177" s="85" t="str">
        <f t="array" ref="I177">IF(G177="","",IFERROR(INDEX('Material Master'!$C$2:$C$201,IFERROR(MATCH(G177,'Material Master'!$F$2:$F$201,0),MATCH(G177,'Material Master'!$A$2:$A$201,0))),""))</f>
        <v/>
      </c>
      <c r="J177" s="86" t="str">
        <f>IF(E177="","",SUMIFS('Stock Movement'!$F$2:$F$501,'Stock Movement'!$D$2:$D$501,E177,'Stock Movement'!$E$2:$E$501,"IN")-SUMIFS('Stock Movement'!$F$2:$F$501,'Stock Movement'!$D$2:$D$501,E177,'Stock Movement'!$E$2:$E$501,"OUT"))</f>
        <v/>
      </c>
      <c r="K177" s="87" t="str">
        <f t="array" ref="K177">IF(G177="","",IFERROR(INDEX('Material Master'!$D$2:$D$201,IFERROR(MATCH(G177,'Material Master'!$F$2:$F$201,0),MATCH(G177,'Material Master'!$A$2:$A$201,0))),""))</f>
        <v/>
      </c>
      <c r="L177" s="85"/>
      <c r="M177" s="85"/>
    </row>
    <row r="178" ht="24.0" customHeight="1">
      <c r="A178" s="88"/>
      <c r="B178" s="89"/>
      <c r="C178" s="88"/>
      <c r="D178" s="90"/>
      <c r="E178" s="88" t="str">
        <f t="shared" si="1"/>
        <v/>
      </c>
      <c r="F178" s="91" t="str">
        <f t="shared" si="2"/>
        <v/>
      </c>
      <c r="G178" s="69"/>
      <c r="H178" s="69" t="str">
        <f t="array" ref="H178">IF(G178="","",IFERROR(INDEX('Material Master'!$B$2:$B$201,IFERROR(MATCH(G178,'Material Master'!$F$2:$F$201,0),MATCH(G178,'Material Master'!$A$2:$A$201,0))),""))</f>
        <v/>
      </c>
      <c r="I178" s="69" t="str">
        <f t="array" ref="I178">IF(G178="","",IFERROR(INDEX('Material Master'!$C$2:$C$201,IFERROR(MATCH(G178,'Material Master'!$F$2:$F$201,0),MATCH(G178,'Material Master'!$A$2:$A$201,0))),""))</f>
        <v/>
      </c>
      <c r="J178" s="75" t="str">
        <f>IF(E178="","",SUMIFS('Stock Movement'!$F$2:$F$501,'Stock Movement'!$D$2:$D$501,E178,'Stock Movement'!$E$2:$E$501,"IN")-SUMIFS('Stock Movement'!$F$2:$F$501,'Stock Movement'!$D$2:$D$501,E178,'Stock Movement'!$E$2:$E$501,"OUT"))</f>
        <v/>
      </c>
      <c r="K178" s="77" t="str">
        <f t="array" ref="K178">IF(G178="","",IFERROR(INDEX('Material Master'!$D$2:$D$201,IFERROR(MATCH(G178,'Material Master'!$F$2:$F$201,0),MATCH(G178,'Material Master'!$A$2:$A$201,0))),""))</f>
        <v/>
      </c>
      <c r="L178" s="69"/>
      <c r="M178" s="69"/>
    </row>
    <row r="179" ht="24.0" customHeight="1">
      <c r="A179" s="82"/>
      <c r="B179" s="98"/>
      <c r="C179" s="82"/>
      <c r="D179" s="99"/>
      <c r="E179" s="82" t="str">
        <f t="shared" si="1"/>
        <v/>
      </c>
      <c r="F179" s="83" t="str">
        <f t="shared" si="2"/>
        <v/>
      </c>
      <c r="G179" s="85"/>
      <c r="H179" s="85" t="str">
        <f t="array" ref="H179">IF(G179="","",IFERROR(INDEX('Material Master'!$B$2:$B$201,IFERROR(MATCH(G179,'Material Master'!$F$2:$F$201,0),MATCH(G179,'Material Master'!$A$2:$A$201,0))),""))</f>
        <v/>
      </c>
      <c r="I179" s="85" t="str">
        <f t="array" ref="I179">IF(G179="","",IFERROR(INDEX('Material Master'!$C$2:$C$201,IFERROR(MATCH(G179,'Material Master'!$F$2:$F$201,0),MATCH(G179,'Material Master'!$A$2:$A$201,0))),""))</f>
        <v/>
      </c>
      <c r="J179" s="86" t="str">
        <f>IF(E179="","",SUMIFS('Stock Movement'!$F$2:$F$501,'Stock Movement'!$D$2:$D$501,E179,'Stock Movement'!$E$2:$E$501,"IN")-SUMIFS('Stock Movement'!$F$2:$F$501,'Stock Movement'!$D$2:$D$501,E179,'Stock Movement'!$E$2:$E$501,"OUT"))</f>
        <v/>
      </c>
      <c r="K179" s="87" t="str">
        <f t="array" ref="K179">IF(G179="","",IFERROR(INDEX('Material Master'!$D$2:$D$201,IFERROR(MATCH(G179,'Material Master'!$F$2:$F$201,0),MATCH(G179,'Material Master'!$A$2:$A$201,0))),""))</f>
        <v/>
      </c>
      <c r="L179" s="85"/>
      <c r="M179" s="85"/>
    </row>
    <row r="180" ht="24.0" customHeight="1">
      <c r="A180" s="88"/>
      <c r="B180" s="89"/>
      <c r="C180" s="88"/>
      <c r="D180" s="90"/>
      <c r="E180" s="88" t="str">
        <f t="shared" si="1"/>
        <v/>
      </c>
      <c r="F180" s="91" t="str">
        <f t="shared" si="2"/>
        <v/>
      </c>
      <c r="G180" s="69"/>
      <c r="H180" s="69" t="str">
        <f t="array" ref="H180">IF(G180="","",IFERROR(INDEX('Material Master'!$B$2:$B$201,IFERROR(MATCH(G180,'Material Master'!$F$2:$F$201,0),MATCH(G180,'Material Master'!$A$2:$A$201,0))),""))</f>
        <v/>
      </c>
      <c r="I180" s="69" t="str">
        <f t="array" ref="I180">IF(G180="","",IFERROR(INDEX('Material Master'!$C$2:$C$201,IFERROR(MATCH(G180,'Material Master'!$F$2:$F$201,0),MATCH(G180,'Material Master'!$A$2:$A$201,0))),""))</f>
        <v/>
      </c>
      <c r="J180" s="75" t="str">
        <f>IF(E180="","",SUMIFS('Stock Movement'!$F$2:$F$501,'Stock Movement'!$D$2:$D$501,E180,'Stock Movement'!$E$2:$E$501,"IN")-SUMIFS('Stock Movement'!$F$2:$F$501,'Stock Movement'!$D$2:$D$501,E180,'Stock Movement'!$E$2:$E$501,"OUT"))</f>
        <v/>
      </c>
      <c r="K180" s="77" t="str">
        <f t="array" ref="K180">IF(G180="","",IFERROR(INDEX('Material Master'!$D$2:$D$201,IFERROR(MATCH(G180,'Material Master'!$F$2:$F$201,0),MATCH(G180,'Material Master'!$A$2:$A$201,0))),""))</f>
        <v/>
      </c>
      <c r="L180" s="69"/>
      <c r="M180" s="69"/>
    </row>
    <row r="181" ht="24.0" customHeight="1">
      <c r="A181" s="82"/>
      <c r="B181" s="98"/>
      <c r="C181" s="82"/>
      <c r="D181" s="99"/>
      <c r="E181" s="82" t="str">
        <f t="shared" si="1"/>
        <v/>
      </c>
      <c r="F181" s="83" t="str">
        <f t="shared" si="2"/>
        <v/>
      </c>
      <c r="G181" s="85"/>
      <c r="H181" s="85" t="str">
        <f t="array" ref="H181">IF(G181="","",IFERROR(INDEX('Material Master'!$B$2:$B$201,IFERROR(MATCH(G181,'Material Master'!$F$2:$F$201,0),MATCH(G181,'Material Master'!$A$2:$A$201,0))),""))</f>
        <v/>
      </c>
      <c r="I181" s="85" t="str">
        <f t="array" ref="I181">IF(G181="","",IFERROR(INDEX('Material Master'!$C$2:$C$201,IFERROR(MATCH(G181,'Material Master'!$F$2:$F$201,0),MATCH(G181,'Material Master'!$A$2:$A$201,0))),""))</f>
        <v/>
      </c>
      <c r="J181" s="86" t="str">
        <f>IF(E181="","",SUMIFS('Stock Movement'!$F$2:$F$501,'Stock Movement'!$D$2:$D$501,E181,'Stock Movement'!$E$2:$E$501,"IN")-SUMIFS('Stock Movement'!$F$2:$F$501,'Stock Movement'!$D$2:$D$501,E181,'Stock Movement'!$E$2:$E$501,"OUT"))</f>
        <v/>
      </c>
      <c r="K181" s="87" t="str">
        <f t="array" ref="K181">IF(G181="","",IFERROR(INDEX('Material Master'!$D$2:$D$201,IFERROR(MATCH(G181,'Material Master'!$F$2:$F$201,0),MATCH(G181,'Material Master'!$A$2:$A$201,0))),""))</f>
        <v/>
      </c>
      <c r="L181" s="85"/>
      <c r="M181" s="85"/>
    </row>
    <row r="182" ht="24.0" customHeight="1">
      <c r="A182" s="88"/>
      <c r="B182" s="89"/>
      <c r="C182" s="88"/>
      <c r="D182" s="90"/>
      <c r="E182" s="88" t="str">
        <f t="shared" si="1"/>
        <v/>
      </c>
      <c r="F182" s="91" t="str">
        <f t="shared" si="2"/>
        <v/>
      </c>
      <c r="G182" s="69"/>
      <c r="H182" s="69" t="str">
        <f t="array" ref="H182">IF(G182="","",IFERROR(INDEX('Material Master'!$B$2:$B$201,IFERROR(MATCH(G182,'Material Master'!$F$2:$F$201,0),MATCH(G182,'Material Master'!$A$2:$A$201,0))),""))</f>
        <v/>
      </c>
      <c r="I182" s="69" t="str">
        <f t="array" ref="I182">IF(G182="","",IFERROR(INDEX('Material Master'!$C$2:$C$201,IFERROR(MATCH(G182,'Material Master'!$F$2:$F$201,0),MATCH(G182,'Material Master'!$A$2:$A$201,0))),""))</f>
        <v/>
      </c>
      <c r="J182" s="75" t="str">
        <f>IF(E182="","",SUMIFS('Stock Movement'!$F$2:$F$501,'Stock Movement'!$D$2:$D$501,E182,'Stock Movement'!$E$2:$E$501,"IN")-SUMIFS('Stock Movement'!$F$2:$F$501,'Stock Movement'!$D$2:$D$501,E182,'Stock Movement'!$E$2:$E$501,"OUT"))</f>
        <v/>
      </c>
      <c r="K182" s="77" t="str">
        <f t="array" ref="K182">IF(G182="","",IFERROR(INDEX('Material Master'!$D$2:$D$201,IFERROR(MATCH(G182,'Material Master'!$F$2:$F$201,0),MATCH(G182,'Material Master'!$A$2:$A$201,0))),""))</f>
        <v/>
      </c>
      <c r="L182" s="69"/>
      <c r="M182" s="69"/>
    </row>
    <row r="183" ht="24.0" customHeight="1">
      <c r="A183" s="82"/>
      <c r="B183" s="98"/>
      <c r="C183" s="82"/>
      <c r="D183" s="99"/>
      <c r="E183" s="82" t="str">
        <f t="shared" si="1"/>
        <v/>
      </c>
      <c r="F183" s="83" t="str">
        <f t="shared" si="2"/>
        <v/>
      </c>
      <c r="G183" s="85"/>
      <c r="H183" s="85" t="str">
        <f t="array" ref="H183">IF(G183="","",IFERROR(INDEX('Material Master'!$B$2:$B$201,IFERROR(MATCH(G183,'Material Master'!$F$2:$F$201,0),MATCH(G183,'Material Master'!$A$2:$A$201,0))),""))</f>
        <v/>
      </c>
      <c r="I183" s="85" t="str">
        <f t="array" ref="I183">IF(G183="","",IFERROR(INDEX('Material Master'!$C$2:$C$201,IFERROR(MATCH(G183,'Material Master'!$F$2:$F$201,0),MATCH(G183,'Material Master'!$A$2:$A$201,0))),""))</f>
        <v/>
      </c>
      <c r="J183" s="86" t="str">
        <f>IF(E183="","",SUMIFS('Stock Movement'!$F$2:$F$501,'Stock Movement'!$D$2:$D$501,E183,'Stock Movement'!$E$2:$E$501,"IN")-SUMIFS('Stock Movement'!$F$2:$F$501,'Stock Movement'!$D$2:$D$501,E183,'Stock Movement'!$E$2:$E$501,"OUT"))</f>
        <v/>
      </c>
      <c r="K183" s="87" t="str">
        <f t="array" ref="K183">IF(G183="","",IFERROR(INDEX('Material Master'!$D$2:$D$201,IFERROR(MATCH(G183,'Material Master'!$F$2:$F$201,0),MATCH(G183,'Material Master'!$A$2:$A$201,0))),""))</f>
        <v/>
      </c>
      <c r="L183" s="85"/>
      <c r="M183" s="85"/>
    </row>
    <row r="184" ht="24.0" customHeight="1">
      <c r="A184" s="88"/>
      <c r="B184" s="89"/>
      <c r="C184" s="88"/>
      <c r="D184" s="90"/>
      <c r="E184" s="88" t="str">
        <f t="shared" si="1"/>
        <v/>
      </c>
      <c r="F184" s="91" t="str">
        <f t="shared" si="2"/>
        <v/>
      </c>
      <c r="G184" s="69"/>
      <c r="H184" s="69" t="str">
        <f t="array" ref="H184">IF(G184="","",IFERROR(INDEX('Material Master'!$B$2:$B$201,IFERROR(MATCH(G184,'Material Master'!$F$2:$F$201,0),MATCH(G184,'Material Master'!$A$2:$A$201,0))),""))</f>
        <v/>
      </c>
      <c r="I184" s="69" t="str">
        <f t="array" ref="I184">IF(G184="","",IFERROR(INDEX('Material Master'!$C$2:$C$201,IFERROR(MATCH(G184,'Material Master'!$F$2:$F$201,0),MATCH(G184,'Material Master'!$A$2:$A$201,0))),""))</f>
        <v/>
      </c>
      <c r="J184" s="75" t="str">
        <f>IF(E184="","",SUMIFS('Stock Movement'!$F$2:$F$501,'Stock Movement'!$D$2:$D$501,E184,'Stock Movement'!$E$2:$E$501,"IN")-SUMIFS('Stock Movement'!$F$2:$F$501,'Stock Movement'!$D$2:$D$501,E184,'Stock Movement'!$E$2:$E$501,"OUT"))</f>
        <v/>
      </c>
      <c r="K184" s="77" t="str">
        <f t="array" ref="K184">IF(G184="","",IFERROR(INDEX('Material Master'!$D$2:$D$201,IFERROR(MATCH(G184,'Material Master'!$F$2:$F$201,0),MATCH(G184,'Material Master'!$A$2:$A$201,0))),""))</f>
        <v/>
      </c>
      <c r="L184" s="69"/>
      <c r="M184" s="69"/>
    </row>
    <row r="185" ht="24.0" customHeight="1">
      <c r="A185" s="82"/>
      <c r="B185" s="98"/>
      <c r="C185" s="82"/>
      <c r="D185" s="99"/>
      <c r="E185" s="82" t="str">
        <f t="shared" si="1"/>
        <v/>
      </c>
      <c r="F185" s="83" t="str">
        <f t="shared" si="2"/>
        <v/>
      </c>
      <c r="G185" s="85"/>
      <c r="H185" s="85" t="str">
        <f t="array" ref="H185">IF(G185="","",IFERROR(INDEX('Material Master'!$B$2:$B$201,IFERROR(MATCH(G185,'Material Master'!$F$2:$F$201,0),MATCH(G185,'Material Master'!$A$2:$A$201,0))),""))</f>
        <v/>
      </c>
      <c r="I185" s="85" t="str">
        <f t="array" ref="I185">IF(G185="","",IFERROR(INDEX('Material Master'!$C$2:$C$201,IFERROR(MATCH(G185,'Material Master'!$F$2:$F$201,0),MATCH(G185,'Material Master'!$A$2:$A$201,0))),""))</f>
        <v/>
      </c>
      <c r="J185" s="86" t="str">
        <f>IF(E185="","",SUMIFS('Stock Movement'!$F$2:$F$501,'Stock Movement'!$D$2:$D$501,E185,'Stock Movement'!$E$2:$E$501,"IN")-SUMIFS('Stock Movement'!$F$2:$F$501,'Stock Movement'!$D$2:$D$501,E185,'Stock Movement'!$E$2:$E$501,"OUT"))</f>
        <v/>
      </c>
      <c r="K185" s="87" t="str">
        <f t="array" ref="K185">IF(G185="","",IFERROR(INDEX('Material Master'!$D$2:$D$201,IFERROR(MATCH(G185,'Material Master'!$F$2:$F$201,0),MATCH(G185,'Material Master'!$A$2:$A$201,0))),""))</f>
        <v/>
      </c>
      <c r="L185" s="85"/>
      <c r="M185" s="85"/>
    </row>
    <row r="186" ht="24.0" customHeight="1">
      <c r="A186" s="88"/>
      <c r="B186" s="89"/>
      <c r="C186" s="88"/>
      <c r="D186" s="90"/>
      <c r="E186" s="88" t="str">
        <f t="shared" si="1"/>
        <v/>
      </c>
      <c r="F186" s="91" t="str">
        <f t="shared" si="2"/>
        <v/>
      </c>
      <c r="G186" s="69"/>
      <c r="H186" s="69" t="str">
        <f t="array" ref="H186">IF(G186="","",IFERROR(INDEX('Material Master'!$B$2:$B$201,IFERROR(MATCH(G186,'Material Master'!$F$2:$F$201,0),MATCH(G186,'Material Master'!$A$2:$A$201,0))),""))</f>
        <v/>
      </c>
      <c r="I186" s="69" t="str">
        <f t="array" ref="I186">IF(G186="","",IFERROR(INDEX('Material Master'!$C$2:$C$201,IFERROR(MATCH(G186,'Material Master'!$F$2:$F$201,0),MATCH(G186,'Material Master'!$A$2:$A$201,0))),""))</f>
        <v/>
      </c>
      <c r="J186" s="75" t="str">
        <f>IF(E186="","",SUMIFS('Stock Movement'!$F$2:$F$501,'Stock Movement'!$D$2:$D$501,E186,'Stock Movement'!$E$2:$E$501,"IN")-SUMIFS('Stock Movement'!$F$2:$F$501,'Stock Movement'!$D$2:$D$501,E186,'Stock Movement'!$E$2:$E$501,"OUT"))</f>
        <v/>
      </c>
      <c r="K186" s="77" t="str">
        <f t="array" ref="K186">IF(G186="","",IFERROR(INDEX('Material Master'!$D$2:$D$201,IFERROR(MATCH(G186,'Material Master'!$F$2:$F$201,0),MATCH(G186,'Material Master'!$A$2:$A$201,0))),""))</f>
        <v/>
      </c>
      <c r="L186" s="69"/>
      <c r="M186" s="69"/>
    </row>
    <row r="187" ht="24.0" customHeight="1">
      <c r="A187" s="82"/>
      <c r="B187" s="98"/>
      <c r="C187" s="82"/>
      <c r="D187" s="99"/>
      <c r="E187" s="82" t="str">
        <f t="shared" si="1"/>
        <v/>
      </c>
      <c r="F187" s="83" t="str">
        <f t="shared" si="2"/>
        <v/>
      </c>
      <c r="G187" s="85"/>
      <c r="H187" s="85" t="str">
        <f t="array" ref="H187">IF(G187="","",IFERROR(INDEX('Material Master'!$B$2:$B$201,IFERROR(MATCH(G187,'Material Master'!$F$2:$F$201,0),MATCH(G187,'Material Master'!$A$2:$A$201,0))),""))</f>
        <v/>
      </c>
      <c r="I187" s="85" t="str">
        <f t="array" ref="I187">IF(G187="","",IFERROR(INDEX('Material Master'!$C$2:$C$201,IFERROR(MATCH(G187,'Material Master'!$F$2:$F$201,0),MATCH(G187,'Material Master'!$A$2:$A$201,0))),""))</f>
        <v/>
      </c>
      <c r="J187" s="86" t="str">
        <f>IF(E187="","",SUMIFS('Stock Movement'!$F$2:$F$501,'Stock Movement'!$D$2:$D$501,E187,'Stock Movement'!$E$2:$E$501,"IN")-SUMIFS('Stock Movement'!$F$2:$F$501,'Stock Movement'!$D$2:$D$501,E187,'Stock Movement'!$E$2:$E$501,"OUT"))</f>
        <v/>
      </c>
      <c r="K187" s="87" t="str">
        <f t="array" ref="K187">IF(G187="","",IFERROR(INDEX('Material Master'!$D$2:$D$201,IFERROR(MATCH(G187,'Material Master'!$F$2:$F$201,0),MATCH(G187,'Material Master'!$A$2:$A$201,0))),""))</f>
        <v/>
      </c>
      <c r="L187" s="85"/>
      <c r="M187" s="85"/>
    </row>
    <row r="188" ht="24.0" customHeight="1">
      <c r="A188" s="88"/>
      <c r="B188" s="89"/>
      <c r="C188" s="88"/>
      <c r="D188" s="90"/>
      <c r="E188" s="88" t="str">
        <f t="shared" si="1"/>
        <v/>
      </c>
      <c r="F188" s="91" t="str">
        <f t="shared" si="2"/>
        <v/>
      </c>
      <c r="G188" s="69"/>
      <c r="H188" s="69" t="str">
        <f t="array" ref="H188">IF(G188="","",IFERROR(INDEX('Material Master'!$B$2:$B$201,IFERROR(MATCH(G188,'Material Master'!$F$2:$F$201,0),MATCH(G188,'Material Master'!$A$2:$A$201,0))),""))</f>
        <v/>
      </c>
      <c r="I188" s="69" t="str">
        <f t="array" ref="I188">IF(G188="","",IFERROR(INDEX('Material Master'!$C$2:$C$201,IFERROR(MATCH(G188,'Material Master'!$F$2:$F$201,0),MATCH(G188,'Material Master'!$A$2:$A$201,0))),""))</f>
        <v/>
      </c>
      <c r="J188" s="75" t="str">
        <f>IF(E188="","",SUMIFS('Stock Movement'!$F$2:$F$501,'Stock Movement'!$D$2:$D$501,E188,'Stock Movement'!$E$2:$E$501,"IN")-SUMIFS('Stock Movement'!$F$2:$F$501,'Stock Movement'!$D$2:$D$501,E188,'Stock Movement'!$E$2:$E$501,"OUT"))</f>
        <v/>
      </c>
      <c r="K188" s="77" t="str">
        <f t="array" ref="K188">IF(G188="","",IFERROR(INDEX('Material Master'!$D$2:$D$201,IFERROR(MATCH(G188,'Material Master'!$F$2:$F$201,0),MATCH(G188,'Material Master'!$A$2:$A$201,0))),""))</f>
        <v/>
      </c>
      <c r="L188" s="69"/>
      <c r="M188" s="69"/>
    </row>
    <row r="189" ht="24.0" customHeight="1">
      <c r="A189" s="82"/>
      <c r="B189" s="98"/>
      <c r="C189" s="82"/>
      <c r="D189" s="99"/>
      <c r="E189" s="82" t="str">
        <f t="shared" si="1"/>
        <v/>
      </c>
      <c r="F189" s="83" t="str">
        <f t="shared" si="2"/>
        <v/>
      </c>
      <c r="G189" s="85"/>
      <c r="H189" s="85" t="str">
        <f t="array" ref="H189">IF(G189="","",IFERROR(INDEX('Material Master'!$B$2:$B$201,IFERROR(MATCH(G189,'Material Master'!$F$2:$F$201,0),MATCH(G189,'Material Master'!$A$2:$A$201,0))),""))</f>
        <v/>
      </c>
      <c r="I189" s="85" t="str">
        <f t="array" ref="I189">IF(G189="","",IFERROR(INDEX('Material Master'!$C$2:$C$201,IFERROR(MATCH(G189,'Material Master'!$F$2:$F$201,0),MATCH(G189,'Material Master'!$A$2:$A$201,0))),""))</f>
        <v/>
      </c>
      <c r="J189" s="86" t="str">
        <f>IF(E189="","",SUMIFS('Stock Movement'!$F$2:$F$501,'Stock Movement'!$D$2:$D$501,E189,'Stock Movement'!$E$2:$E$501,"IN")-SUMIFS('Stock Movement'!$F$2:$F$501,'Stock Movement'!$D$2:$D$501,E189,'Stock Movement'!$E$2:$E$501,"OUT"))</f>
        <v/>
      </c>
      <c r="K189" s="87" t="str">
        <f t="array" ref="K189">IF(G189="","",IFERROR(INDEX('Material Master'!$D$2:$D$201,IFERROR(MATCH(G189,'Material Master'!$F$2:$F$201,0),MATCH(G189,'Material Master'!$A$2:$A$201,0))),""))</f>
        <v/>
      </c>
      <c r="L189" s="85"/>
      <c r="M189" s="85"/>
    </row>
    <row r="190" ht="24.0" customHeight="1">
      <c r="A190" s="88"/>
      <c r="B190" s="89"/>
      <c r="C190" s="88"/>
      <c r="D190" s="90"/>
      <c r="E190" s="88" t="str">
        <f t="shared" si="1"/>
        <v/>
      </c>
      <c r="F190" s="91" t="str">
        <f t="shared" si="2"/>
        <v/>
      </c>
      <c r="G190" s="69"/>
      <c r="H190" s="69" t="str">
        <f t="array" ref="H190">IF(G190="","",IFERROR(INDEX('Material Master'!$B$2:$B$201,IFERROR(MATCH(G190,'Material Master'!$F$2:$F$201,0),MATCH(G190,'Material Master'!$A$2:$A$201,0))),""))</f>
        <v/>
      </c>
      <c r="I190" s="69" t="str">
        <f t="array" ref="I190">IF(G190="","",IFERROR(INDEX('Material Master'!$C$2:$C$201,IFERROR(MATCH(G190,'Material Master'!$F$2:$F$201,0),MATCH(G190,'Material Master'!$A$2:$A$201,0))),""))</f>
        <v/>
      </c>
      <c r="J190" s="75" t="str">
        <f>IF(E190="","",SUMIFS('Stock Movement'!$F$2:$F$501,'Stock Movement'!$D$2:$D$501,E190,'Stock Movement'!$E$2:$E$501,"IN")-SUMIFS('Stock Movement'!$F$2:$F$501,'Stock Movement'!$D$2:$D$501,E190,'Stock Movement'!$E$2:$E$501,"OUT"))</f>
        <v/>
      </c>
      <c r="K190" s="77" t="str">
        <f t="array" ref="K190">IF(G190="","",IFERROR(INDEX('Material Master'!$D$2:$D$201,IFERROR(MATCH(G190,'Material Master'!$F$2:$F$201,0),MATCH(G190,'Material Master'!$A$2:$A$201,0))),""))</f>
        <v/>
      </c>
      <c r="L190" s="69"/>
      <c r="M190" s="69"/>
    </row>
    <row r="191" ht="24.0" customHeight="1">
      <c r="A191" s="82"/>
      <c r="B191" s="98"/>
      <c r="C191" s="82"/>
      <c r="D191" s="99"/>
      <c r="E191" s="82" t="str">
        <f t="shared" si="1"/>
        <v/>
      </c>
      <c r="F191" s="83" t="str">
        <f t="shared" si="2"/>
        <v/>
      </c>
      <c r="G191" s="85"/>
      <c r="H191" s="85" t="str">
        <f t="array" ref="H191">IF(G191="","",IFERROR(INDEX('Material Master'!$B$2:$B$201,IFERROR(MATCH(G191,'Material Master'!$F$2:$F$201,0),MATCH(G191,'Material Master'!$A$2:$A$201,0))),""))</f>
        <v/>
      </c>
      <c r="I191" s="85" t="str">
        <f t="array" ref="I191">IF(G191="","",IFERROR(INDEX('Material Master'!$C$2:$C$201,IFERROR(MATCH(G191,'Material Master'!$F$2:$F$201,0),MATCH(G191,'Material Master'!$A$2:$A$201,0))),""))</f>
        <v/>
      </c>
      <c r="J191" s="86" t="str">
        <f>IF(E191="","",SUMIFS('Stock Movement'!$F$2:$F$501,'Stock Movement'!$D$2:$D$501,E191,'Stock Movement'!$E$2:$E$501,"IN")-SUMIFS('Stock Movement'!$F$2:$F$501,'Stock Movement'!$D$2:$D$501,E191,'Stock Movement'!$E$2:$E$501,"OUT"))</f>
        <v/>
      </c>
      <c r="K191" s="87" t="str">
        <f t="array" ref="K191">IF(G191="","",IFERROR(INDEX('Material Master'!$D$2:$D$201,IFERROR(MATCH(G191,'Material Master'!$F$2:$F$201,0),MATCH(G191,'Material Master'!$A$2:$A$201,0))),""))</f>
        <v/>
      </c>
      <c r="L191" s="85"/>
      <c r="M191" s="85"/>
    </row>
    <row r="192" ht="24.0" customHeight="1">
      <c r="A192" s="88"/>
      <c r="B192" s="89"/>
      <c r="C192" s="88"/>
      <c r="D192" s="90"/>
      <c r="E192" s="88" t="str">
        <f t="shared" si="1"/>
        <v/>
      </c>
      <c r="F192" s="91" t="str">
        <f t="shared" si="2"/>
        <v/>
      </c>
      <c r="G192" s="69"/>
      <c r="H192" s="69" t="str">
        <f t="array" ref="H192">IF(G192="","",IFERROR(INDEX('Material Master'!$B$2:$B$201,IFERROR(MATCH(G192,'Material Master'!$F$2:$F$201,0),MATCH(G192,'Material Master'!$A$2:$A$201,0))),""))</f>
        <v/>
      </c>
      <c r="I192" s="69" t="str">
        <f t="array" ref="I192">IF(G192="","",IFERROR(INDEX('Material Master'!$C$2:$C$201,IFERROR(MATCH(G192,'Material Master'!$F$2:$F$201,0),MATCH(G192,'Material Master'!$A$2:$A$201,0))),""))</f>
        <v/>
      </c>
      <c r="J192" s="75" t="str">
        <f>IF(E192="","",SUMIFS('Stock Movement'!$F$2:$F$501,'Stock Movement'!$D$2:$D$501,E192,'Stock Movement'!$E$2:$E$501,"IN")-SUMIFS('Stock Movement'!$F$2:$F$501,'Stock Movement'!$D$2:$D$501,E192,'Stock Movement'!$E$2:$E$501,"OUT"))</f>
        <v/>
      </c>
      <c r="K192" s="77" t="str">
        <f t="array" ref="K192">IF(G192="","",IFERROR(INDEX('Material Master'!$D$2:$D$201,IFERROR(MATCH(G192,'Material Master'!$F$2:$F$201,0),MATCH(G192,'Material Master'!$A$2:$A$201,0))),""))</f>
        <v/>
      </c>
      <c r="L192" s="69"/>
      <c r="M192" s="69"/>
    </row>
    <row r="193" ht="24.0" customHeight="1">
      <c r="A193" s="82"/>
      <c r="B193" s="98"/>
      <c r="C193" s="82"/>
      <c r="D193" s="99"/>
      <c r="E193" s="82" t="str">
        <f t="shared" si="1"/>
        <v/>
      </c>
      <c r="F193" s="83" t="str">
        <f t="shared" si="2"/>
        <v/>
      </c>
      <c r="G193" s="85"/>
      <c r="H193" s="85" t="str">
        <f t="array" ref="H193">IF(G193="","",IFERROR(INDEX('Material Master'!$B$2:$B$201,IFERROR(MATCH(G193,'Material Master'!$F$2:$F$201,0),MATCH(G193,'Material Master'!$A$2:$A$201,0))),""))</f>
        <v/>
      </c>
      <c r="I193" s="85" t="str">
        <f t="array" ref="I193">IF(G193="","",IFERROR(INDEX('Material Master'!$C$2:$C$201,IFERROR(MATCH(G193,'Material Master'!$F$2:$F$201,0),MATCH(G193,'Material Master'!$A$2:$A$201,0))),""))</f>
        <v/>
      </c>
      <c r="J193" s="86" t="str">
        <f>IF(E193="","",SUMIFS('Stock Movement'!$F$2:$F$501,'Stock Movement'!$D$2:$D$501,E193,'Stock Movement'!$E$2:$E$501,"IN")-SUMIFS('Stock Movement'!$F$2:$F$501,'Stock Movement'!$D$2:$D$501,E193,'Stock Movement'!$E$2:$E$501,"OUT"))</f>
        <v/>
      </c>
      <c r="K193" s="87" t="str">
        <f t="array" ref="K193">IF(G193="","",IFERROR(INDEX('Material Master'!$D$2:$D$201,IFERROR(MATCH(G193,'Material Master'!$F$2:$F$201,0),MATCH(G193,'Material Master'!$A$2:$A$201,0))),""))</f>
        <v/>
      </c>
      <c r="L193" s="85"/>
      <c r="M193" s="85"/>
    </row>
    <row r="194" ht="24.0" customHeight="1">
      <c r="A194" s="88"/>
      <c r="B194" s="89"/>
      <c r="C194" s="88"/>
      <c r="D194" s="90"/>
      <c r="E194" s="88" t="str">
        <f t="shared" si="1"/>
        <v/>
      </c>
      <c r="F194" s="91" t="str">
        <f t="shared" si="2"/>
        <v/>
      </c>
      <c r="G194" s="69"/>
      <c r="H194" s="69" t="str">
        <f t="array" ref="H194">IF(G194="","",IFERROR(INDEX('Material Master'!$B$2:$B$201,IFERROR(MATCH(G194,'Material Master'!$F$2:$F$201,0),MATCH(G194,'Material Master'!$A$2:$A$201,0))),""))</f>
        <v/>
      </c>
      <c r="I194" s="69" t="str">
        <f t="array" ref="I194">IF(G194="","",IFERROR(INDEX('Material Master'!$C$2:$C$201,IFERROR(MATCH(G194,'Material Master'!$F$2:$F$201,0),MATCH(G194,'Material Master'!$A$2:$A$201,0))),""))</f>
        <v/>
      </c>
      <c r="J194" s="75" t="str">
        <f>IF(E194="","",SUMIFS('Stock Movement'!$F$2:$F$501,'Stock Movement'!$D$2:$D$501,E194,'Stock Movement'!$E$2:$E$501,"IN")-SUMIFS('Stock Movement'!$F$2:$F$501,'Stock Movement'!$D$2:$D$501,E194,'Stock Movement'!$E$2:$E$501,"OUT"))</f>
        <v/>
      </c>
      <c r="K194" s="77" t="str">
        <f t="array" ref="K194">IF(G194="","",IFERROR(INDEX('Material Master'!$D$2:$D$201,IFERROR(MATCH(G194,'Material Master'!$F$2:$F$201,0),MATCH(G194,'Material Master'!$A$2:$A$201,0))),""))</f>
        <v/>
      </c>
      <c r="L194" s="69"/>
      <c r="M194" s="69"/>
    </row>
    <row r="195" ht="24.0" customHeight="1">
      <c r="A195" s="82"/>
      <c r="B195" s="98"/>
      <c r="C195" s="82"/>
      <c r="D195" s="99"/>
      <c r="E195" s="82" t="str">
        <f t="shared" si="1"/>
        <v/>
      </c>
      <c r="F195" s="83" t="str">
        <f t="shared" si="2"/>
        <v/>
      </c>
      <c r="G195" s="85"/>
      <c r="H195" s="85" t="str">
        <f t="array" ref="H195">IF(G195="","",IFERROR(INDEX('Material Master'!$B$2:$B$201,IFERROR(MATCH(G195,'Material Master'!$F$2:$F$201,0),MATCH(G195,'Material Master'!$A$2:$A$201,0))),""))</f>
        <v/>
      </c>
      <c r="I195" s="85" t="str">
        <f t="array" ref="I195">IF(G195="","",IFERROR(INDEX('Material Master'!$C$2:$C$201,IFERROR(MATCH(G195,'Material Master'!$F$2:$F$201,0),MATCH(G195,'Material Master'!$A$2:$A$201,0))),""))</f>
        <v/>
      </c>
      <c r="J195" s="86" t="str">
        <f>IF(E195="","",SUMIFS('Stock Movement'!$F$2:$F$501,'Stock Movement'!$D$2:$D$501,E195,'Stock Movement'!$E$2:$E$501,"IN")-SUMIFS('Stock Movement'!$F$2:$F$501,'Stock Movement'!$D$2:$D$501,E195,'Stock Movement'!$E$2:$E$501,"OUT"))</f>
        <v/>
      </c>
      <c r="K195" s="87" t="str">
        <f t="array" ref="K195">IF(G195="","",IFERROR(INDEX('Material Master'!$D$2:$D$201,IFERROR(MATCH(G195,'Material Master'!$F$2:$F$201,0),MATCH(G195,'Material Master'!$A$2:$A$201,0))),""))</f>
        <v/>
      </c>
      <c r="L195" s="85"/>
      <c r="M195" s="85"/>
    </row>
    <row r="196" ht="24.0" customHeight="1">
      <c r="A196" s="88"/>
      <c r="B196" s="89"/>
      <c r="C196" s="88"/>
      <c r="D196" s="90"/>
      <c r="E196" s="88" t="str">
        <f t="shared" si="1"/>
        <v/>
      </c>
      <c r="F196" s="91" t="str">
        <f t="shared" si="2"/>
        <v/>
      </c>
      <c r="G196" s="69"/>
      <c r="H196" s="69" t="str">
        <f t="array" ref="H196">IF(G196="","",IFERROR(INDEX('Material Master'!$B$2:$B$201,IFERROR(MATCH(G196,'Material Master'!$F$2:$F$201,0),MATCH(G196,'Material Master'!$A$2:$A$201,0))),""))</f>
        <v/>
      </c>
      <c r="I196" s="69" t="str">
        <f t="array" ref="I196">IF(G196="","",IFERROR(INDEX('Material Master'!$C$2:$C$201,IFERROR(MATCH(G196,'Material Master'!$F$2:$F$201,0),MATCH(G196,'Material Master'!$A$2:$A$201,0))),""))</f>
        <v/>
      </c>
      <c r="J196" s="75" t="str">
        <f>IF(E196="","",SUMIFS('Stock Movement'!$F$2:$F$501,'Stock Movement'!$D$2:$D$501,E196,'Stock Movement'!$E$2:$E$501,"IN")-SUMIFS('Stock Movement'!$F$2:$F$501,'Stock Movement'!$D$2:$D$501,E196,'Stock Movement'!$E$2:$E$501,"OUT"))</f>
        <v/>
      </c>
      <c r="K196" s="77" t="str">
        <f t="array" ref="K196">IF(G196="","",IFERROR(INDEX('Material Master'!$D$2:$D$201,IFERROR(MATCH(G196,'Material Master'!$F$2:$F$201,0),MATCH(G196,'Material Master'!$A$2:$A$201,0))),""))</f>
        <v/>
      </c>
      <c r="L196" s="69"/>
      <c r="M196" s="69"/>
    </row>
    <row r="197" ht="24.0" customHeight="1">
      <c r="A197" s="82"/>
      <c r="B197" s="98"/>
      <c r="C197" s="82"/>
      <c r="D197" s="99"/>
      <c r="E197" s="82" t="str">
        <f t="shared" si="1"/>
        <v/>
      </c>
      <c r="F197" s="83" t="str">
        <f t="shared" si="2"/>
        <v/>
      </c>
      <c r="G197" s="85"/>
      <c r="H197" s="85" t="str">
        <f t="array" ref="H197">IF(G197="","",IFERROR(INDEX('Material Master'!$B$2:$B$201,IFERROR(MATCH(G197,'Material Master'!$F$2:$F$201,0),MATCH(G197,'Material Master'!$A$2:$A$201,0))),""))</f>
        <v/>
      </c>
      <c r="I197" s="85" t="str">
        <f t="array" ref="I197">IF(G197="","",IFERROR(INDEX('Material Master'!$C$2:$C$201,IFERROR(MATCH(G197,'Material Master'!$F$2:$F$201,0),MATCH(G197,'Material Master'!$A$2:$A$201,0))),""))</f>
        <v/>
      </c>
      <c r="J197" s="86" t="str">
        <f>IF(E197="","",SUMIFS('Stock Movement'!$F$2:$F$501,'Stock Movement'!$D$2:$D$501,E197,'Stock Movement'!$E$2:$E$501,"IN")-SUMIFS('Stock Movement'!$F$2:$F$501,'Stock Movement'!$D$2:$D$501,E197,'Stock Movement'!$E$2:$E$501,"OUT"))</f>
        <v/>
      </c>
      <c r="K197" s="87" t="str">
        <f t="array" ref="K197">IF(G197="","",IFERROR(INDEX('Material Master'!$D$2:$D$201,IFERROR(MATCH(G197,'Material Master'!$F$2:$F$201,0),MATCH(G197,'Material Master'!$A$2:$A$201,0))),""))</f>
        <v/>
      </c>
      <c r="L197" s="85"/>
      <c r="M197" s="85"/>
    </row>
    <row r="198" ht="24.0" customHeight="1">
      <c r="A198" s="88"/>
      <c r="B198" s="89"/>
      <c r="C198" s="88"/>
      <c r="D198" s="90"/>
      <c r="E198" s="88" t="str">
        <f t="shared" si="1"/>
        <v/>
      </c>
      <c r="F198" s="91" t="str">
        <f t="shared" si="2"/>
        <v/>
      </c>
      <c r="G198" s="69"/>
      <c r="H198" s="69" t="str">
        <f t="array" ref="H198">IF(G198="","",IFERROR(INDEX('Material Master'!$B$2:$B$201,IFERROR(MATCH(G198,'Material Master'!$F$2:$F$201,0),MATCH(G198,'Material Master'!$A$2:$A$201,0))),""))</f>
        <v/>
      </c>
      <c r="I198" s="69" t="str">
        <f t="array" ref="I198">IF(G198="","",IFERROR(INDEX('Material Master'!$C$2:$C$201,IFERROR(MATCH(G198,'Material Master'!$F$2:$F$201,0),MATCH(G198,'Material Master'!$A$2:$A$201,0))),""))</f>
        <v/>
      </c>
      <c r="J198" s="75" t="str">
        <f>IF(E198="","",SUMIFS('Stock Movement'!$F$2:$F$501,'Stock Movement'!$D$2:$D$501,E198,'Stock Movement'!$E$2:$E$501,"IN")-SUMIFS('Stock Movement'!$F$2:$F$501,'Stock Movement'!$D$2:$D$501,E198,'Stock Movement'!$E$2:$E$501,"OUT"))</f>
        <v/>
      </c>
      <c r="K198" s="77" t="str">
        <f t="array" ref="K198">IF(G198="","",IFERROR(INDEX('Material Master'!$D$2:$D$201,IFERROR(MATCH(G198,'Material Master'!$F$2:$F$201,0),MATCH(G198,'Material Master'!$A$2:$A$201,0))),""))</f>
        <v/>
      </c>
      <c r="L198" s="69"/>
      <c r="M198" s="69"/>
    </row>
    <row r="199" ht="24.0" customHeight="1">
      <c r="A199" s="82"/>
      <c r="B199" s="98"/>
      <c r="C199" s="82"/>
      <c r="D199" s="99"/>
      <c r="E199" s="82" t="str">
        <f t="shared" si="1"/>
        <v/>
      </c>
      <c r="F199" s="83" t="str">
        <f t="shared" si="2"/>
        <v/>
      </c>
      <c r="G199" s="85"/>
      <c r="H199" s="85" t="str">
        <f t="array" ref="H199">IF(G199="","",IFERROR(INDEX('Material Master'!$B$2:$B$201,IFERROR(MATCH(G199,'Material Master'!$F$2:$F$201,0),MATCH(G199,'Material Master'!$A$2:$A$201,0))),""))</f>
        <v/>
      </c>
      <c r="I199" s="85" t="str">
        <f t="array" ref="I199">IF(G199="","",IFERROR(INDEX('Material Master'!$C$2:$C$201,IFERROR(MATCH(G199,'Material Master'!$F$2:$F$201,0),MATCH(G199,'Material Master'!$A$2:$A$201,0))),""))</f>
        <v/>
      </c>
      <c r="J199" s="86" t="str">
        <f>IF(E199="","",SUMIFS('Stock Movement'!$F$2:$F$501,'Stock Movement'!$D$2:$D$501,E199,'Stock Movement'!$E$2:$E$501,"IN")-SUMIFS('Stock Movement'!$F$2:$F$501,'Stock Movement'!$D$2:$D$501,E199,'Stock Movement'!$E$2:$E$501,"OUT"))</f>
        <v/>
      </c>
      <c r="K199" s="87" t="str">
        <f t="array" ref="K199">IF(G199="","",IFERROR(INDEX('Material Master'!$D$2:$D$201,IFERROR(MATCH(G199,'Material Master'!$F$2:$F$201,0),MATCH(G199,'Material Master'!$A$2:$A$201,0))),""))</f>
        <v/>
      </c>
      <c r="L199" s="85"/>
      <c r="M199" s="85"/>
    </row>
    <row r="200" ht="24.0" customHeight="1">
      <c r="A200" s="88"/>
      <c r="B200" s="89"/>
      <c r="C200" s="88"/>
      <c r="D200" s="90"/>
      <c r="E200" s="88" t="str">
        <f t="shared" si="1"/>
        <v/>
      </c>
      <c r="F200" s="91" t="str">
        <f t="shared" si="2"/>
        <v/>
      </c>
      <c r="G200" s="69"/>
      <c r="H200" s="69" t="str">
        <f t="array" ref="H200">IF(G200="","",IFERROR(INDEX('Material Master'!$B$2:$B$201,IFERROR(MATCH(G200,'Material Master'!$F$2:$F$201,0),MATCH(G200,'Material Master'!$A$2:$A$201,0))),""))</f>
        <v/>
      </c>
      <c r="I200" s="69" t="str">
        <f t="array" ref="I200">IF(G200="","",IFERROR(INDEX('Material Master'!$C$2:$C$201,IFERROR(MATCH(G200,'Material Master'!$F$2:$F$201,0),MATCH(G200,'Material Master'!$A$2:$A$201,0))),""))</f>
        <v/>
      </c>
      <c r="J200" s="75" t="str">
        <f>IF(E200="","",SUMIFS('Stock Movement'!$F$2:$F$501,'Stock Movement'!$D$2:$D$501,E200,'Stock Movement'!$E$2:$E$501,"IN")-SUMIFS('Stock Movement'!$F$2:$F$501,'Stock Movement'!$D$2:$D$501,E200,'Stock Movement'!$E$2:$E$501,"OUT"))</f>
        <v/>
      </c>
      <c r="K200" s="77" t="str">
        <f t="array" ref="K200">IF(G200="","",IFERROR(INDEX('Material Master'!$D$2:$D$201,IFERROR(MATCH(G200,'Material Master'!$F$2:$F$201,0),MATCH(G200,'Material Master'!$A$2:$A$201,0))),""))</f>
        <v/>
      </c>
      <c r="L200" s="69"/>
      <c r="M200" s="69"/>
    </row>
    <row r="201" ht="24.0" customHeight="1">
      <c r="A201" s="82"/>
      <c r="B201" s="98"/>
      <c r="C201" s="82"/>
      <c r="D201" s="99"/>
      <c r="E201" s="82" t="str">
        <f t="shared" si="1"/>
        <v/>
      </c>
      <c r="F201" s="83" t="str">
        <f t="shared" si="2"/>
        <v/>
      </c>
      <c r="G201" s="85"/>
      <c r="H201" s="85" t="str">
        <f t="array" ref="H201">IF(G201="","",IFERROR(INDEX('Material Master'!$B$2:$B$201,IFERROR(MATCH(G201,'Material Master'!$F$2:$F$201,0),MATCH(G201,'Material Master'!$A$2:$A$201,0))),""))</f>
        <v/>
      </c>
      <c r="I201" s="85" t="str">
        <f t="array" ref="I201">IF(G201="","",IFERROR(INDEX('Material Master'!$C$2:$C$201,IFERROR(MATCH(G201,'Material Master'!$F$2:$F$201,0),MATCH(G201,'Material Master'!$A$2:$A$201,0))),""))</f>
        <v/>
      </c>
      <c r="J201" s="86" t="str">
        <f>IF(E201="","",SUMIFS('Stock Movement'!$F$2:$F$501,'Stock Movement'!$D$2:$D$501,E201,'Stock Movement'!$E$2:$E$501,"IN")-SUMIFS('Stock Movement'!$F$2:$F$501,'Stock Movement'!$D$2:$D$501,E201,'Stock Movement'!$E$2:$E$501,"OUT"))</f>
        <v/>
      </c>
      <c r="K201" s="87" t="str">
        <f t="array" ref="K201">IF(G201="","",IFERROR(INDEX('Material Master'!$D$2:$D$201,IFERROR(MATCH(G201,'Material Master'!$F$2:$F$201,0),MATCH(G201,'Material Master'!$A$2:$A$201,0))),""))</f>
        <v/>
      </c>
      <c r="L201" s="85"/>
      <c r="M201" s="85"/>
    </row>
    <row r="202" ht="24.0" customHeight="1">
      <c r="A202" s="88"/>
      <c r="B202" s="89"/>
      <c r="C202" s="88"/>
      <c r="D202" s="90"/>
      <c r="E202" s="88" t="str">
        <f t="shared" si="1"/>
        <v/>
      </c>
      <c r="F202" s="91" t="str">
        <f t="shared" si="2"/>
        <v/>
      </c>
      <c r="G202" s="69"/>
      <c r="H202" s="69" t="str">
        <f t="array" ref="H202">IF(G202="","",IFERROR(INDEX('Material Master'!$B$2:$B$201,IFERROR(MATCH(G202,'Material Master'!$F$2:$F$201,0),MATCH(G202,'Material Master'!$A$2:$A$201,0))),""))</f>
        <v/>
      </c>
      <c r="I202" s="69" t="str">
        <f t="array" ref="I202">IF(G202="","",IFERROR(INDEX('Material Master'!$C$2:$C$201,IFERROR(MATCH(G202,'Material Master'!$F$2:$F$201,0),MATCH(G202,'Material Master'!$A$2:$A$201,0))),""))</f>
        <v/>
      </c>
      <c r="J202" s="75" t="str">
        <f>IF(E202="","",SUMIFS('Stock Movement'!$F$2:$F$501,'Stock Movement'!$D$2:$D$501,E202,'Stock Movement'!$E$2:$E$501,"IN")-SUMIFS('Stock Movement'!$F$2:$F$501,'Stock Movement'!$D$2:$D$501,E202,'Stock Movement'!$E$2:$E$501,"OUT"))</f>
        <v/>
      </c>
      <c r="K202" s="77" t="str">
        <f t="array" ref="K202">IF(G202="","",IFERROR(INDEX('Material Master'!$D$2:$D$201,IFERROR(MATCH(G202,'Material Master'!$F$2:$F$201,0),MATCH(G202,'Material Master'!$A$2:$A$201,0))),""))</f>
        <v/>
      </c>
      <c r="L202" s="69"/>
      <c r="M202" s="69"/>
    </row>
    <row r="203" ht="15.75" customHeight="1">
      <c r="A203" s="147"/>
      <c r="B203" s="148"/>
      <c r="C203" s="147"/>
      <c r="D203" s="149"/>
      <c r="E203" s="87" t="str">
        <f t="shared" si="1"/>
        <v/>
      </c>
      <c r="F203" s="83" t="str">
        <f t="shared" si="2"/>
        <v/>
      </c>
      <c r="G203" s="85"/>
      <c r="H203" s="85" t="str">
        <f t="array" ref="H203">IF(G203="","",IFERROR(INDEX('Material Master'!$B$2:$B$201,IFERROR(MATCH(G203,'Material Master'!$F$2:$F$201,0),MATCH(G203,'Material Master'!$A$2:$A$201,0))),""))</f>
        <v/>
      </c>
      <c r="I203" s="85" t="str">
        <f t="array" ref="I203">IF(G203="","",IFERROR(INDEX('Material Master'!$C$2:$C$201,IFERROR(MATCH(G203,'Material Master'!$F$2:$F$201,0),MATCH(G203,'Material Master'!$A$2:$A$201,0))),""))</f>
        <v/>
      </c>
      <c r="J203" s="86" t="str">
        <f>IF(E203="","",SUMIFS('Stock Movement'!$F$2:$F$501,'Stock Movement'!$D$2:$D$501,E203,'Stock Movement'!$E$2:$E$501,"IN")-SUMIFS('Stock Movement'!$F$2:$F$501,'Stock Movement'!$D$2:$D$501,E203,'Stock Movement'!$E$2:$E$501,"OUT"))</f>
        <v/>
      </c>
      <c r="K203" s="87" t="str">
        <f t="array" ref="K203">IF(G203="","",IFERROR(INDEX('Material Master'!$D$2:$D$201,IFERROR(MATCH(G203,'Material Master'!$F$2:$F$201,0),MATCH(G203,'Material Master'!$A$2:$A$201,0))),""))</f>
        <v/>
      </c>
      <c r="L203" s="85"/>
      <c r="M203" s="85"/>
    </row>
    <row r="204" ht="15.75" customHeight="1">
      <c r="A204" s="150"/>
      <c r="B204" s="151"/>
      <c r="C204" s="150"/>
      <c r="D204" s="152"/>
      <c r="E204" s="77" t="str">
        <f t="shared" si="1"/>
        <v/>
      </c>
      <c r="F204" s="91" t="str">
        <f t="shared" si="2"/>
        <v/>
      </c>
      <c r="G204" s="69"/>
      <c r="H204" s="69" t="str">
        <f t="array" ref="H204">IF(G204="","",IFERROR(INDEX('Material Master'!$B$2:$B$201,IFERROR(MATCH(G204,'Material Master'!$F$2:$F$201,0),MATCH(G204,'Material Master'!$A$2:$A$201,0))),""))</f>
        <v/>
      </c>
      <c r="I204" s="69" t="str">
        <f t="array" ref="I204">IF(G204="","",IFERROR(INDEX('Material Master'!$C$2:$C$201,IFERROR(MATCH(G204,'Material Master'!$F$2:$F$201,0),MATCH(G204,'Material Master'!$A$2:$A$201,0))),""))</f>
        <v/>
      </c>
      <c r="J204" s="75" t="str">
        <f>IF(E204="","",SUMIFS('Stock Movement'!$F$2:$F$501,'Stock Movement'!$D$2:$D$501,E204,'Stock Movement'!$E$2:$E$501,"IN")-SUMIFS('Stock Movement'!$F$2:$F$501,'Stock Movement'!$D$2:$D$501,E204,'Stock Movement'!$E$2:$E$501,"OUT"))</f>
        <v/>
      </c>
      <c r="K204" s="77" t="str">
        <f t="array" ref="K204">IF(G204="","",IFERROR(INDEX('Material Master'!$D$2:$D$201,IFERROR(MATCH(G204,'Material Master'!$F$2:$F$201,0),MATCH(G204,'Material Master'!$A$2:$A$201,0))),""))</f>
        <v/>
      </c>
      <c r="L204" s="69"/>
      <c r="M204" s="69"/>
    </row>
    <row r="205" ht="15.75" customHeight="1">
      <c r="A205" s="147"/>
      <c r="B205" s="148"/>
      <c r="C205" s="147"/>
      <c r="D205" s="149"/>
      <c r="E205" s="87" t="str">
        <f t="shared" si="1"/>
        <v/>
      </c>
      <c r="F205" s="83" t="str">
        <f t="shared" si="2"/>
        <v/>
      </c>
      <c r="G205" s="85"/>
      <c r="H205" s="85" t="str">
        <f t="array" ref="H205">IF(G205="","",IFERROR(INDEX('Material Master'!$B$2:$B$201,IFERROR(MATCH(G205,'Material Master'!$F$2:$F$201,0),MATCH(G205,'Material Master'!$A$2:$A$201,0))),""))</f>
        <v/>
      </c>
      <c r="I205" s="85" t="str">
        <f t="array" ref="I205">IF(G205="","",IFERROR(INDEX('Material Master'!$C$2:$C$201,IFERROR(MATCH(G205,'Material Master'!$F$2:$F$201,0),MATCH(G205,'Material Master'!$A$2:$A$201,0))),""))</f>
        <v/>
      </c>
      <c r="J205" s="86" t="str">
        <f>IF(E205="","",SUMIFS('Stock Movement'!$F$2:$F$501,'Stock Movement'!$D$2:$D$501,E205,'Stock Movement'!$E$2:$E$501,"IN")-SUMIFS('Stock Movement'!$F$2:$F$501,'Stock Movement'!$D$2:$D$501,E205,'Stock Movement'!$E$2:$E$501,"OUT"))</f>
        <v/>
      </c>
      <c r="K205" s="87" t="str">
        <f t="array" ref="K205">IF(G205="","",IFERROR(INDEX('Material Master'!$D$2:$D$201,IFERROR(MATCH(G205,'Material Master'!$F$2:$F$201,0),MATCH(G205,'Material Master'!$A$2:$A$201,0))),""))</f>
        <v/>
      </c>
      <c r="L205" s="85"/>
      <c r="M205" s="85"/>
    </row>
    <row r="206" ht="15.75" customHeight="1">
      <c r="A206" s="150"/>
      <c r="B206" s="151"/>
      <c r="C206" s="150"/>
      <c r="D206" s="152"/>
      <c r="E206" s="77" t="str">
        <f t="shared" si="1"/>
        <v/>
      </c>
      <c r="F206" s="91" t="str">
        <f t="shared" si="2"/>
        <v/>
      </c>
      <c r="G206" s="69"/>
      <c r="H206" s="69" t="str">
        <f t="array" ref="H206">IF(G206="","",IFERROR(INDEX('Material Master'!$B$2:$B$201,IFERROR(MATCH(G206,'Material Master'!$F$2:$F$201,0),MATCH(G206,'Material Master'!$A$2:$A$201,0))),""))</f>
        <v/>
      </c>
      <c r="I206" s="69" t="str">
        <f t="array" ref="I206">IF(G206="","",IFERROR(INDEX('Material Master'!$C$2:$C$201,IFERROR(MATCH(G206,'Material Master'!$F$2:$F$201,0),MATCH(G206,'Material Master'!$A$2:$A$201,0))),""))</f>
        <v/>
      </c>
      <c r="J206" s="75" t="str">
        <f>IF(E206="","",SUMIFS('Stock Movement'!$F$2:$F$501,'Stock Movement'!$D$2:$D$501,E206,'Stock Movement'!$E$2:$E$501,"IN")-SUMIFS('Stock Movement'!$F$2:$F$501,'Stock Movement'!$D$2:$D$501,E206,'Stock Movement'!$E$2:$E$501,"OUT"))</f>
        <v/>
      </c>
      <c r="K206" s="77" t="str">
        <f t="array" ref="K206">IF(G206="","",IFERROR(INDEX('Material Master'!$D$2:$D$201,IFERROR(MATCH(G206,'Material Master'!$F$2:$F$201,0),MATCH(G206,'Material Master'!$A$2:$A$201,0))),""))</f>
        <v/>
      </c>
      <c r="L206" s="69"/>
      <c r="M206" s="69"/>
    </row>
    <row r="207" ht="15.75" customHeight="1">
      <c r="A207" s="147"/>
      <c r="B207" s="148"/>
      <c r="C207" s="147"/>
      <c r="D207" s="149"/>
      <c r="E207" s="87" t="str">
        <f t="shared" si="1"/>
        <v/>
      </c>
      <c r="F207" s="83" t="str">
        <f t="shared" si="2"/>
        <v/>
      </c>
      <c r="G207" s="85"/>
      <c r="H207" s="85" t="str">
        <f t="array" ref="H207">IF(G207="","",IFERROR(INDEX('Material Master'!$B$2:$B$201,IFERROR(MATCH(G207,'Material Master'!$F$2:$F$201,0),MATCH(G207,'Material Master'!$A$2:$A$201,0))),""))</f>
        <v/>
      </c>
      <c r="I207" s="85" t="str">
        <f t="array" ref="I207">IF(G207="","",IFERROR(INDEX('Material Master'!$C$2:$C$201,IFERROR(MATCH(G207,'Material Master'!$F$2:$F$201,0),MATCH(G207,'Material Master'!$A$2:$A$201,0))),""))</f>
        <v/>
      </c>
      <c r="J207" s="86" t="str">
        <f>IF(E207="","",SUMIFS('Stock Movement'!$F$2:$F$501,'Stock Movement'!$D$2:$D$501,E207,'Stock Movement'!$E$2:$E$501,"IN")-SUMIFS('Stock Movement'!$F$2:$F$501,'Stock Movement'!$D$2:$D$501,E207,'Stock Movement'!$E$2:$E$501,"OUT"))</f>
        <v/>
      </c>
      <c r="K207" s="87" t="str">
        <f t="array" ref="K207">IF(G207="","",IFERROR(INDEX('Material Master'!$D$2:$D$201,IFERROR(MATCH(G207,'Material Master'!$F$2:$F$201,0),MATCH(G207,'Material Master'!$A$2:$A$201,0))),""))</f>
        <v/>
      </c>
      <c r="L207" s="85"/>
      <c r="M207" s="85"/>
    </row>
    <row r="208" ht="15.75" customHeight="1">
      <c r="A208" s="150"/>
      <c r="B208" s="151"/>
      <c r="C208" s="150"/>
      <c r="D208" s="152"/>
      <c r="E208" s="77" t="str">
        <f t="shared" si="1"/>
        <v/>
      </c>
      <c r="F208" s="91" t="str">
        <f t="shared" si="2"/>
        <v/>
      </c>
      <c r="G208" s="69"/>
      <c r="H208" s="69" t="str">
        <f t="array" ref="H208">IF(G208="","",IFERROR(INDEX('Material Master'!$B$2:$B$201,IFERROR(MATCH(G208,'Material Master'!$F$2:$F$201,0),MATCH(G208,'Material Master'!$A$2:$A$201,0))),""))</f>
        <v/>
      </c>
      <c r="I208" s="69" t="str">
        <f t="array" ref="I208">IF(G208="","",IFERROR(INDEX('Material Master'!$C$2:$C$201,IFERROR(MATCH(G208,'Material Master'!$F$2:$F$201,0),MATCH(G208,'Material Master'!$A$2:$A$201,0))),""))</f>
        <v/>
      </c>
      <c r="J208" s="75" t="str">
        <f>IF(E208="","",SUMIFS('Stock Movement'!$F$2:$F$501,'Stock Movement'!$D$2:$D$501,E208,'Stock Movement'!$E$2:$E$501,"IN")-SUMIFS('Stock Movement'!$F$2:$F$501,'Stock Movement'!$D$2:$D$501,E208,'Stock Movement'!$E$2:$E$501,"OUT"))</f>
        <v/>
      </c>
      <c r="K208" s="77" t="str">
        <f t="array" ref="K208">IF(G208="","",IFERROR(INDEX('Material Master'!$D$2:$D$201,IFERROR(MATCH(G208,'Material Master'!$F$2:$F$201,0),MATCH(G208,'Material Master'!$A$2:$A$201,0))),""))</f>
        <v/>
      </c>
      <c r="L208" s="69"/>
      <c r="M208" s="69"/>
    </row>
    <row r="209" ht="15.75" customHeight="1">
      <c r="A209" s="147"/>
      <c r="B209" s="148"/>
      <c r="C209" s="147"/>
      <c r="D209" s="149"/>
      <c r="E209" s="87" t="str">
        <f t="shared" si="1"/>
        <v/>
      </c>
      <c r="F209" s="83" t="str">
        <f t="shared" si="2"/>
        <v/>
      </c>
      <c r="G209" s="85"/>
      <c r="H209" s="85" t="str">
        <f t="array" ref="H209">IF(G209="","",IFERROR(INDEX('Material Master'!$B$2:$B$201,IFERROR(MATCH(G209,'Material Master'!$F$2:$F$201,0),MATCH(G209,'Material Master'!$A$2:$A$201,0))),""))</f>
        <v/>
      </c>
      <c r="I209" s="85" t="str">
        <f t="array" ref="I209">IF(G209="","",IFERROR(INDEX('Material Master'!$C$2:$C$201,IFERROR(MATCH(G209,'Material Master'!$F$2:$F$201,0),MATCH(G209,'Material Master'!$A$2:$A$201,0))),""))</f>
        <v/>
      </c>
      <c r="J209" s="86" t="str">
        <f>IF(E209="","",SUMIFS('Stock Movement'!$F$2:$F$501,'Stock Movement'!$D$2:$D$501,E209,'Stock Movement'!$E$2:$E$501,"IN")-SUMIFS('Stock Movement'!$F$2:$F$501,'Stock Movement'!$D$2:$D$501,E209,'Stock Movement'!$E$2:$E$501,"OUT"))</f>
        <v/>
      </c>
      <c r="K209" s="87" t="str">
        <f t="array" ref="K209">IF(G209="","",IFERROR(INDEX('Material Master'!$D$2:$D$201,IFERROR(MATCH(G209,'Material Master'!$F$2:$F$201,0),MATCH(G209,'Material Master'!$A$2:$A$201,0))),""))</f>
        <v/>
      </c>
      <c r="L209" s="85"/>
      <c r="M209" s="85"/>
    </row>
    <row r="210" ht="15.75" customHeight="1">
      <c r="A210" s="150"/>
      <c r="B210" s="151"/>
      <c r="C210" s="150"/>
      <c r="D210" s="152"/>
      <c r="E210" s="77" t="str">
        <f t="shared" si="1"/>
        <v/>
      </c>
      <c r="F210" s="91" t="str">
        <f t="shared" si="2"/>
        <v/>
      </c>
      <c r="G210" s="69"/>
      <c r="H210" s="69" t="str">
        <f t="array" ref="H210">IF(G210="","",IFERROR(INDEX('Material Master'!$B$2:$B$201,IFERROR(MATCH(G210,'Material Master'!$F$2:$F$201,0),MATCH(G210,'Material Master'!$A$2:$A$201,0))),""))</f>
        <v/>
      </c>
      <c r="I210" s="69" t="str">
        <f t="array" ref="I210">IF(G210="","",IFERROR(INDEX('Material Master'!$C$2:$C$201,IFERROR(MATCH(G210,'Material Master'!$F$2:$F$201,0),MATCH(G210,'Material Master'!$A$2:$A$201,0))),""))</f>
        <v/>
      </c>
      <c r="J210" s="75" t="str">
        <f>IF(E210="","",SUMIFS('Stock Movement'!$F$2:$F$501,'Stock Movement'!$D$2:$D$501,E210,'Stock Movement'!$E$2:$E$501,"IN")-SUMIFS('Stock Movement'!$F$2:$F$501,'Stock Movement'!$D$2:$D$501,E210,'Stock Movement'!$E$2:$E$501,"OUT"))</f>
        <v/>
      </c>
      <c r="K210" s="77" t="str">
        <f t="array" ref="K210">IF(G210="","",IFERROR(INDEX('Material Master'!$D$2:$D$201,IFERROR(MATCH(G210,'Material Master'!$F$2:$F$201,0),MATCH(G210,'Material Master'!$A$2:$A$201,0))),""))</f>
        <v/>
      </c>
      <c r="L210" s="69"/>
      <c r="M210" s="69"/>
    </row>
    <row r="211" ht="15.75" customHeight="1">
      <c r="A211" s="147"/>
      <c r="B211" s="148"/>
      <c r="C211" s="147"/>
      <c r="D211" s="149"/>
      <c r="E211" s="87" t="str">
        <f t="shared" si="1"/>
        <v/>
      </c>
      <c r="F211" s="83" t="str">
        <f t="shared" si="2"/>
        <v/>
      </c>
      <c r="G211" s="85"/>
      <c r="H211" s="85" t="str">
        <f t="array" ref="H211">IF(G211="","",IFERROR(INDEX('Material Master'!$B$2:$B$201,IFERROR(MATCH(G211,'Material Master'!$F$2:$F$201,0),MATCH(G211,'Material Master'!$A$2:$A$201,0))),""))</f>
        <v/>
      </c>
      <c r="I211" s="85" t="str">
        <f t="array" ref="I211">IF(G211="","",IFERROR(INDEX('Material Master'!$C$2:$C$201,IFERROR(MATCH(G211,'Material Master'!$F$2:$F$201,0),MATCH(G211,'Material Master'!$A$2:$A$201,0))),""))</f>
        <v/>
      </c>
      <c r="J211" s="86" t="str">
        <f>IF(E211="","",SUMIFS('Stock Movement'!$F$2:$F$501,'Stock Movement'!$D$2:$D$501,E211,'Stock Movement'!$E$2:$E$501,"IN")-SUMIFS('Stock Movement'!$F$2:$F$501,'Stock Movement'!$D$2:$D$501,E211,'Stock Movement'!$E$2:$E$501,"OUT"))</f>
        <v/>
      </c>
      <c r="K211" s="87" t="str">
        <f t="array" ref="K211">IF(G211="","",IFERROR(INDEX('Material Master'!$D$2:$D$201,IFERROR(MATCH(G211,'Material Master'!$F$2:$F$201,0),MATCH(G211,'Material Master'!$A$2:$A$201,0))),""))</f>
        <v/>
      </c>
      <c r="L211" s="85"/>
      <c r="M211" s="85"/>
    </row>
    <row r="212" ht="15.75" customHeight="1">
      <c r="A212" s="150"/>
      <c r="B212" s="151"/>
      <c r="C212" s="150"/>
      <c r="D212" s="152"/>
      <c r="E212" s="77" t="str">
        <f t="shared" si="1"/>
        <v/>
      </c>
      <c r="F212" s="91" t="str">
        <f t="shared" si="2"/>
        <v/>
      </c>
      <c r="G212" s="69"/>
      <c r="H212" s="69" t="str">
        <f t="array" ref="H212">IF(G212="","",IFERROR(INDEX('Material Master'!$B$2:$B$201,IFERROR(MATCH(G212,'Material Master'!$F$2:$F$201,0),MATCH(G212,'Material Master'!$A$2:$A$201,0))),""))</f>
        <v/>
      </c>
      <c r="I212" s="69" t="str">
        <f t="array" ref="I212">IF(G212="","",IFERROR(INDEX('Material Master'!$C$2:$C$201,IFERROR(MATCH(G212,'Material Master'!$F$2:$F$201,0),MATCH(G212,'Material Master'!$A$2:$A$201,0))),""))</f>
        <v/>
      </c>
      <c r="J212" s="75" t="str">
        <f>IF(E212="","",SUMIFS('Stock Movement'!$F$2:$F$501,'Stock Movement'!$D$2:$D$501,E212,'Stock Movement'!$E$2:$E$501,"IN")-SUMIFS('Stock Movement'!$F$2:$F$501,'Stock Movement'!$D$2:$D$501,E212,'Stock Movement'!$E$2:$E$501,"OUT"))</f>
        <v/>
      </c>
      <c r="K212" s="77" t="str">
        <f t="array" ref="K212">IF(G212="","",IFERROR(INDEX('Material Master'!$D$2:$D$201,IFERROR(MATCH(G212,'Material Master'!$F$2:$F$201,0),MATCH(G212,'Material Master'!$A$2:$A$201,0))),""))</f>
        <v/>
      </c>
      <c r="L212" s="69"/>
      <c r="M212" s="69"/>
    </row>
    <row r="213" ht="15.75" customHeight="1">
      <c r="A213" s="147"/>
      <c r="B213" s="148"/>
      <c r="C213" s="147"/>
      <c r="D213" s="149"/>
      <c r="E213" s="87" t="str">
        <f t="shared" si="1"/>
        <v/>
      </c>
      <c r="F213" s="83" t="str">
        <f t="shared" si="2"/>
        <v/>
      </c>
      <c r="G213" s="85"/>
      <c r="H213" s="85" t="str">
        <f t="array" ref="H213">IF(G213="","",IFERROR(INDEX('Material Master'!$B$2:$B$201,IFERROR(MATCH(G213,'Material Master'!$F$2:$F$201,0),MATCH(G213,'Material Master'!$A$2:$A$201,0))),""))</f>
        <v/>
      </c>
      <c r="I213" s="85" t="str">
        <f t="array" ref="I213">IF(G213="","",IFERROR(INDEX('Material Master'!$C$2:$C$201,IFERROR(MATCH(G213,'Material Master'!$F$2:$F$201,0),MATCH(G213,'Material Master'!$A$2:$A$201,0))),""))</f>
        <v/>
      </c>
      <c r="J213" s="86" t="str">
        <f>IF(E213="","",SUMIFS('Stock Movement'!$F$2:$F$501,'Stock Movement'!$D$2:$D$501,E213,'Stock Movement'!$E$2:$E$501,"IN")-SUMIFS('Stock Movement'!$F$2:$F$501,'Stock Movement'!$D$2:$D$501,E213,'Stock Movement'!$E$2:$E$501,"OUT"))</f>
        <v/>
      </c>
      <c r="K213" s="87" t="str">
        <f t="array" ref="K213">IF(G213="","",IFERROR(INDEX('Material Master'!$D$2:$D$201,IFERROR(MATCH(G213,'Material Master'!$F$2:$F$201,0),MATCH(G213,'Material Master'!$A$2:$A$201,0))),""))</f>
        <v/>
      </c>
      <c r="L213" s="85"/>
      <c r="M213" s="85"/>
    </row>
    <row r="214" ht="15.75" customHeight="1">
      <c r="A214" s="150"/>
      <c r="B214" s="151"/>
      <c r="C214" s="150"/>
      <c r="D214" s="152"/>
      <c r="E214" s="77" t="str">
        <f t="shared" si="1"/>
        <v/>
      </c>
      <c r="F214" s="91" t="str">
        <f t="shared" si="2"/>
        <v/>
      </c>
      <c r="G214" s="69"/>
      <c r="H214" s="69" t="str">
        <f t="array" ref="H214">IF(G214="","",IFERROR(INDEX('Material Master'!$B$2:$B$201,IFERROR(MATCH(G214,'Material Master'!$F$2:$F$201,0),MATCH(G214,'Material Master'!$A$2:$A$201,0))),""))</f>
        <v/>
      </c>
      <c r="I214" s="69" t="str">
        <f t="array" ref="I214">IF(G214="","",IFERROR(INDEX('Material Master'!$C$2:$C$201,IFERROR(MATCH(G214,'Material Master'!$F$2:$F$201,0),MATCH(G214,'Material Master'!$A$2:$A$201,0))),""))</f>
        <v/>
      </c>
      <c r="J214" s="75" t="str">
        <f>IF(E214="","",SUMIFS('Stock Movement'!$F$2:$F$501,'Stock Movement'!$D$2:$D$501,E214,'Stock Movement'!$E$2:$E$501,"IN")-SUMIFS('Stock Movement'!$F$2:$F$501,'Stock Movement'!$D$2:$D$501,E214,'Stock Movement'!$E$2:$E$501,"OUT"))</f>
        <v/>
      </c>
      <c r="K214" s="77" t="str">
        <f t="array" ref="K214">IF(G214="","",IFERROR(INDEX('Material Master'!$D$2:$D$201,IFERROR(MATCH(G214,'Material Master'!$F$2:$F$201,0),MATCH(G214,'Material Master'!$A$2:$A$201,0))),""))</f>
        <v/>
      </c>
      <c r="L214" s="69"/>
      <c r="M214" s="69"/>
    </row>
    <row r="215" ht="15.75" customHeight="1">
      <c r="A215" s="147"/>
      <c r="B215" s="148"/>
      <c r="C215" s="147"/>
      <c r="D215" s="149"/>
      <c r="E215" s="87" t="str">
        <f t="shared" si="1"/>
        <v/>
      </c>
      <c r="F215" s="83" t="str">
        <f t="shared" si="2"/>
        <v/>
      </c>
      <c r="G215" s="85"/>
      <c r="H215" s="85" t="str">
        <f t="array" ref="H215">IF(G215="","",IFERROR(INDEX('Material Master'!$B$2:$B$201,IFERROR(MATCH(G215,'Material Master'!$F$2:$F$201,0),MATCH(G215,'Material Master'!$A$2:$A$201,0))),""))</f>
        <v/>
      </c>
      <c r="I215" s="85" t="str">
        <f t="array" ref="I215">IF(G215="","",IFERROR(INDEX('Material Master'!$C$2:$C$201,IFERROR(MATCH(G215,'Material Master'!$F$2:$F$201,0),MATCH(G215,'Material Master'!$A$2:$A$201,0))),""))</f>
        <v/>
      </c>
      <c r="J215" s="86" t="str">
        <f>IF(E215="","",SUMIFS('Stock Movement'!$F$2:$F$501,'Stock Movement'!$D$2:$D$501,E215,'Stock Movement'!$E$2:$E$501,"IN")-SUMIFS('Stock Movement'!$F$2:$F$501,'Stock Movement'!$D$2:$D$501,E215,'Stock Movement'!$E$2:$E$501,"OUT"))</f>
        <v/>
      </c>
      <c r="K215" s="87" t="str">
        <f t="array" ref="K215">IF(G215="","",IFERROR(INDEX('Material Master'!$D$2:$D$201,IFERROR(MATCH(G215,'Material Master'!$F$2:$F$201,0),MATCH(G215,'Material Master'!$A$2:$A$201,0))),""))</f>
        <v/>
      </c>
      <c r="L215" s="85"/>
      <c r="M215" s="85"/>
    </row>
    <row r="216" ht="15.75" customHeight="1">
      <c r="A216" s="150"/>
      <c r="B216" s="151"/>
      <c r="C216" s="150"/>
      <c r="D216" s="152"/>
      <c r="E216" s="77" t="str">
        <f t="shared" si="1"/>
        <v/>
      </c>
      <c r="F216" s="91" t="str">
        <f t="shared" si="2"/>
        <v/>
      </c>
      <c r="G216" s="69"/>
      <c r="H216" s="69" t="str">
        <f t="array" ref="H216">IF(G216="","",IFERROR(INDEX('Material Master'!$B$2:$B$201,IFERROR(MATCH(G216,'Material Master'!$F$2:$F$201,0),MATCH(G216,'Material Master'!$A$2:$A$201,0))),""))</f>
        <v/>
      </c>
      <c r="I216" s="69" t="str">
        <f t="array" ref="I216">IF(G216="","",IFERROR(INDEX('Material Master'!$C$2:$C$201,IFERROR(MATCH(G216,'Material Master'!$F$2:$F$201,0),MATCH(G216,'Material Master'!$A$2:$A$201,0))),""))</f>
        <v/>
      </c>
      <c r="J216" s="75" t="str">
        <f>IF(E216="","",SUMIFS('Stock Movement'!$F$2:$F$501,'Stock Movement'!$D$2:$D$501,E216,'Stock Movement'!$E$2:$E$501,"IN")-SUMIFS('Stock Movement'!$F$2:$F$501,'Stock Movement'!$D$2:$D$501,E216,'Stock Movement'!$E$2:$E$501,"OUT"))</f>
        <v/>
      </c>
      <c r="K216" s="77" t="str">
        <f t="array" ref="K216">IF(G216="","",IFERROR(INDEX('Material Master'!$D$2:$D$201,IFERROR(MATCH(G216,'Material Master'!$F$2:$F$201,0),MATCH(G216,'Material Master'!$A$2:$A$201,0))),""))</f>
        <v/>
      </c>
      <c r="L216" s="69"/>
      <c r="M216" s="69"/>
    </row>
    <row r="217" ht="15.75" customHeight="1">
      <c r="A217" s="147"/>
      <c r="B217" s="148"/>
      <c r="C217" s="147"/>
      <c r="D217" s="149"/>
      <c r="E217" s="87" t="str">
        <f t="shared" si="1"/>
        <v/>
      </c>
      <c r="F217" s="83" t="str">
        <f t="shared" si="2"/>
        <v/>
      </c>
      <c r="G217" s="85"/>
      <c r="H217" s="85" t="str">
        <f t="array" ref="H217">IF(G217="","",IFERROR(INDEX('Material Master'!$B$2:$B$201,IFERROR(MATCH(G217,'Material Master'!$F$2:$F$201,0),MATCH(G217,'Material Master'!$A$2:$A$201,0))),""))</f>
        <v/>
      </c>
      <c r="I217" s="85" t="str">
        <f t="array" ref="I217">IF(G217="","",IFERROR(INDEX('Material Master'!$C$2:$C$201,IFERROR(MATCH(G217,'Material Master'!$F$2:$F$201,0),MATCH(G217,'Material Master'!$A$2:$A$201,0))),""))</f>
        <v/>
      </c>
      <c r="J217" s="86" t="str">
        <f>IF(E217="","",SUMIFS('Stock Movement'!$F$2:$F$501,'Stock Movement'!$D$2:$D$501,E217,'Stock Movement'!$E$2:$E$501,"IN")-SUMIFS('Stock Movement'!$F$2:$F$501,'Stock Movement'!$D$2:$D$501,E217,'Stock Movement'!$E$2:$E$501,"OUT"))</f>
        <v/>
      </c>
      <c r="K217" s="87" t="str">
        <f t="array" ref="K217">IF(G217="","",IFERROR(INDEX('Material Master'!$D$2:$D$201,IFERROR(MATCH(G217,'Material Master'!$F$2:$F$201,0),MATCH(G217,'Material Master'!$A$2:$A$201,0))),""))</f>
        <v/>
      </c>
      <c r="L217" s="85"/>
      <c r="M217" s="85"/>
    </row>
    <row r="218" ht="15.75" customHeight="1">
      <c r="A218" s="150"/>
      <c r="B218" s="151"/>
      <c r="C218" s="150"/>
      <c r="D218" s="152"/>
      <c r="E218" s="77" t="str">
        <f t="shared" si="1"/>
        <v/>
      </c>
      <c r="F218" s="91" t="str">
        <f t="shared" si="2"/>
        <v/>
      </c>
      <c r="G218" s="69"/>
      <c r="H218" s="69" t="str">
        <f t="array" ref="H218">IF(G218="","",IFERROR(INDEX('Material Master'!$B$2:$B$201,IFERROR(MATCH(G218,'Material Master'!$F$2:$F$201,0),MATCH(G218,'Material Master'!$A$2:$A$201,0))),""))</f>
        <v/>
      </c>
      <c r="I218" s="69" t="str">
        <f t="array" ref="I218">IF(G218="","",IFERROR(INDEX('Material Master'!$C$2:$C$201,IFERROR(MATCH(G218,'Material Master'!$F$2:$F$201,0),MATCH(G218,'Material Master'!$A$2:$A$201,0))),""))</f>
        <v/>
      </c>
      <c r="J218" s="75" t="str">
        <f>IF(E218="","",SUMIFS('Stock Movement'!$F$2:$F$501,'Stock Movement'!$D$2:$D$501,E218,'Stock Movement'!$E$2:$E$501,"IN")-SUMIFS('Stock Movement'!$F$2:$F$501,'Stock Movement'!$D$2:$D$501,E218,'Stock Movement'!$E$2:$E$501,"OUT"))</f>
        <v/>
      </c>
      <c r="K218" s="77" t="str">
        <f t="array" ref="K218">IF(G218="","",IFERROR(INDEX('Material Master'!$D$2:$D$201,IFERROR(MATCH(G218,'Material Master'!$F$2:$F$201,0),MATCH(G218,'Material Master'!$A$2:$A$201,0))),""))</f>
        <v/>
      </c>
      <c r="L218" s="69"/>
      <c r="M218" s="69"/>
    </row>
    <row r="219" ht="15.75" customHeight="1">
      <c r="A219" s="147"/>
      <c r="B219" s="148"/>
      <c r="C219" s="147"/>
      <c r="D219" s="149"/>
      <c r="E219" s="87" t="str">
        <f t="shared" si="1"/>
        <v/>
      </c>
      <c r="F219" s="83" t="str">
        <f t="shared" si="2"/>
        <v/>
      </c>
      <c r="G219" s="85"/>
      <c r="H219" s="85" t="str">
        <f t="array" ref="H219">IF(G219="","",IFERROR(INDEX('Material Master'!$B$2:$B$201,IFERROR(MATCH(G219,'Material Master'!$F$2:$F$201,0),MATCH(G219,'Material Master'!$A$2:$A$201,0))),""))</f>
        <v/>
      </c>
      <c r="I219" s="85" t="str">
        <f t="array" ref="I219">IF(G219="","",IFERROR(INDEX('Material Master'!$C$2:$C$201,IFERROR(MATCH(G219,'Material Master'!$F$2:$F$201,0),MATCH(G219,'Material Master'!$A$2:$A$201,0))),""))</f>
        <v/>
      </c>
      <c r="J219" s="86" t="str">
        <f>IF(E219="","",SUMIFS('Stock Movement'!$F$2:$F$501,'Stock Movement'!$D$2:$D$501,E219,'Stock Movement'!$E$2:$E$501,"IN")-SUMIFS('Stock Movement'!$F$2:$F$501,'Stock Movement'!$D$2:$D$501,E219,'Stock Movement'!$E$2:$E$501,"OUT"))</f>
        <v/>
      </c>
      <c r="K219" s="87" t="str">
        <f t="array" ref="K219">IF(G219="","",IFERROR(INDEX('Material Master'!$D$2:$D$201,IFERROR(MATCH(G219,'Material Master'!$F$2:$F$201,0),MATCH(G219,'Material Master'!$A$2:$A$201,0))),""))</f>
        <v/>
      </c>
      <c r="L219" s="85"/>
      <c r="M219" s="85"/>
    </row>
    <row r="220" ht="15.75" customHeight="1">
      <c r="A220" s="150"/>
      <c r="B220" s="151"/>
      <c r="C220" s="150"/>
      <c r="D220" s="152"/>
      <c r="E220" s="77" t="str">
        <f t="shared" si="1"/>
        <v/>
      </c>
      <c r="F220" s="91" t="str">
        <f t="shared" si="2"/>
        <v/>
      </c>
      <c r="G220" s="69"/>
      <c r="H220" s="69" t="str">
        <f t="array" ref="H220">IF(G220="","",IFERROR(INDEX('Material Master'!$B$2:$B$201,IFERROR(MATCH(G220,'Material Master'!$F$2:$F$201,0),MATCH(G220,'Material Master'!$A$2:$A$201,0))),""))</f>
        <v/>
      </c>
      <c r="I220" s="69" t="str">
        <f t="array" ref="I220">IF(G220="","",IFERROR(INDEX('Material Master'!$C$2:$C$201,IFERROR(MATCH(G220,'Material Master'!$F$2:$F$201,0),MATCH(G220,'Material Master'!$A$2:$A$201,0))),""))</f>
        <v/>
      </c>
      <c r="J220" s="75" t="str">
        <f>IF(E220="","",SUMIFS('Stock Movement'!$F$2:$F$501,'Stock Movement'!$D$2:$D$501,E220,'Stock Movement'!$E$2:$E$501,"IN")-SUMIFS('Stock Movement'!$F$2:$F$501,'Stock Movement'!$D$2:$D$501,E220,'Stock Movement'!$E$2:$E$501,"OUT"))</f>
        <v/>
      </c>
      <c r="K220" s="77" t="str">
        <f t="array" ref="K220">IF(G220="","",IFERROR(INDEX('Material Master'!$D$2:$D$201,IFERROR(MATCH(G220,'Material Master'!$F$2:$F$201,0),MATCH(G220,'Material Master'!$A$2:$A$201,0))),""))</f>
        <v/>
      </c>
      <c r="L220" s="69"/>
      <c r="M220" s="69"/>
    </row>
    <row r="221" ht="15.75" customHeight="1">
      <c r="A221" s="147"/>
      <c r="B221" s="148"/>
      <c r="C221" s="147"/>
      <c r="D221" s="149"/>
      <c r="E221" s="87" t="str">
        <f t="shared" si="1"/>
        <v/>
      </c>
      <c r="F221" s="83" t="str">
        <f t="shared" si="2"/>
        <v/>
      </c>
      <c r="G221" s="85"/>
      <c r="H221" s="85" t="str">
        <f t="array" ref="H221">IF(G221="","",IFERROR(INDEX('Material Master'!$B$2:$B$201,IFERROR(MATCH(G221,'Material Master'!$F$2:$F$201,0),MATCH(G221,'Material Master'!$A$2:$A$201,0))),""))</f>
        <v/>
      </c>
      <c r="I221" s="85" t="str">
        <f t="array" ref="I221">IF(G221="","",IFERROR(INDEX('Material Master'!$C$2:$C$201,IFERROR(MATCH(G221,'Material Master'!$F$2:$F$201,0),MATCH(G221,'Material Master'!$A$2:$A$201,0))),""))</f>
        <v/>
      </c>
      <c r="J221" s="86" t="str">
        <f>IF(E221="","",SUMIFS('Stock Movement'!$F$2:$F$501,'Stock Movement'!$D$2:$D$501,E221,'Stock Movement'!$E$2:$E$501,"IN")-SUMIFS('Stock Movement'!$F$2:$F$501,'Stock Movement'!$D$2:$D$501,E221,'Stock Movement'!$E$2:$E$501,"OUT"))</f>
        <v/>
      </c>
      <c r="K221" s="87" t="str">
        <f t="array" ref="K221">IF(G221="","",IFERROR(INDEX('Material Master'!$D$2:$D$201,IFERROR(MATCH(G221,'Material Master'!$F$2:$F$201,0),MATCH(G221,'Material Master'!$A$2:$A$201,0))),""))</f>
        <v/>
      </c>
      <c r="L221" s="85"/>
      <c r="M221" s="85"/>
    </row>
    <row r="222" ht="15.75" customHeight="1">
      <c r="A222" s="150"/>
      <c r="B222" s="151"/>
      <c r="C222" s="150"/>
      <c r="D222" s="152"/>
      <c r="E222" s="77" t="str">
        <f t="shared" si="1"/>
        <v/>
      </c>
      <c r="F222" s="91" t="str">
        <f t="shared" si="2"/>
        <v/>
      </c>
      <c r="G222" s="69"/>
      <c r="H222" s="69" t="str">
        <f t="array" ref="H222">IF(G222="","",IFERROR(INDEX('Material Master'!$B$2:$B$201,IFERROR(MATCH(G222,'Material Master'!$F$2:$F$201,0),MATCH(G222,'Material Master'!$A$2:$A$201,0))),""))</f>
        <v/>
      </c>
      <c r="I222" s="69" t="str">
        <f t="array" ref="I222">IF(G222="","",IFERROR(INDEX('Material Master'!$C$2:$C$201,IFERROR(MATCH(G222,'Material Master'!$F$2:$F$201,0),MATCH(G222,'Material Master'!$A$2:$A$201,0))),""))</f>
        <v/>
      </c>
      <c r="J222" s="75" t="str">
        <f>IF(E222="","",SUMIFS('Stock Movement'!$F$2:$F$501,'Stock Movement'!$D$2:$D$501,E222,'Stock Movement'!$E$2:$E$501,"IN")-SUMIFS('Stock Movement'!$F$2:$F$501,'Stock Movement'!$D$2:$D$501,E222,'Stock Movement'!$E$2:$E$501,"OUT"))</f>
        <v/>
      </c>
      <c r="K222" s="77" t="str">
        <f t="array" ref="K222">IF(G222="","",IFERROR(INDEX('Material Master'!$D$2:$D$201,IFERROR(MATCH(G222,'Material Master'!$F$2:$F$201,0),MATCH(G222,'Material Master'!$A$2:$A$201,0))),""))</f>
        <v/>
      </c>
      <c r="L222" s="69"/>
      <c r="M222" s="69"/>
    </row>
    <row r="223" ht="15.75" customHeight="1">
      <c r="A223" s="147"/>
      <c r="B223" s="148"/>
      <c r="C223" s="147"/>
      <c r="D223" s="149"/>
      <c r="E223" s="87" t="str">
        <f t="shared" si="1"/>
        <v/>
      </c>
      <c r="F223" s="83" t="str">
        <f t="shared" si="2"/>
        <v/>
      </c>
      <c r="G223" s="85"/>
      <c r="H223" s="85" t="str">
        <f t="array" ref="H223">IF(G223="","",IFERROR(INDEX('Material Master'!$B$2:$B$201,IFERROR(MATCH(G223,'Material Master'!$F$2:$F$201,0),MATCH(G223,'Material Master'!$A$2:$A$201,0))),""))</f>
        <v/>
      </c>
      <c r="I223" s="85" t="str">
        <f t="array" ref="I223">IF(G223="","",IFERROR(INDEX('Material Master'!$C$2:$C$201,IFERROR(MATCH(G223,'Material Master'!$F$2:$F$201,0),MATCH(G223,'Material Master'!$A$2:$A$201,0))),""))</f>
        <v/>
      </c>
      <c r="J223" s="86" t="str">
        <f>IF(E223="","",SUMIFS('Stock Movement'!$F$2:$F$501,'Stock Movement'!$D$2:$D$501,E223,'Stock Movement'!$E$2:$E$501,"IN")-SUMIFS('Stock Movement'!$F$2:$F$501,'Stock Movement'!$D$2:$D$501,E223,'Stock Movement'!$E$2:$E$501,"OUT"))</f>
        <v/>
      </c>
      <c r="K223" s="87" t="str">
        <f t="array" ref="K223">IF(G223="","",IFERROR(INDEX('Material Master'!$D$2:$D$201,IFERROR(MATCH(G223,'Material Master'!$F$2:$F$201,0),MATCH(G223,'Material Master'!$A$2:$A$201,0))),""))</f>
        <v/>
      </c>
      <c r="L223" s="85"/>
      <c r="M223" s="85"/>
    </row>
    <row r="224" ht="15.75" customHeight="1">
      <c r="A224" s="150"/>
      <c r="B224" s="151"/>
      <c r="C224" s="150"/>
      <c r="D224" s="152"/>
      <c r="E224" s="77" t="str">
        <f t="shared" si="1"/>
        <v/>
      </c>
      <c r="F224" s="91" t="str">
        <f t="shared" si="2"/>
        <v/>
      </c>
      <c r="G224" s="69"/>
      <c r="H224" s="69" t="str">
        <f t="array" ref="H224">IF(G224="","",IFERROR(INDEX('Material Master'!$B$2:$B$201,IFERROR(MATCH(G224,'Material Master'!$F$2:$F$201,0),MATCH(G224,'Material Master'!$A$2:$A$201,0))),""))</f>
        <v/>
      </c>
      <c r="I224" s="69" t="str">
        <f t="array" ref="I224">IF(G224="","",IFERROR(INDEX('Material Master'!$C$2:$C$201,IFERROR(MATCH(G224,'Material Master'!$F$2:$F$201,0),MATCH(G224,'Material Master'!$A$2:$A$201,0))),""))</f>
        <v/>
      </c>
      <c r="J224" s="75" t="str">
        <f>IF(E224="","",SUMIFS('Stock Movement'!$F$2:$F$501,'Stock Movement'!$D$2:$D$501,E224,'Stock Movement'!$E$2:$E$501,"IN")-SUMIFS('Stock Movement'!$F$2:$F$501,'Stock Movement'!$D$2:$D$501,E224,'Stock Movement'!$E$2:$E$501,"OUT"))</f>
        <v/>
      </c>
      <c r="K224" s="77" t="str">
        <f t="array" ref="K224">IF(G224="","",IFERROR(INDEX('Material Master'!$D$2:$D$201,IFERROR(MATCH(G224,'Material Master'!$F$2:$F$201,0),MATCH(G224,'Material Master'!$A$2:$A$201,0))),""))</f>
        <v/>
      </c>
      <c r="L224" s="69"/>
      <c r="M224" s="69"/>
    </row>
    <row r="225" ht="15.75" customHeight="1">
      <c r="A225" s="147"/>
      <c r="B225" s="148"/>
      <c r="C225" s="147"/>
      <c r="D225" s="149"/>
      <c r="E225" s="87" t="str">
        <f t="shared" si="1"/>
        <v/>
      </c>
      <c r="F225" s="83" t="str">
        <f t="shared" si="2"/>
        <v/>
      </c>
      <c r="G225" s="85"/>
      <c r="H225" s="85" t="str">
        <f t="array" ref="H225">IF(G225="","",IFERROR(INDEX('Material Master'!$B$2:$B$201,IFERROR(MATCH(G225,'Material Master'!$F$2:$F$201,0),MATCH(G225,'Material Master'!$A$2:$A$201,0))),""))</f>
        <v/>
      </c>
      <c r="I225" s="85" t="str">
        <f t="array" ref="I225">IF(G225="","",IFERROR(INDEX('Material Master'!$C$2:$C$201,IFERROR(MATCH(G225,'Material Master'!$F$2:$F$201,0),MATCH(G225,'Material Master'!$A$2:$A$201,0))),""))</f>
        <v/>
      </c>
      <c r="J225" s="86" t="str">
        <f>IF(E225="","",SUMIFS('Stock Movement'!$F$2:$F$501,'Stock Movement'!$D$2:$D$501,E225,'Stock Movement'!$E$2:$E$501,"IN")-SUMIFS('Stock Movement'!$F$2:$F$501,'Stock Movement'!$D$2:$D$501,E225,'Stock Movement'!$E$2:$E$501,"OUT"))</f>
        <v/>
      </c>
      <c r="K225" s="87" t="str">
        <f t="array" ref="K225">IF(G225="","",IFERROR(INDEX('Material Master'!$D$2:$D$201,IFERROR(MATCH(G225,'Material Master'!$F$2:$F$201,0),MATCH(G225,'Material Master'!$A$2:$A$201,0))),""))</f>
        <v/>
      </c>
      <c r="L225" s="85"/>
      <c r="M225" s="85"/>
    </row>
    <row r="226" ht="15.75" customHeight="1">
      <c r="A226" s="150"/>
      <c r="B226" s="151"/>
      <c r="C226" s="150"/>
      <c r="D226" s="152"/>
      <c r="E226" s="77" t="str">
        <f t="shared" si="1"/>
        <v/>
      </c>
      <c r="F226" s="91" t="str">
        <f t="shared" si="2"/>
        <v/>
      </c>
      <c r="G226" s="69"/>
      <c r="H226" s="69" t="str">
        <f t="array" ref="H226">IF(G226="","",IFERROR(INDEX('Material Master'!$B$2:$B$201,IFERROR(MATCH(G226,'Material Master'!$F$2:$F$201,0),MATCH(G226,'Material Master'!$A$2:$A$201,0))),""))</f>
        <v/>
      </c>
      <c r="I226" s="69" t="str">
        <f t="array" ref="I226">IF(G226="","",IFERROR(INDEX('Material Master'!$C$2:$C$201,IFERROR(MATCH(G226,'Material Master'!$F$2:$F$201,0),MATCH(G226,'Material Master'!$A$2:$A$201,0))),""))</f>
        <v/>
      </c>
      <c r="J226" s="75" t="str">
        <f>IF(E226="","",SUMIFS('Stock Movement'!$F$2:$F$501,'Stock Movement'!$D$2:$D$501,E226,'Stock Movement'!$E$2:$E$501,"IN")-SUMIFS('Stock Movement'!$F$2:$F$501,'Stock Movement'!$D$2:$D$501,E226,'Stock Movement'!$E$2:$E$501,"OUT"))</f>
        <v/>
      </c>
      <c r="K226" s="77" t="str">
        <f t="array" ref="K226">IF(G226="","",IFERROR(INDEX('Material Master'!$D$2:$D$201,IFERROR(MATCH(G226,'Material Master'!$F$2:$F$201,0),MATCH(G226,'Material Master'!$A$2:$A$201,0))),""))</f>
        <v/>
      </c>
      <c r="L226" s="69"/>
      <c r="M226" s="69"/>
    </row>
    <row r="227" ht="15.75" customHeight="1">
      <c r="A227" s="147"/>
      <c r="B227" s="148"/>
      <c r="C227" s="147"/>
      <c r="D227" s="149"/>
      <c r="E227" s="87" t="str">
        <f t="shared" si="1"/>
        <v/>
      </c>
      <c r="F227" s="83" t="str">
        <f t="shared" si="2"/>
        <v/>
      </c>
      <c r="G227" s="85"/>
      <c r="H227" s="85" t="str">
        <f t="array" ref="H227">IF(G227="","",IFERROR(INDEX('Material Master'!$B$2:$B$201,IFERROR(MATCH(G227,'Material Master'!$F$2:$F$201,0),MATCH(G227,'Material Master'!$A$2:$A$201,0))),""))</f>
        <v/>
      </c>
      <c r="I227" s="85" t="str">
        <f t="array" ref="I227">IF(G227="","",IFERROR(INDEX('Material Master'!$C$2:$C$201,IFERROR(MATCH(G227,'Material Master'!$F$2:$F$201,0),MATCH(G227,'Material Master'!$A$2:$A$201,0))),""))</f>
        <v/>
      </c>
      <c r="J227" s="86" t="str">
        <f>IF(E227="","",SUMIFS('Stock Movement'!$F$2:$F$501,'Stock Movement'!$D$2:$D$501,E227,'Stock Movement'!$E$2:$E$501,"IN")-SUMIFS('Stock Movement'!$F$2:$F$501,'Stock Movement'!$D$2:$D$501,E227,'Stock Movement'!$E$2:$E$501,"OUT"))</f>
        <v/>
      </c>
      <c r="K227" s="87" t="str">
        <f t="array" ref="K227">IF(G227="","",IFERROR(INDEX('Material Master'!$D$2:$D$201,IFERROR(MATCH(G227,'Material Master'!$F$2:$F$201,0),MATCH(G227,'Material Master'!$A$2:$A$201,0))),""))</f>
        <v/>
      </c>
      <c r="L227" s="85"/>
      <c r="M227" s="85"/>
    </row>
    <row r="228" ht="15.75" customHeight="1">
      <c r="A228" s="150"/>
      <c r="B228" s="151"/>
      <c r="C228" s="150"/>
      <c r="D228" s="152"/>
      <c r="E228" s="77" t="str">
        <f t="shared" si="1"/>
        <v/>
      </c>
      <c r="F228" s="91" t="str">
        <f t="shared" si="2"/>
        <v/>
      </c>
      <c r="G228" s="69"/>
      <c r="H228" s="69" t="str">
        <f t="array" ref="H228">IF(G228="","",IFERROR(INDEX('Material Master'!$B$2:$B$201,IFERROR(MATCH(G228,'Material Master'!$F$2:$F$201,0),MATCH(G228,'Material Master'!$A$2:$A$201,0))),""))</f>
        <v/>
      </c>
      <c r="I228" s="69" t="str">
        <f t="array" ref="I228">IF(G228="","",IFERROR(INDEX('Material Master'!$C$2:$C$201,IFERROR(MATCH(G228,'Material Master'!$F$2:$F$201,0),MATCH(G228,'Material Master'!$A$2:$A$201,0))),""))</f>
        <v/>
      </c>
      <c r="J228" s="75" t="str">
        <f>IF(E228="","",SUMIFS('Stock Movement'!$F$2:$F$501,'Stock Movement'!$D$2:$D$501,E228,'Stock Movement'!$E$2:$E$501,"IN")-SUMIFS('Stock Movement'!$F$2:$F$501,'Stock Movement'!$D$2:$D$501,E228,'Stock Movement'!$E$2:$E$501,"OUT"))</f>
        <v/>
      </c>
      <c r="K228" s="77" t="str">
        <f t="array" ref="K228">IF(G228="","",IFERROR(INDEX('Material Master'!$D$2:$D$201,IFERROR(MATCH(G228,'Material Master'!$F$2:$F$201,0),MATCH(G228,'Material Master'!$A$2:$A$201,0))),""))</f>
        <v/>
      </c>
      <c r="L228" s="69"/>
      <c r="M228" s="69"/>
    </row>
    <row r="229" ht="15.75" customHeight="1">
      <c r="A229" s="147"/>
      <c r="B229" s="148"/>
      <c r="C229" s="147"/>
      <c r="D229" s="149"/>
      <c r="E229" s="87" t="str">
        <f t="shared" si="1"/>
        <v/>
      </c>
      <c r="F229" s="83" t="str">
        <f t="shared" si="2"/>
        <v/>
      </c>
      <c r="G229" s="85"/>
      <c r="H229" s="85" t="str">
        <f t="array" ref="H229">IF(G229="","",IFERROR(INDEX('Material Master'!$B$2:$B$201,IFERROR(MATCH(G229,'Material Master'!$F$2:$F$201,0),MATCH(G229,'Material Master'!$A$2:$A$201,0))),""))</f>
        <v/>
      </c>
      <c r="I229" s="85" t="str">
        <f t="array" ref="I229">IF(G229="","",IFERROR(INDEX('Material Master'!$C$2:$C$201,IFERROR(MATCH(G229,'Material Master'!$F$2:$F$201,0),MATCH(G229,'Material Master'!$A$2:$A$201,0))),""))</f>
        <v/>
      </c>
      <c r="J229" s="86" t="str">
        <f>IF(E229="","",SUMIFS('Stock Movement'!$F$2:$F$501,'Stock Movement'!$D$2:$D$501,E229,'Stock Movement'!$E$2:$E$501,"IN")-SUMIFS('Stock Movement'!$F$2:$F$501,'Stock Movement'!$D$2:$D$501,E229,'Stock Movement'!$E$2:$E$501,"OUT"))</f>
        <v/>
      </c>
      <c r="K229" s="87" t="str">
        <f t="array" ref="K229">IF(G229="","",IFERROR(INDEX('Material Master'!$D$2:$D$201,IFERROR(MATCH(G229,'Material Master'!$F$2:$F$201,0),MATCH(G229,'Material Master'!$A$2:$A$201,0))),""))</f>
        <v/>
      </c>
      <c r="L229" s="85"/>
      <c r="M229" s="85"/>
    </row>
    <row r="230" ht="15.75" customHeight="1">
      <c r="A230" s="150"/>
      <c r="B230" s="151"/>
      <c r="C230" s="150"/>
      <c r="D230" s="152"/>
      <c r="E230" s="77" t="str">
        <f t="shared" si="1"/>
        <v/>
      </c>
      <c r="F230" s="91" t="str">
        <f t="shared" si="2"/>
        <v/>
      </c>
      <c r="G230" s="69"/>
      <c r="H230" s="69" t="str">
        <f t="array" ref="H230">IF(G230="","",IFERROR(INDEX('Material Master'!$B$2:$B$201,IFERROR(MATCH(G230,'Material Master'!$F$2:$F$201,0),MATCH(G230,'Material Master'!$A$2:$A$201,0))),""))</f>
        <v/>
      </c>
      <c r="I230" s="69" t="str">
        <f t="array" ref="I230">IF(G230="","",IFERROR(INDEX('Material Master'!$C$2:$C$201,IFERROR(MATCH(G230,'Material Master'!$F$2:$F$201,0),MATCH(G230,'Material Master'!$A$2:$A$201,0))),""))</f>
        <v/>
      </c>
      <c r="J230" s="75" t="str">
        <f>IF(E230="","",SUMIFS('Stock Movement'!$F$2:$F$501,'Stock Movement'!$D$2:$D$501,E230,'Stock Movement'!$E$2:$E$501,"IN")-SUMIFS('Stock Movement'!$F$2:$F$501,'Stock Movement'!$D$2:$D$501,E230,'Stock Movement'!$E$2:$E$501,"OUT"))</f>
        <v/>
      </c>
      <c r="K230" s="77" t="str">
        <f t="array" ref="K230">IF(G230="","",IFERROR(INDEX('Material Master'!$D$2:$D$201,IFERROR(MATCH(G230,'Material Master'!$F$2:$F$201,0),MATCH(G230,'Material Master'!$A$2:$A$201,0))),""))</f>
        <v/>
      </c>
      <c r="L230" s="69"/>
      <c r="M230" s="69"/>
    </row>
    <row r="231" ht="15.75" customHeight="1">
      <c r="A231" s="147"/>
      <c r="B231" s="148"/>
      <c r="C231" s="147"/>
      <c r="D231" s="149"/>
      <c r="E231" s="87" t="str">
        <f t="shared" si="1"/>
        <v/>
      </c>
      <c r="F231" s="83" t="str">
        <f t="shared" si="2"/>
        <v/>
      </c>
      <c r="G231" s="85"/>
      <c r="H231" s="85" t="str">
        <f t="array" ref="H231">IF(G231="","",IFERROR(INDEX('Material Master'!$B$2:$B$201,IFERROR(MATCH(G231,'Material Master'!$F$2:$F$201,0),MATCH(G231,'Material Master'!$A$2:$A$201,0))),""))</f>
        <v/>
      </c>
      <c r="I231" s="85" t="str">
        <f t="array" ref="I231">IF(G231="","",IFERROR(INDEX('Material Master'!$C$2:$C$201,IFERROR(MATCH(G231,'Material Master'!$F$2:$F$201,0),MATCH(G231,'Material Master'!$A$2:$A$201,0))),""))</f>
        <v/>
      </c>
      <c r="J231" s="86" t="str">
        <f>IF(E231="","",SUMIFS('Stock Movement'!$F$2:$F$501,'Stock Movement'!$D$2:$D$501,E231,'Stock Movement'!$E$2:$E$501,"IN")-SUMIFS('Stock Movement'!$F$2:$F$501,'Stock Movement'!$D$2:$D$501,E231,'Stock Movement'!$E$2:$E$501,"OUT"))</f>
        <v/>
      </c>
      <c r="K231" s="87" t="str">
        <f t="array" ref="K231">IF(G231="","",IFERROR(INDEX('Material Master'!$D$2:$D$201,IFERROR(MATCH(G231,'Material Master'!$F$2:$F$201,0),MATCH(G231,'Material Master'!$A$2:$A$201,0))),""))</f>
        <v/>
      </c>
      <c r="L231" s="85"/>
      <c r="M231" s="85"/>
    </row>
    <row r="232" ht="15.75" customHeight="1">
      <c r="A232" s="150"/>
      <c r="B232" s="151"/>
      <c r="C232" s="150"/>
      <c r="D232" s="152"/>
      <c r="E232" s="77" t="str">
        <f t="shared" si="1"/>
        <v/>
      </c>
      <c r="F232" s="91" t="str">
        <f t="shared" si="2"/>
        <v/>
      </c>
      <c r="G232" s="69"/>
      <c r="H232" s="69" t="str">
        <f t="array" ref="H232">IF(G232="","",IFERROR(INDEX('Material Master'!$B$2:$B$201,IFERROR(MATCH(G232,'Material Master'!$F$2:$F$201,0),MATCH(G232,'Material Master'!$A$2:$A$201,0))),""))</f>
        <v/>
      </c>
      <c r="I232" s="69" t="str">
        <f t="array" ref="I232">IF(G232="","",IFERROR(INDEX('Material Master'!$C$2:$C$201,IFERROR(MATCH(G232,'Material Master'!$F$2:$F$201,0),MATCH(G232,'Material Master'!$A$2:$A$201,0))),""))</f>
        <v/>
      </c>
      <c r="J232" s="75" t="str">
        <f>IF(E232="","",SUMIFS('Stock Movement'!$F$2:$F$501,'Stock Movement'!$D$2:$D$501,E232,'Stock Movement'!$E$2:$E$501,"IN")-SUMIFS('Stock Movement'!$F$2:$F$501,'Stock Movement'!$D$2:$D$501,E232,'Stock Movement'!$E$2:$E$501,"OUT"))</f>
        <v/>
      </c>
      <c r="K232" s="77" t="str">
        <f t="array" ref="K232">IF(G232="","",IFERROR(INDEX('Material Master'!$D$2:$D$201,IFERROR(MATCH(G232,'Material Master'!$F$2:$F$201,0),MATCH(G232,'Material Master'!$A$2:$A$201,0))),""))</f>
        <v/>
      </c>
      <c r="L232" s="69"/>
      <c r="M232" s="69"/>
    </row>
    <row r="233" ht="15.75" customHeight="1">
      <c r="A233" s="147"/>
      <c r="B233" s="148"/>
      <c r="C233" s="147"/>
      <c r="D233" s="149"/>
      <c r="E233" s="87" t="str">
        <f t="shared" si="1"/>
        <v/>
      </c>
      <c r="F233" s="83" t="str">
        <f t="shared" si="2"/>
        <v/>
      </c>
      <c r="G233" s="85"/>
      <c r="H233" s="85" t="str">
        <f t="array" ref="H233">IF(G233="","",IFERROR(INDEX('Material Master'!$B$2:$B$201,IFERROR(MATCH(G233,'Material Master'!$F$2:$F$201,0),MATCH(G233,'Material Master'!$A$2:$A$201,0))),""))</f>
        <v/>
      </c>
      <c r="I233" s="85" t="str">
        <f t="array" ref="I233">IF(G233="","",IFERROR(INDEX('Material Master'!$C$2:$C$201,IFERROR(MATCH(G233,'Material Master'!$F$2:$F$201,0),MATCH(G233,'Material Master'!$A$2:$A$201,0))),""))</f>
        <v/>
      </c>
      <c r="J233" s="86" t="str">
        <f>IF(E233="","",SUMIFS('Stock Movement'!$F$2:$F$501,'Stock Movement'!$D$2:$D$501,E233,'Stock Movement'!$E$2:$E$501,"IN")-SUMIFS('Stock Movement'!$F$2:$F$501,'Stock Movement'!$D$2:$D$501,E233,'Stock Movement'!$E$2:$E$501,"OUT"))</f>
        <v/>
      </c>
      <c r="K233" s="87" t="str">
        <f t="array" ref="K233">IF(G233="","",IFERROR(INDEX('Material Master'!$D$2:$D$201,IFERROR(MATCH(G233,'Material Master'!$F$2:$F$201,0),MATCH(G233,'Material Master'!$A$2:$A$201,0))),""))</f>
        <v/>
      </c>
      <c r="L233" s="85"/>
      <c r="M233" s="85"/>
    </row>
    <row r="234" ht="15.75" customHeight="1">
      <c r="A234" s="150"/>
      <c r="B234" s="151"/>
      <c r="C234" s="150"/>
      <c r="D234" s="152"/>
      <c r="E234" s="77" t="str">
        <f t="shared" si="1"/>
        <v/>
      </c>
      <c r="F234" s="91" t="str">
        <f t="shared" si="2"/>
        <v/>
      </c>
      <c r="G234" s="69"/>
      <c r="H234" s="69" t="str">
        <f t="array" ref="H234">IF(G234="","",IFERROR(INDEX('Material Master'!$B$2:$B$201,IFERROR(MATCH(G234,'Material Master'!$F$2:$F$201,0),MATCH(G234,'Material Master'!$A$2:$A$201,0))),""))</f>
        <v/>
      </c>
      <c r="I234" s="69" t="str">
        <f t="array" ref="I234">IF(G234="","",IFERROR(INDEX('Material Master'!$C$2:$C$201,IFERROR(MATCH(G234,'Material Master'!$F$2:$F$201,0),MATCH(G234,'Material Master'!$A$2:$A$201,0))),""))</f>
        <v/>
      </c>
      <c r="J234" s="75" t="str">
        <f>IF(E234="","",SUMIFS('Stock Movement'!$F$2:$F$501,'Stock Movement'!$D$2:$D$501,E234,'Stock Movement'!$E$2:$E$501,"IN")-SUMIFS('Stock Movement'!$F$2:$F$501,'Stock Movement'!$D$2:$D$501,E234,'Stock Movement'!$E$2:$E$501,"OUT"))</f>
        <v/>
      </c>
      <c r="K234" s="77" t="str">
        <f t="array" ref="K234">IF(G234="","",IFERROR(INDEX('Material Master'!$D$2:$D$201,IFERROR(MATCH(G234,'Material Master'!$F$2:$F$201,0),MATCH(G234,'Material Master'!$A$2:$A$201,0))),""))</f>
        <v/>
      </c>
      <c r="L234" s="69"/>
      <c r="M234" s="69"/>
    </row>
    <row r="235" ht="15.75" customHeight="1">
      <c r="A235" s="147"/>
      <c r="B235" s="148"/>
      <c r="C235" s="147"/>
      <c r="D235" s="149"/>
      <c r="E235" s="87" t="str">
        <f t="shared" si="1"/>
        <v/>
      </c>
      <c r="F235" s="83" t="str">
        <f t="shared" si="2"/>
        <v/>
      </c>
      <c r="G235" s="85"/>
      <c r="H235" s="85" t="str">
        <f t="array" ref="H235">IF(G235="","",IFERROR(INDEX('Material Master'!$B$2:$B$201,IFERROR(MATCH(G235,'Material Master'!$F$2:$F$201,0),MATCH(G235,'Material Master'!$A$2:$A$201,0))),""))</f>
        <v/>
      </c>
      <c r="I235" s="85" t="str">
        <f t="array" ref="I235">IF(G235="","",IFERROR(INDEX('Material Master'!$C$2:$C$201,IFERROR(MATCH(G235,'Material Master'!$F$2:$F$201,0),MATCH(G235,'Material Master'!$A$2:$A$201,0))),""))</f>
        <v/>
      </c>
      <c r="J235" s="86" t="str">
        <f>IF(E235="","",SUMIFS('Stock Movement'!$F$2:$F$501,'Stock Movement'!$D$2:$D$501,E235,'Stock Movement'!$E$2:$E$501,"IN")-SUMIFS('Stock Movement'!$F$2:$F$501,'Stock Movement'!$D$2:$D$501,E235,'Stock Movement'!$E$2:$E$501,"OUT"))</f>
        <v/>
      </c>
      <c r="K235" s="87" t="str">
        <f t="array" ref="K235">IF(G235="","",IFERROR(INDEX('Material Master'!$D$2:$D$201,IFERROR(MATCH(G235,'Material Master'!$F$2:$F$201,0),MATCH(G235,'Material Master'!$A$2:$A$201,0))),""))</f>
        <v/>
      </c>
      <c r="L235" s="85"/>
      <c r="M235" s="85"/>
    </row>
    <row r="236" ht="15.75" customHeight="1">
      <c r="A236" s="150"/>
      <c r="B236" s="151"/>
      <c r="C236" s="150"/>
      <c r="D236" s="152"/>
      <c r="E236" s="77" t="str">
        <f t="shared" si="1"/>
        <v/>
      </c>
      <c r="F236" s="91" t="str">
        <f t="shared" si="2"/>
        <v/>
      </c>
      <c r="G236" s="69"/>
      <c r="H236" s="69" t="str">
        <f t="array" ref="H236">IF(G236="","",IFERROR(INDEX('Material Master'!$B$2:$B$201,IFERROR(MATCH(G236,'Material Master'!$F$2:$F$201,0),MATCH(G236,'Material Master'!$A$2:$A$201,0))),""))</f>
        <v/>
      </c>
      <c r="I236" s="69" t="str">
        <f t="array" ref="I236">IF(G236="","",IFERROR(INDEX('Material Master'!$C$2:$C$201,IFERROR(MATCH(G236,'Material Master'!$F$2:$F$201,0),MATCH(G236,'Material Master'!$A$2:$A$201,0))),""))</f>
        <v/>
      </c>
      <c r="J236" s="75" t="str">
        <f>IF(E236="","",SUMIFS('Stock Movement'!$F$2:$F$501,'Stock Movement'!$D$2:$D$501,E236,'Stock Movement'!$E$2:$E$501,"IN")-SUMIFS('Stock Movement'!$F$2:$F$501,'Stock Movement'!$D$2:$D$501,E236,'Stock Movement'!$E$2:$E$501,"OUT"))</f>
        <v/>
      </c>
      <c r="K236" s="77" t="str">
        <f t="array" ref="K236">IF(G236="","",IFERROR(INDEX('Material Master'!$D$2:$D$201,IFERROR(MATCH(G236,'Material Master'!$F$2:$F$201,0),MATCH(G236,'Material Master'!$A$2:$A$201,0))),""))</f>
        <v/>
      </c>
      <c r="L236" s="69"/>
      <c r="M236" s="69"/>
    </row>
    <row r="237" ht="15.75" customHeight="1">
      <c r="A237" s="147"/>
      <c r="B237" s="148"/>
      <c r="C237" s="147"/>
      <c r="D237" s="149"/>
      <c r="E237" s="87" t="str">
        <f t="shared" si="1"/>
        <v/>
      </c>
      <c r="F237" s="83" t="str">
        <f t="shared" si="2"/>
        <v/>
      </c>
      <c r="G237" s="85"/>
      <c r="H237" s="85" t="str">
        <f t="array" ref="H237">IF(G237="","",IFERROR(INDEX('Material Master'!$B$2:$B$201,IFERROR(MATCH(G237,'Material Master'!$F$2:$F$201,0),MATCH(G237,'Material Master'!$A$2:$A$201,0))),""))</f>
        <v/>
      </c>
      <c r="I237" s="85" t="str">
        <f t="array" ref="I237">IF(G237="","",IFERROR(INDEX('Material Master'!$C$2:$C$201,IFERROR(MATCH(G237,'Material Master'!$F$2:$F$201,0),MATCH(G237,'Material Master'!$A$2:$A$201,0))),""))</f>
        <v/>
      </c>
      <c r="J237" s="86" t="str">
        <f>IF(E237="","",SUMIFS('Stock Movement'!$F$2:$F$501,'Stock Movement'!$D$2:$D$501,E237,'Stock Movement'!$E$2:$E$501,"IN")-SUMIFS('Stock Movement'!$F$2:$F$501,'Stock Movement'!$D$2:$D$501,E237,'Stock Movement'!$E$2:$E$501,"OUT"))</f>
        <v/>
      </c>
      <c r="K237" s="87" t="str">
        <f t="array" ref="K237">IF(G237="","",IFERROR(INDEX('Material Master'!$D$2:$D$201,IFERROR(MATCH(G237,'Material Master'!$F$2:$F$201,0),MATCH(G237,'Material Master'!$A$2:$A$201,0))),""))</f>
        <v/>
      </c>
      <c r="L237" s="85"/>
      <c r="M237" s="85"/>
    </row>
    <row r="238" ht="15.75" customHeight="1">
      <c r="A238" s="150"/>
      <c r="B238" s="151"/>
      <c r="C238" s="150"/>
      <c r="D238" s="152"/>
      <c r="E238" s="77" t="str">
        <f t="shared" si="1"/>
        <v/>
      </c>
      <c r="F238" s="91" t="str">
        <f t="shared" si="2"/>
        <v/>
      </c>
      <c r="G238" s="69"/>
      <c r="H238" s="69" t="str">
        <f t="array" ref="H238">IF(G238="","",IFERROR(INDEX('Material Master'!$B$2:$B$201,IFERROR(MATCH(G238,'Material Master'!$F$2:$F$201,0),MATCH(G238,'Material Master'!$A$2:$A$201,0))),""))</f>
        <v/>
      </c>
      <c r="I238" s="69" t="str">
        <f t="array" ref="I238">IF(G238="","",IFERROR(INDEX('Material Master'!$C$2:$C$201,IFERROR(MATCH(G238,'Material Master'!$F$2:$F$201,0),MATCH(G238,'Material Master'!$A$2:$A$201,0))),""))</f>
        <v/>
      </c>
      <c r="J238" s="75" t="str">
        <f>IF(E238="","",SUMIFS('Stock Movement'!$F$2:$F$501,'Stock Movement'!$D$2:$D$501,E238,'Stock Movement'!$E$2:$E$501,"IN")-SUMIFS('Stock Movement'!$F$2:$F$501,'Stock Movement'!$D$2:$D$501,E238,'Stock Movement'!$E$2:$E$501,"OUT"))</f>
        <v/>
      </c>
      <c r="K238" s="77" t="str">
        <f t="array" ref="K238">IF(G238="","",IFERROR(INDEX('Material Master'!$D$2:$D$201,IFERROR(MATCH(G238,'Material Master'!$F$2:$F$201,0),MATCH(G238,'Material Master'!$A$2:$A$201,0))),""))</f>
        <v/>
      </c>
      <c r="L238" s="69"/>
      <c r="M238" s="69"/>
    </row>
    <row r="239" ht="15.75" customHeight="1">
      <c r="A239" s="147"/>
      <c r="B239" s="148"/>
      <c r="C239" s="147"/>
      <c r="D239" s="149"/>
      <c r="E239" s="87" t="str">
        <f t="shared" si="1"/>
        <v/>
      </c>
      <c r="F239" s="83" t="str">
        <f t="shared" si="2"/>
        <v/>
      </c>
      <c r="G239" s="85"/>
      <c r="H239" s="85" t="str">
        <f t="array" ref="H239">IF(G239="","",IFERROR(INDEX('Material Master'!$B$2:$B$201,IFERROR(MATCH(G239,'Material Master'!$F$2:$F$201,0),MATCH(G239,'Material Master'!$A$2:$A$201,0))),""))</f>
        <v/>
      </c>
      <c r="I239" s="85" t="str">
        <f t="array" ref="I239">IF(G239="","",IFERROR(INDEX('Material Master'!$C$2:$C$201,IFERROR(MATCH(G239,'Material Master'!$F$2:$F$201,0),MATCH(G239,'Material Master'!$A$2:$A$201,0))),""))</f>
        <v/>
      </c>
      <c r="J239" s="86" t="str">
        <f>IF(E239="","",SUMIFS('Stock Movement'!$F$2:$F$501,'Stock Movement'!$D$2:$D$501,E239,'Stock Movement'!$E$2:$E$501,"IN")-SUMIFS('Stock Movement'!$F$2:$F$501,'Stock Movement'!$D$2:$D$501,E239,'Stock Movement'!$E$2:$E$501,"OUT"))</f>
        <v/>
      </c>
      <c r="K239" s="87" t="str">
        <f t="array" ref="K239">IF(G239="","",IFERROR(INDEX('Material Master'!$D$2:$D$201,IFERROR(MATCH(G239,'Material Master'!$F$2:$F$201,0),MATCH(G239,'Material Master'!$A$2:$A$201,0))),""))</f>
        <v/>
      </c>
      <c r="L239" s="85"/>
      <c r="M239" s="85"/>
    </row>
    <row r="240" ht="15.75" customHeight="1">
      <c r="A240" s="150"/>
      <c r="B240" s="151"/>
      <c r="C240" s="150"/>
      <c r="D240" s="152"/>
      <c r="E240" s="77" t="str">
        <f t="shared" si="1"/>
        <v/>
      </c>
      <c r="F240" s="91" t="str">
        <f t="shared" si="2"/>
        <v/>
      </c>
      <c r="G240" s="69"/>
      <c r="H240" s="69" t="str">
        <f t="array" ref="H240">IF(G240="","",IFERROR(INDEX('Material Master'!$B$2:$B$201,IFERROR(MATCH(G240,'Material Master'!$F$2:$F$201,0),MATCH(G240,'Material Master'!$A$2:$A$201,0))),""))</f>
        <v/>
      </c>
      <c r="I240" s="69" t="str">
        <f t="array" ref="I240">IF(G240="","",IFERROR(INDEX('Material Master'!$C$2:$C$201,IFERROR(MATCH(G240,'Material Master'!$F$2:$F$201,0),MATCH(G240,'Material Master'!$A$2:$A$201,0))),""))</f>
        <v/>
      </c>
      <c r="J240" s="75" t="str">
        <f>IF(E240="","",SUMIFS('Stock Movement'!$F$2:$F$501,'Stock Movement'!$D$2:$D$501,E240,'Stock Movement'!$E$2:$E$501,"IN")-SUMIFS('Stock Movement'!$F$2:$F$501,'Stock Movement'!$D$2:$D$501,E240,'Stock Movement'!$E$2:$E$501,"OUT"))</f>
        <v/>
      </c>
      <c r="K240" s="77" t="str">
        <f t="array" ref="K240">IF(G240="","",IFERROR(INDEX('Material Master'!$D$2:$D$201,IFERROR(MATCH(G240,'Material Master'!$F$2:$F$201,0),MATCH(G240,'Material Master'!$A$2:$A$201,0))),""))</f>
        <v/>
      </c>
      <c r="L240" s="69"/>
      <c r="M240" s="69"/>
    </row>
    <row r="241" ht="15.75" customHeight="1">
      <c r="A241" s="147"/>
      <c r="B241" s="148"/>
      <c r="C241" s="147"/>
      <c r="D241" s="149"/>
      <c r="E241" s="87" t="str">
        <f t="shared" si="1"/>
        <v/>
      </c>
      <c r="F241" s="83" t="str">
        <f t="shared" si="2"/>
        <v/>
      </c>
      <c r="G241" s="85"/>
      <c r="H241" s="85" t="str">
        <f t="array" ref="H241">IF(G241="","",IFERROR(INDEX('Material Master'!$B$2:$B$201,IFERROR(MATCH(G241,'Material Master'!$F$2:$F$201,0),MATCH(G241,'Material Master'!$A$2:$A$201,0))),""))</f>
        <v/>
      </c>
      <c r="I241" s="85" t="str">
        <f t="array" ref="I241">IF(G241="","",IFERROR(INDEX('Material Master'!$C$2:$C$201,IFERROR(MATCH(G241,'Material Master'!$F$2:$F$201,0),MATCH(G241,'Material Master'!$A$2:$A$201,0))),""))</f>
        <v/>
      </c>
      <c r="J241" s="86" t="str">
        <f>IF(E241="","",SUMIFS('Stock Movement'!$F$2:$F$501,'Stock Movement'!$D$2:$D$501,E241,'Stock Movement'!$E$2:$E$501,"IN")-SUMIFS('Stock Movement'!$F$2:$F$501,'Stock Movement'!$D$2:$D$501,E241,'Stock Movement'!$E$2:$E$501,"OUT"))</f>
        <v/>
      </c>
      <c r="K241" s="87" t="str">
        <f t="array" ref="K241">IF(G241="","",IFERROR(INDEX('Material Master'!$D$2:$D$201,IFERROR(MATCH(G241,'Material Master'!$F$2:$F$201,0),MATCH(G241,'Material Master'!$A$2:$A$201,0))),""))</f>
        <v/>
      </c>
      <c r="L241" s="85"/>
      <c r="M241" s="85"/>
    </row>
    <row r="242" ht="15.75" customHeight="1">
      <c r="A242" s="150"/>
      <c r="B242" s="151"/>
      <c r="C242" s="150"/>
      <c r="D242" s="152"/>
      <c r="E242" s="77" t="str">
        <f t="shared" si="1"/>
        <v/>
      </c>
      <c r="F242" s="91" t="str">
        <f t="shared" si="2"/>
        <v/>
      </c>
      <c r="G242" s="69"/>
      <c r="H242" s="69" t="str">
        <f t="array" ref="H242">IF(G242="","",IFERROR(INDEX('Material Master'!$B$2:$B$201,IFERROR(MATCH(G242,'Material Master'!$F$2:$F$201,0),MATCH(G242,'Material Master'!$A$2:$A$201,0))),""))</f>
        <v/>
      </c>
      <c r="I242" s="69" t="str">
        <f t="array" ref="I242">IF(G242="","",IFERROR(INDEX('Material Master'!$C$2:$C$201,IFERROR(MATCH(G242,'Material Master'!$F$2:$F$201,0),MATCH(G242,'Material Master'!$A$2:$A$201,0))),""))</f>
        <v/>
      </c>
      <c r="J242" s="75" t="str">
        <f>IF(E242="","",SUMIFS('Stock Movement'!$F$2:$F$501,'Stock Movement'!$D$2:$D$501,E242,'Stock Movement'!$E$2:$E$501,"IN")-SUMIFS('Stock Movement'!$F$2:$F$501,'Stock Movement'!$D$2:$D$501,E242,'Stock Movement'!$E$2:$E$501,"OUT"))</f>
        <v/>
      </c>
      <c r="K242" s="77" t="str">
        <f t="array" ref="K242">IF(G242="","",IFERROR(INDEX('Material Master'!$D$2:$D$201,IFERROR(MATCH(G242,'Material Master'!$F$2:$F$201,0),MATCH(G242,'Material Master'!$A$2:$A$201,0))),""))</f>
        <v/>
      </c>
      <c r="L242" s="69"/>
      <c r="M242" s="69"/>
    </row>
    <row r="243" ht="15.75" customHeight="1">
      <c r="A243" s="147"/>
      <c r="B243" s="148"/>
      <c r="C243" s="147"/>
      <c r="D243" s="149"/>
      <c r="E243" s="87" t="str">
        <f t="shared" si="1"/>
        <v/>
      </c>
      <c r="F243" s="83" t="str">
        <f t="shared" si="2"/>
        <v/>
      </c>
      <c r="G243" s="85"/>
      <c r="H243" s="85" t="str">
        <f t="array" ref="H243">IF(G243="","",IFERROR(INDEX('Material Master'!$B$2:$B$201,IFERROR(MATCH(G243,'Material Master'!$F$2:$F$201,0),MATCH(G243,'Material Master'!$A$2:$A$201,0))),""))</f>
        <v/>
      </c>
      <c r="I243" s="85" t="str">
        <f t="array" ref="I243">IF(G243="","",IFERROR(INDEX('Material Master'!$C$2:$C$201,IFERROR(MATCH(G243,'Material Master'!$F$2:$F$201,0),MATCH(G243,'Material Master'!$A$2:$A$201,0))),""))</f>
        <v/>
      </c>
      <c r="J243" s="86" t="str">
        <f>IF(E243="","",SUMIFS('Stock Movement'!$F$2:$F$501,'Stock Movement'!$D$2:$D$501,E243,'Stock Movement'!$E$2:$E$501,"IN")-SUMIFS('Stock Movement'!$F$2:$F$501,'Stock Movement'!$D$2:$D$501,E243,'Stock Movement'!$E$2:$E$501,"OUT"))</f>
        <v/>
      </c>
      <c r="K243" s="87" t="str">
        <f t="array" ref="K243">IF(G243="","",IFERROR(INDEX('Material Master'!$D$2:$D$201,IFERROR(MATCH(G243,'Material Master'!$F$2:$F$201,0),MATCH(G243,'Material Master'!$A$2:$A$201,0))),""))</f>
        <v/>
      </c>
      <c r="L243" s="85"/>
      <c r="M243" s="85"/>
    </row>
    <row r="244" ht="15.75" customHeight="1">
      <c r="A244" s="150"/>
      <c r="B244" s="151"/>
      <c r="C244" s="150"/>
      <c r="D244" s="152"/>
      <c r="E244" s="77" t="str">
        <f t="shared" si="1"/>
        <v/>
      </c>
      <c r="F244" s="91" t="str">
        <f t="shared" si="2"/>
        <v/>
      </c>
      <c r="G244" s="69"/>
      <c r="H244" s="69" t="str">
        <f t="array" ref="H244">IF(G244="","",IFERROR(INDEX('Material Master'!$B$2:$B$201,IFERROR(MATCH(G244,'Material Master'!$F$2:$F$201,0),MATCH(G244,'Material Master'!$A$2:$A$201,0))),""))</f>
        <v/>
      </c>
      <c r="I244" s="69" t="str">
        <f t="array" ref="I244">IF(G244="","",IFERROR(INDEX('Material Master'!$C$2:$C$201,IFERROR(MATCH(G244,'Material Master'!$F$2:$F$201,0),MATCH(G244,'Material Master'!$A$2:$A$201,0))),""))</f>
        <v/>
      </c>
      <c r="J244" s="75" t="str">
        <f>IF(E244="","",SUMIFS('Stock Movement'!$F$2:$F$501,'Stock Movement'!$D$2:$D$501,E244,'Stock Movement'!$E$2:$E$501,"IN")-SUMIFS('Stock Movement'!$F$2:$F$501,'Stock Movement'!$D$2:$D$501,E244,'Stock Movement'!$E$2:$E$501,"OUT"))</f>
        <v/>
      </c>
      <c r="K244" s="77" t="str">
        <f t="array" ref="K244">IF(G244="","",IFERROR(INDEX('Material Master'!$D$2:$D$201,IFERROR(MATCH(G244,'Material Master'!$F$2:$F$201,0),MATCH(G244,'Material Master'!$A$2:$A$201,0))),""))</f>
        <v/>
      </c>
      <c r="L244" s="69"/>
      <c r="M244" s="69"/>
    </row>
    <row r="245" ht="15.75" customHeight="1">
      <c r="A245" s="147"/>
      <c r="B245" s="148"/>
      <c r="C245" s="147"/>
      <c r="D245" s="149"/>
      <c r="E245" s="87" t="str">
        <f t="shared" si="1"/>
        <v/>
      </c>
      <c r="F245" s="83" t="str">
        <f t="shared" si="2"/>
        <v/>
      </c>
      <c r="G245" s="85"/>
      <c r="H245" s="85" t="str">
        <f t="array" ref="H245">IF(G245="","",IFERROR(INDEX('Material Master'!$B$2:$B$201,IFERROR(MATCH(G245,'Material Master'!$F$2:$F$201,0),MATCH(G245,'Material Master'!$A$2:$A$201,0))),""))</f>
        <v/>
      </c>
      <c r="I245" s="85" t="str">
        <f t="array" ref="I245">IF(G245="","",IFERROR(INDEX('Material Master'!$C$2:$C$201,IFERROR(MATCH(G245,'Material Master'!$F$2:$F$201,0),MATCH(G245,'Material Master'!$A$2:$A$201,0))),""))</f>
        <v/>
      </c>
      <c r="J245" s="86" t="str">
        <f>IF(E245="","",SUMIFS('Stock Movement'!$F$2:$F$501,'Stock Movement'!$D$2:$D$501,E245,'Stock Movement'!$E$2:$E$501,"IN")-SUMIFS('Stock Movement'!$F$2:$F$501,'Stock Movement'!$D$2:$D$501,E245,'Stock Movement'!$E$2:$E$501,"OUT"))</f>
        <v/>
      </c>
      <c r="K245" s="87" t="str">
        <f t="array" ref="K245">IF(G245="","",IFERROR(INDEX('Material Master'!$D$2:$D$201,IFERROR(MATCH(G245,'Material Master'!$F$2:$F$201,0),MATCH(G245,'Material Master'!$A$2:$A$201,0))),""))</f>
        <v/>
      </c>
      <c r="L245" s="85"/>
      <c r="M245" s="85"/>
    </row>
    <row r="246" ht="15.75" customHeight="1">
      <c r="A246" s="150"/>
      <c r="B246" s="151"/>
      <c r="C246" s="150"/>
      <c r="D246" s="152"/>
      <c r="E246" s="77" t="str">
        <f t="shared" si="1"/>
        <v/>
      </c>
      <c r="F246" s="91" t="str">
        <f t="shared" si="2"/>
        <v/>
      </c>
      <c r="G246" s="69"/>
      <c r="H246" s="69" t="str">
        <f t="array" ref="H246">IF(G246="","",IFERROR(INDEX('Material Master'!$B$2:$B$201,IFERROR(MATCH(G246,'Material Master'!$F$2:$F$201,0),MATCH(G246,'Material Master'!$A$2:$A$201,0))),""))</f>
        <v/>
      </c>
      <c r="I246" s="69" t="str">
        <f t="array" ref="I246">IF(G246="","",IFERROR(INDEX('Material Master'!$C$2:$C$201,IFERROR(MATCH(G246,'Material Master'!$F$2:$F$201,0),MATCH(G246,'Material Master'!$A$2:$A$201,0))),""))</f>
        <v/>
      </c>
      <c r="J246" s="75" t="str">
        <f>IF(E246="","",SUMIFS('Stock Movement'!$F$2:$F$501,'Stock Movement'!$D$2:$D$501,E246,'Stock Movement'!$E$2:$E$501,"IN")-SUMIFS('Stock Movement'!$F$2:$F$501,'Stock Movement'!$D$2:$D$501,E246,'Stock Movement'!$E$2:$E$501,"OUT"))</f>
        <v/>
      </c>
      <c r="K246" s="77" t="str">
        <f t="array" ref="K246">IF(G246="","",IFERROR(INDEX('Material Master'!$D$2:$D$201,IFERROR(MATCH(G246,'Material Master'!$F$2:$F$201,0),MATCH(G246,'Material Master'!$A$2:$A$201,0))),""))</f>
        <v/>
      </c>
      <c r="L246" s="69"/>
      <c r="M246" s="69"/>
    </row>
    <row r="247" ht="15.75" customHeight="1">
      <c r="A247" s="147"/>
      <c r="B247" s="148"/>
      <c r="C247" s="147"/>
      <c r="D247" s="149"/>
      <c r="E247" s="87" t="str">
        <f t="shared" si="1"/>
        <v/>
      </c>
      <c r="F247" s="83" t="str">
        <f t="shared" si="2"/>
        <v/>
      </c>
      <c r="G247" s="85"/>
      <c r="H247" s="85" t="str">
        <f t="array" ref="H247">IF(G247="","",IFERROR(INDEX('Material Master'!$B$2:$B$201,IFERROR(MATCH(G247,'Material Master'!$F$2:$F$201,0),MATCH(G247,'Material Master'!$A$2:$A$201,0))),""))</f>
        <v/>
      </c>
      <c r="I247" s="85" t="str">
        <f t="array" ref="I247">IF(G247="","",IFERROR(INDEX('Material Master'!$C$2:$C$201,IFERROR(MATCH(G247,'Material Master'!$F$2:$F$201,0),MATCH(G247,'Material Master'!$A$2:$A$201,0))),""))</f>
        <v/>
      </c>
      <c r="J247" s="86" t="str">
        <f>IF(E247="","",SUMIFS('Stock Movement'!$F$2:$F$501,'Stock Movement'!$D$2:$D$501,E247,'Stock Movement'!$E$2:$E$501,"IN")-SUMIFS('Stock Movement'!$F$2:$F$501,'Stock Movement'!$D$2:$D$501,E247,'Stock Movement'!$E$2:$E$501,"OUT"))</f>
        <v/>
      </c>
      <c r="K247" s="87" t="str">
        <f t="array" ref="K247">IF(G247="","",IFERROR(INDEX('Material Master'!$D$2:$D$201,IFERROR(MATCH(G247,'Material Master'!$F$2:$F$201,0),MATCH(G247,'Material Master'!$A$2:$A$201,0))),""))</f>
        <v/>
      </c>
      <c r="L247" s="85"/>
      <c r="M247" s="85"/>
    </row>
    <row r="248" ht="15.75" customHeight="1">
      <c r="A248" s="150"/>
      <c r="B248" s="151"/>
      <c r="C248" s="150"/>
      <c r="D248" s="152"/>
      <c r="E248" s="77" t="str">
        <f t="shared" si="1"/>
        <v/>
      </c>
      <c r="F248" s="91" t="str">
        <f t="shared" si="2"/>
        <v/>
      </c>
      <c r="G248" s="69"/>
      <c r="H248" s="69" t="str">
        <f t="array" ref="H248">IF(G248="","",IFERROR(INDEX('Material Master'!$B$2:$B$201,IFERROR(MATCH(G248,'Material Master'!$F$2:$F$201,0),MATCH(G248,'Material Master'!$A$2:$A$201,0))),""))</f>
        <v/>
      </c>
      <c r="I248" s="69" t="str">
        <f t="array" ref="I248">IF(G248="","",IFERROR(INDEX('Material Master'!$C$2:$C$201,IFERROR(MATCH(G248,'Material Master'!$F$2:$F$201,0),MATCH(G248,'Material Master'!$A$2:$A$201,0))),""))</f>
        <v/>
      </c>
      <c r="J248" s="75" t="str">
        <f>IF(E248="","",SUMIFS('Stock Movement'!$F$2:$F$501,'Stock Movement'!$D$2:$D$501,E248,'Stock Movement'!$E$2:$E$501,"IN")-SUMIFS('Stock Movement'!$F$2:$F$501,'Stock Movement'!$D$2:$D$501,E248,'Stock Movement'!$E$2:$E$501,"OUT"))</f>
        <v/>
      </c>
      <c r="K248" s="77" t="str">
        <f t="array" ref="K248">IF(G248="","",IFERROR(INDEX('Material Master'!$D$2:$D$201,IFERROR(MATCH(G248,'Material Master'!$F$2:$F$201,0),MATCH(G248,'Material Master'!$A$2:$A$201,0))),""))</f>
        <v/>
      </c>
      <c r="L248" s="69"/>
      <c r="M248" s="69"/>
    </row>
    <row r="249" ht="15.75" customHeight="1">
      <c r="A249" s="147"/>
      <c r="B249" s="148"/>
      <c r="C249" s="147"/>
      <c r="D249" s="149"/>
      <c r="E249" s="87" t="str">
        <f t="shared" si="1"/>
        <v/>
      </c>
      <c r="F249" s="83" t="str">
        <f t="shared" si="2"/>
        <v/>
      </c>
      <c r="G249" s="85"/>
      <c r="H249" s="85" t="str">
        <f t="array" ref="H249">IF(G249="","",IFERROR(INDEX('Material Master'!$B$2:$B$201,IFERROR(MATCH(G249,'Material Master'!$F$2:$F$201,0),MATCH(G249,'Material Master'!$A$2:$A$201,0))),""))</f>
        <v/>
      </c>
      <c r="I249" s="85" t="str">
        <f t="array" ref="I249">IF(G249="","",IFERROR(INDEX('Material Master'!$C$2:$C$201,IFERROR(MATCH(G249,'Material Master'!$F$2:$F$201,0),MATCH(G249,'Material Master'!$A$2:$A$201,0))),""))</f>
        <v/>
      </c>
      <c r="J249" s="86" t="str">
        <f>IF(E249="","",SUMIFS('Stock Movement'!$F$2:$F$501,'Stock Movement'!$D$2:$D$501,E249,'Stock Movement'!$E$2:$E$501,"IN")-SUMIFS('Stock Movement'!$F$2:$F$501,'Stock Movement'!$D$2:$D$501,E249,'Stock Movement'!$E$2:$E$501,"OUT"))</f>
        <v/>
      </c>
      <c r="K249" s="87" t="str">
        <f t="array" ref="K249">IF(G249="","",IFERROR(INDEX('Material Master'!$D$2:$D$201,IFERROR(MATCH(G249,'Material Master'!$F$2:$F$201,0),MATCH(G249,'Material Master'!$A$2:$A$201,0))),""))</f>
        <v/>
      </c>
      <c r="L249" s="85"/>
      <c r="M249" s="85"/>
    </row>
    <row r="250" ht="15.75" customHeight="1">
      <c r="A250" s="150"/>
      <c r="B250" s="151"/>
      <c r="C250" s="150"/>
      <c r="D250" s="152"/>
      <c r="E250" s="77" t="str">
        <f t="shared" si="1"/>
        <v/>
      </c>
      <c r="F250" s="91" t="str">
        <f t="shared" si="2"/>
        <v/>
      </c>
      <c r="G250" s="69"/>
      <c r="H250" s="69" t="str">
        <f t="array" ref="H250">IF(G250="","",IFERROR(INDEX('Material Master'!$B$2:$B$201,IFERROR(MATCH(G250,'Material Master'!$F$2:$F$201,0),MATCH(G250,'Material Master'!$A$2:$A$201,0))),""))</f>
        <v/>
      </c>
      <c r="I250" s="69" t="str">
        <f t="array" ref="I250">IF(G250="","",IFERROR(INDEX('Material Master'!$C$2:$C$201,IFERROR(MATCH(G250,'Material Master'!$F$2:$F$201,0),MATCH(G250,'Material Master'!$A$2:$A$201,0))),""))</f>
        <v/>
      </c>
      <c r="J250" s="75" t="str">
        <f>IF(E250="","",SUMIFS('Stock Movement'!$F$2:$F$501,'Stock Movement'!$D$2:$D$501,E250,'Stock Movement'!$E$2:$E$501,"IN")-SUMIFS('Stock Movement'!$F$2:$F$501,'Stock Movement'!$D$2:$D$501,E250,'Stock Movement'!$E$2:$E$501,"OUT"))</f>
        <v/>
      </c>
      <c r="K250" s="77" t="str">
        <f t="array" ref="K250">IF(G250="","",IFERROR(INDEX('Material Master'!$D$2:$D$201,IFERROR(MATCH(G250,'Material Master'!$F$2:$F$201,0),MATCH(G250,'Material Master'!$A$2:$A$201,0))),""))</f>
        <v/>
      </c>
      <c r="L250" s="69"/>
      <c r="M250" s="69"/>
    </row>
    <row r="251" ht="15.75" customHeight="1">
      <c r="A251" s="147"/>
      <c r="B251" s="148"/>
      <c r="C251" s="147"/>
      <c r="D251" s="149"/>
      <c r="E251" s="87" t="str">
        <f t="shared" si="1"/>
        <v/>
      </c>
      <c r="F251" s="83" t="str">
        <f t="shared" si="2"/>
        <v/>
      </c>
      <c r="G251" s="85"/>
      <c r="H251" s="85" t="str">
        <f t="array" ref="H251">IF(G251="","",IFERROR(INDEX('Material Master'!$B$2:$B$201,IFERROR(MATCH(G251,'Material Master'!$F$2:$F$201,0),MATCH(G251,'Material Master'!$A$2:$A$201,0))),""))</f>
        <v/>
      </c>
      <c r="I251" s="85" t="str">
        <f t="array" ref="I251">IF(G251="","",IFERROR(INDEX('Material Master'!$C$2:$C$201,IFERROR(MATCH(G251,'Material Master'!$F$2:$F$201,0),MATCH(G251,'Material Master'!$A$2:$A$201,0))),""))</f>
        <v/>
      </c>
      <c r="J251" s="86" t="str">
        <f>IF(E251="","",SUMIFS('Stock Movement'!$F$2:$F$501,'Stock Movement'!$D$2:$D$501,E251,'Stock Movement'!$E$2:$E$501,"IN")-SUMIFS('Stock Movement'!$F$2:$F$501,'Stock Movement'!$D$2:$D$501,E251,'Stock Movement'!$E$2:$E$501,"OUT"))</f>
        <v/>
      </c>
      <c r="K251" s="87" t="str">
        <f t="array" ref="K251">IF(G251="","",IFERROR(INDEX('Material Master'!$D$2:$D$201,IFERROR(MATCH(G251,'Material Master'!$F$2:$F$201,0),MATCH(G251,'Material Master'!$A$2:$A$201,0))),""))</f>
        <v/>
      </c>
      <c r="L251" s="85"/>
      <c r="M251" s="85"/>
    </row>
    <row r="252" ht="15.75" customHeight="1">
      <c r="A252" s="150"/>
      <c r="B252" s="151"/>
      <c r="C252" s="150"/>
      <c r="D252" s="152"/>
      <c r="E252" s="77" t="str">
        <f t="shared" si="1"/>
        <v/>
      </c>
      <c r="F252" s="91" t="str">
        <f t="shared" si="2"/>
        <v/>
      </c>
      <c r="G252" s="69"/>
      <c r="H252" s="69" t="str">
        <f t="array" ref="H252">IF(G252="","",IFERROR(INDEX('Material Master'!$B$2:$B$201,IFERROR(MATCH(G252,'Material Master'!$F$2:$F$201,0),MATCH(G252,'Material Master'!$A$2:$A$201,0))),""))</f>
        <v/>
      </c>
      <c r="I252" s="69" t="str">
        <f t="array" ref="I252">IF(G252="","",IFERROR(INDEX('Material Master'!$C$2:$C$201,IFERROR(MATCH(G252,'Material Master'!$F$2:$F$201,0),MATCH(G252,'Material Master'!$A$2:$A$201,0))),""))</f>
        <v/>
      </c>
      <c r="J252" s="75" t="str">
        <f>IF(E252="","",SUMIFS('Stock Movement'!$F$2:$F$501,'Stock Movement'!$D$2:$D$501,E252,'Stock Movement'!$E$2:$E$501,"IN")-SUMIFS('Stock Movement'!$F$2:$F$501,'Stock Movement'!$D$2:$D$501,E252,'Stock Movement'!$E$2:$E$501,"OUT"))</f>
        <v/>
      </c>
      <c r="K252" s="77" t="str">
        <f t="array" ref="K252">IF(G252="","",IFERROR(INDEX('Material Master'!$D$2:$D$201,IFERROR(MATCH(G252,'Material Master'!$F$2:$F$201,0),MATCH(G252,'Material Master'!$A$2:$A$201,0))),""))</f>
        <v/>
      </c>
      <c r="L252" s="69"/>
      <c r="M252" s="69"/>
    </row>
    <row r="253" ht="15.75" customHeight="1">
      <c r="A253" s="147"/>
      <c r="B253" s="148"/>
      <c r="C253" s="147"/>
      <c r="D253" s="149"/>
      <c r="E253" s="87" t="str">
        <f t="shared" si="1"/>
        <v/>
      </c>
      <c r="F253" s="83" t="str">
        <f t="shared" si="2"/>
        <v/>
      </c>
      <c r="G253" s="85"/>
      <c r="H253" s="85" t="str">
        <f t="array" ref="H253">IF(G253="","",IFERROR(INDEX('Material Master'!$B$2:$B$201,IFERROR(MATCH(G253,'Material Master'!$F$2:$F$201,0),MATCH(G253,'Material Master'!$A$2:$A$201,0))),""))</f>
        <v/>
      </c>
      <c r="I253" s="85" t="str">
        <f t="array" ref="I253">IF(G253="","",IFERROR(INDEX('Material Master'!$C$2:$C$201,IFERROR(MATCH(G253,'Material Master'!$F$2:$F$201,0),MATCH(G253,'Material Master'!$A$2:$A$201,0))),""))</f>
        <v/>
      </c>
      <c r="J253" s="86" t="str">
        <f>IF(E253="","",SUMIFS('Stock Movement'!$F$2:$F$501,'Stock Movement'!$D$2:$D$501,E253,'Stock Movement'!$E$2:$E$501,"IN")-SUMIFS('Stock Movement'!$F$2:$F$501,'Stock Movement'!$D$2:$D$501,E253,'Stock Movement'!$E$2:$E$501,"OUT"))</f>
        <v/>
      </c>
      <c r="K253" s="87" t="str">
        <f t="array" ref="K253">IF(G253="","",IFERROR(INDEX('Material Master'!$D$2:$D$201,IFERROR(MATCH(G253,'Material Master'!$F$2:$F$201,0),MATCH(G253,'Material Master'!$A$2:$A$201,0))),""))</f>
        <v/>
      </c>
      <c r="L253" s="85"/>
      <c r="M253" s="85"/>
    </row>
    <row r="254" ht="15.75" customHeight="1">
      <c r="A254" s="150"/>
      <c r="B254" s="151"/>
      <c r="C254" s="150"/>
      <c r="D254" s="152"/>
      <c r="E254" s="77" t="str">
        <f t="shared" si="1"/>
        <v/>
      </c>
      <c r="F254" s="91" t="str">
        <f t="shared" si="2"/>
        <v/>
      </c>
      <c r="G254" s="69"/>
      <c r="H254" s="69" t="str">
        <f t="array" ref="H254">IF(G254="","",IFERROR(INDEX('Material Master'!$B$2:$B$201,IFERROR(MATCH(G254,'Material Master'!$F$2:$F$201,0),MATCH(G254,'Material Master'!$A$2:$A$201,0))),""))</f>
        <v/>
      </c>
      <c r="I254" s="69" t="str">
        <f t="array" ref="I254">IF(G254="","",IFERROR(INDEX('Material Master'!$C$2:$C$201,IFERROR(MATCH(G254,'Material Master'!$F$2:$F$201,0),MATCH(G254,'Material Master'!$A$2:$A$201,0))),""))</f>
        <v/>
      </c>
      <c r="J254" s="75" t="str">
        <f>IF(E254="","",SUMIFS('Stock Movement'!$F$2:$F$501,'Stock Movement'!$D$2:$D$501,E254,'Stock Movement'!$E$2:$E$501,"IN")-SUMIFS('Stock Movement'!$F$2:$F$501,'Stock Movement'!$D$2:$D$501,E254,'Stock Movement'!$E$2:$E$501,"OUT"))</f>
        <v/>
      </c>
      <c r="K254" s="77" t="str">
        <f t="array" ref="K254">IF(G254="","",IFERROR(INDEX('Material Master'!$D$2:$D$201,IFERROR(MATCH(G254,'Material Master'!$F$2:$F$201,0),MATCH(G254,'Material Master'!$A$2:$A$201,0))),""))</f>
        <v/>
      </c>
      <c r="L254" s="69"/>
      <c r="M254" s="69"/>
    </row>
    <row r="255" ht="15.75" customHeight="1">
      <c r="A255" s="147"/>
      <c r="B255" s="148"/>
      <c r="C255" s="147"/>
      <c r="D255" s="149"/>
      <c r="E255" s="87" t="str">
        <f t="shared" si="1"/>
        <v/>
      </c>
      <c r="F255" s="83" t="str">
        <f t="shared" si="2"/>
        <v/>
      </c>
      <c r="G255" s="85"/>
      <c r="H255" s="85" t="str">
        <f t="array" ref="H255">IF(G255="","",IFERROR(INDEX('Material Master'!$B$2:$B$201,IFERROR(MATCH(G255,'Material Master'!$F$2:$F$201,0),MATCH(G255,'Material Master'!$A$2:$A$201,0))),""))</f>
        <v/>
      </c>
      <c r="I255" s="85" t="str">
        <f t="array" ref="I255">IF(G255="","",IFERROR(INDEX('Material Master'!$C$2:$C$201,IFERROR(MATCH(G255,'Material Master'!$F$2:$F$201,0),MATCH(G255,'Material Master'!$A$2:$A$201,0))),""))</f>
        <v/>
      </c>
      <c r="J255" s="86" t="str">
        <f>IF(E255="","",SUMIFS('Stock Movement'!$F$2:$F$501,'Stock Movement'!$D$2:$D$501,E255,'Stock Movement'!$E$2:$E$501,"IN")-SUMIFS('Stock Movement'!$F$2:$F$501,'Stock Movement'!$D$2:$D$501,E255,'Stock Movement'!$E$2:$E$501,"OUT"))</f>
        <v/>
      </c>
      <c r="K255" s="87" t="str">
        <f t="array" ref="K255">IF(G255="","",IFERROR(INDEX('Material Master'!$D$2:$D$201,IFERROR(MATCH(G255,'Material Master'!$F$2:$F$201,0),MATCH(G255,'Material Master'!$A$2:$A$201,0))),""))</f>
        <v/>
      </c>
      <c r="L255" s="85"/>
      <c r="M255" s="85"/>
    </row>
    <row r="256" ht="15.75" customHeight="1">
      <c r="A256" s="150"/>
      <c r="B256" s="151"/>
      <c r="C256" s="150"/>
      <c r="D256" s="152"/>
      <c r="E256" s="77" t="str">
        <f t="shared" si="1"/>
        <v/>
      </c>
      <c r="F256" s="91" t="str">
        <f t="shared" si="2"/>
        <v/>
      </c>
      <c r="G256" s="69"/>
      <c r="H256" s="69" t="str">
        <f t="array" ref="H256">IF(G256="","",IFERROR(INDEX('Material Master'!$B$2:$B$201,IFERROR(MATCH(G256,'Material Master'!$F$2:$F$201,0),MATCH(G256,'Material Master'!$A$2:$A$201,0))),""))</f>
        <v/>
      </c>
      <c r="I256" s="69" t="str">
        <f t="array" ref="I256">IF(G256="","",IFERROR(INDEX('Material Master'!$C$2:$C$201,IFERROR(MATCH(G256,'Material Master'!$F$2:$F$201,0),MATCH(G256,'Material Master'!$A$2:$A$201,0))),""))</f>
        <v/>
      </c>
      <c r="J256" s="75" t="str">
        <f>IF(E256="","",SUMIFS('Stock Movement'!$F$2:$F$501,'Stock Movement'!$D$2:$D$501,E256,'Stock Movement'!$E$2:$E$501,"IN")-SUMIFS('Stock Movement'!$F$2:$F$501,'Stock Movement'!$D$2:$D$501,E256,'Stock Movement'!$E$2:$E$501,"OUT"))</f>
        <v/>
      </c>
      <c r="K256" s="77" t="str">
        <f t="array" ref="K256">IF(G256="","",IFERROR(INDEX('Material Master'!$D$2:$D$201,IFERROR(MATCH(G256,'Material Master'!$F$2:$F$201,0),MATCH(G256,'Material Master'!$A$2:$A$201,0))),""))</f>
        <v/>
      </c>
      <c r="L256" s="69"/>
      <c r="M256" s="69"/>
    </row>
    <row r="257" ht="15.75" customHeight="1">
      <c r="A257" s="147"/>
      <c r="B257" s="148"/>
      <c r="C257" s="147"/>
      <c r="D257" s="149"/>
      <c r="E257" s="87" t="str">
        <f t="shared" si="1"/>
        <v/>
      </c>
      <c r="F257" s="83" t="str">
        <f t="shared" si="2"/>
        <v/>
      </c>
      <c r="G257" s="85"/>
      <c r="H257" s="85" t="str">
        <f t="array" ref="H257">IF(G257="","",IFERROR(INDEX('Material Master'!$B$2:$B$201,IFERROR(MATCH(G257,'Material Master'!$F$2:$F$201,0),MATCH(G257,'Material Master'!$A$2:$A$201,0))),""))</f>
        <v/>
      </c>
      <c r="I257" s="85" t="str">
        <f t="array" ref="I257">IF(G257="","",IFERROR(INDEX('Material Master'!$C$2:$C$201,IFERROR(MATCH(G257,'Material Master'!$F$2:$F$201,0),MATCH(G257,'Material Master'!$A$2:$A$201,0))),""))</f>
        <v/>
      </c>
      <c r="J257" s="86" t="str">
        <f>IF(E257="","",SUMIFS('Stock Movement'!$F$2:$F$501,'Stock Movement'!$D$2:$D$501,E257,'Stock Movement'!$E$2:$E$501,"IN")-SUMIFS('Stock Movement'!$F$2:$F$501,'Stock Movement'!$D$2:$D$501,E257,'Stock Movement'!$E$2:$E$501,"OUT"))</f>
        <v/>
      </c>
      <c r="K257" s="87" t="str">
        <f t="array" ref="K257">IF(G257="","",IFERROR(INDEX('Material Master'!$D$2:$D$201,IFERROR(MATCH(G257,'Material Master'!$F$2:$F$201,0),MATCH(G257,'Material Master'!$A$2:$A$201,0))),""))</f>
        <v/>
      </c>
      <c r="L257" s="85"/>
      <c r="M257" s="85"/>
    </row>
    <row r="258" ht="15.75" customHeight="1">
      <c r="A258" s="150"/>
      <c r="B258" s="151"/>
      <c r="C258" s="150"/>
      <c r="D258" s="152"/>
      <c r="E258" s="77" t="str">
        <f t="shared" si="1"/>
        <v/>
      </c>
      <c r="F258" s="91" t="str">
        <f t="shared" si="2"/>
        <v/>
      </c>
      <c r="G258" s="69"/>
      <c r="H258" s="69" t="str">
        <f t="array" ref="H258">IF(G258="","",IFERROR(INDEX('Material Master'!$B$2:$B$201,IFERROR(MATCH(G258,'Material Master'!$F$2:$F$201,0),MATCH(G258,'Material Master'!$A$2:$A$201,0))),""))</f>
        <v/>
      </c>
      <c r="I258" s="69" t="str">
        <f t="array" ref="I258">IF(G258="","",IFERROR(INDEX('Material Master'!$C$2:$C$201,IFERROR(MATCH(G258,'Material Master'!$F$2:$F$201,0),MATCH(G258,'Material Master'!$A$2:$A$201,0))),""))</f>
        <v/>
      </c>
      <c r="J258" s="75" t="str">
        <f>IF(E258="","",SUMIFS('Stock Movement'!$F$2:$F$501,'Stock Movement'!$D$2:$D$501,E258,'Stock Movement'!$E$2:$E$501,"IN")-SUMIFS('Stock Movement'!$F$2:$F$501,'Stock Movement'!$D$2:$D$501,E258,'Stock Movement'!$E$2:$E$501,"OUT"))</f>
        <v/>
      </c>
      <c r="K258" s="77" t="str">
        <f t="array" ref="K258">IF(G258="","",IFERROR(INDEX('Material Master'!$D$2:$D$201,IFERROR(MATCH(G258,'Material Master'!$F$2:$F$201,0),MATCH(G258,'Material Master'!$A$2:$A$201,0))),""))</f>
        <v/>
      </c>
      <c r="L258" s="69"/>
      <c r="M258" s="69"/>
    </row>
    <row r="259" ht="15.75" customHeight="1">
      <c r="A259" s="147"/>
      <c r="B259" s="148"/>
      <c r="C259" s="147"/>
      <c r="D259" s="149"/>
      <c r="E259" s="87" t="str">
        <f t="shared" si="1"/>
        <v/>
      </c>
      <c r="F259" s="83" t="str">
        <f t="shared" si="2"/>
        <v/>
      </c>
      <c r="G259" s="85"/>
      <c r="H259" s="85" t="str">
        <f t="array" ref="H259">IF(G259="","",IFERROR(INDEX('Material Master'!$B$2:$B$201,IFERROR(MATCH(G259,'Material Master'!$F$2:$F$201,0),MATCH(G259,'Material Master'!$A$2:$A$201,0))),""))</f>
        <v/>
      </c>
      <c r="I259" s="85" t="str">
        <f t="array" ref="I259">IF(G259="","",IFERROR(INDEX('Material Master'!$C$2:$C$201,IFERROR(MATCH(G259,'Material Master'!$F$2:$F$201,0),MATCH(G259,'Material Master'!$A$2:$A$201,0))),""))</f>
        <v/>
      </c>
      <c r="J259" s="86" t="str">
        <f>IF(E259="","",SUMIFS('Stock Movement'!$F$2:$F$501,'Stock Movement'!$D$2:$D$501,E259,'Stock Movement'!$E$2:$E$501,"IN")-SUMIFS('Stock Movement'!$F$2:$F$501,'Stock Movement'!$D$2:$D$501,E259,'Stock Movement'!$E$2:$E$501,"OUT"))</f>
        <v/>
      </c>
      <c r="K259" s="87" t="str">
        <f t="array" ref="K259">IF(G259="","",IFERROR(INDEX('Material Master'!$D$2:$D$201,IFERROR(MATCH(G259,'Material Master'!$F$2:$F$201,0),MATCH(G259,'Material Master'!$A$2:$A$201,0))),""))</f>
        <v/>
      </c>
      <c r="L259" s="85"/>
      <c r="M259" s="85"/>
    </row>
    <row r="260" ht="15.75" customHeight="1">
      <c r="A260" s="150"/>
      <c r="B260" s="151"/>
      <c r="C260" s="150"/>
      <c r="D260" s="152"/>
      <c r="E260" s="77" t="str">
        <f t="shared" si="1"/>
        <v/>
      </c>
      <c r="F260" s="91" t="str">
        <f t="shared" si="2"/>
        <v/>
      </c>
      <c r="G260" s="69"/>
      <c r="H260" s="69" t="str">
        <f t="array" ref="H260">IF(G260="","",IFERROR(INDEX('Material Master'!$B$2:$B$201,IFERROR(MATCH(G260,'Material Master'!$F$2:$F$201,0),MATCH(G260,'Material Master'!$A$2:$A$201,0))),""))</f>
        <v/>
      </c>
      <c r="I260" s="69" t="str">
        <f t="array" ref="I260">IF(G260="","",IFERROR(INDEX('Material Master'!$C$2:$C$201,IFERROR(MATCH(G260,'Material Master'!$F$2:$F$201,0),MATCH(G260,'Material Master'!$A$2:$A$201,0))),""))</f>
        <v/>
      </c>
      <c r="J260" s="75" t="str">
        <f>IF(E260="","",SUMIFS('Stock Movement'!$F$2:$F$501,'Stock Movement'!$D$2:$D$501,E260,'Stock Movement'!$E$2:$E$501,"IN")-SUMIFS('Stock Movement'!$F$2:$F$501,'Stock Movement'!$D$2:$D$501,E260,'Stock Movement'!$E$2:$E$501,"OUT"))</f>
        <v/>
      </c>
      <c r="K260" s="77" t="str">
        <f t="array" ref="K260">IF(G260="","",IFERROR(INDEX('Material Master'!$D$2:$D$201,IFERROR(MATCH(G260,'Material Master'!$F$2:$F$201,0),MATCH(G260,'Material Master'!$A$2:$A$201,0))),""))</f>
        <v/>
      </c>
      <c r="L260" s="69"/>
      <c r="M260" s="69"/>
    </row>
    <row r="261" ht="15.75" customHeight="1">
      <c r="A261" s="147"/>
      <c r="B261" s="148"/>
      <c r="C261" s="147"/>
      <c r="D261" s="149"/>
      <c r="E261" s="87" t="str">
        <f t="shared" si="1"/>
        <v/>
      </c>
      <c r="F261" s="83" t="str">
        <f t="shared" si="2"/>
        <v/>
      </c>
      <c r="G261" s="85"/>
      <c r="H261" s="85" t="str">
        <f t="array" ref="H261">IF(G261="","",IFERROR(INDEX('Material Master'!$B$2:$B$201,IFERROR(MATCH(G261,'Material Master'!$F$2:$F$201,0),MATCH(G261,'Material Master'!$A$2:$A$201,0))),""))</f>
        <v/>
      </c>
      <c r="I261" s="85" t="str">
        <f t="array" ref="I261">IF(G261="","",IFERROR(INDEX('Material Master'!$C$2:$C$201,IFERROR(MATCH(G261,'Material Master'!$F$2:$F$201,0),MATCH(G261,'Material Master'!$A$2:$A$201,0))),""))</f>
        <v/>
      </c>
      <c r="J261" s="86" t="str">
        <f>IF(E261="","",SUMIFS('Stock Movement'!$F$2:$F$501,'Stock Movement'!$D$2:$D$501,E261,'Stock Movement'!$E$2:$E$501,"IN")-SUMIFS('Stock Movement'!$F$2:$F$501,'Stock Movement'!$D$2:$D$501,E261,'Stock Movement'!$E$2:$E$501,"OUT"))</f>
        <v/>
      </c>
      <c r="K261" s="87" t="str">
        <f t="array" ref="K261">IF(G261="","",IFERROR(INDEX('Material Master'!$D$2:$D$201,IFERROR(MATCH(G261,'Material Master'!$F$2:$F$201,0),MATCH(G261,'Material Master'!$A$2:$A$201,0))),""))</f>
        <v/>
      </c>
      <c r="L261" s="85"/>
      <c r="M261" s="85"/>
    </row>
    <row r="262" ht="15.75" customHeight="1">
      <c r="A262" s="150"/>
      <c r="B262" s="151"/>
      <c r="C262" s="150"/>
      <c r="D262" s="152"/>
      <c r="E262" s="77" t="str">
        <f t="shared" si="1"/>
        <v/>
      </c>
      <c r="F262" s="91" t="str">
        <f t="shared" si="2"/>
        <v/>
      </c>
      <c r="G262" s="69"/>
      <c r="H262" s="69" t="str">
        <f t="array" ref="H262">IF(G262="","",IFERROR(INDEX('Material Master'!$B$2:$B$201,IFERROR(MATCH(G262,'Material Master'!$F$2:$F$201,0),MATCH(G262,'Material Master'!$A$2:$A$201,0))),""))</f>
        <v/>
      </c>
      <c r="I262" s="69" t="str">
        <f t="array" ref="I262">IF(G262="","",IFERROR(INDEX('Material Master'!$C$2:$C$201,IFERROR(MATCH(G262,'Material Master'!$F$2:$F$201,0),MATCH(G262,'Material Master'!$A$2:$A$201,0))),""))</f>
        <v/>
      </c>
      <c r="J262" s="75" t="str">
        <f>IF(E262="","",SUMIFS('Stock Movement'!$F$2:$F$501,'Stock Movement'!$D$2:$D$501,E262,'Stock Movement'!$E$2:$E$501,"IN")-SUMIFS('Stock Movement'!$F$2:$F$501,'Stock Movement'!$D$2:$D$501,E262,'Stock Movement'!$E$2:$E$501,"OUT"))</f>
        <v/>
      </c>
      <c r="K262" s="77" t="str">
        <f t="array" ref="K262">IF(G262="","",IFERROR(INDEX('Material Master'!$D$2:$D$201,IFERROR(MATCH(G262,'Material Master'!$F$2:$F$201,0),MATCH(G262,'Material Master'!$A$2:$A$201,0))),""))</f>
        <v/>
      </c>
      <c r="L262" s="69"/>
      <c r="M262" s="69"/>
    </row>
    <row r="263" ht="15.75" customHeight="1">
      <c r="A263" s="147"/>
      <c r="B263" s="148"/>
      <c r="C263" s="147"/>
      <c r="D263" s="149"/>
      <c r="E263" s="87" t="str">
        <f t="shared" si="1"/>
        <v/>
      </c>
      <c r="F263" s="83" t="str">
        <f t="shared" si="2"/>
        <v/>
      </c>
      <c r="G263" s="85"/>
      <c r="H263" s="85" t="str">
        <f t="array" ref="H263">IF(G263="","",IFERROR(INDEX('Material Master'!$B$2:$B$201,IFERROR(MATCH(G263,'Material Master'!$F$2:$F$201,0),MATCH(G263,'Material Master'!$A$2:$A$201,0))),""))</f>
        <v/>
      </c>
      <c r="I263" s="85" t="str">
        <f t="array" ref="I263">IF(G263="","",IFERROR(INDEX('Material Master'!$C$2:$C$201,IFERROR(MATCH(G263,'Material Master'!$F$2:$F$201,0),MATCH(G263,'Material Master'!$A$2:$A$201,0))),""))</f>
        <v/>
      </c>
      <c r="J263" s="86" t="str">
        <f>IF(E263="","",SUMIFS('Stock Movement'!$F$2:$F$501,'Stock Movement'!$D$2:$D$501,E263,'Stock Movement'!$E$2:$E$501,"IN")-SUMIFS('Stock Movement'!$F$2:$F$501,'Stock Movement'!$D$2:$D$501,E263,'Stock Movement'!$E$2:$E$501,"OUT"))</f>
        <v/>
      </c>
      <c r="K263" s="87" t="str">
        <f t="array" ref="K263">IF(G263="","",IFERROR(INDEX('Material Master'!$D$2:$D$201,IFERROR(MATCH(G263,'Material Master'!$F$2:$F$201,0),MATCH(G263,'Material Master'!$A$2:$A$201,0))),""))</f>
        <v/>
      </c>
      <c r="L263" s="85"/>
      <c r="M263" s="85"/>
    </row>
    <row r="264" ht="15.75" customHeight="1">
      <c r="A264" s="150"/>
      <c r="B264" s="151"/>
      <c r="C264" s="150"/>
      <c r="D264" s="152"/>
      <c r="E264" s="77" t="str">
        <f t="shared" si="1"/>
        <v/>
      </c>
      <c r="F264" s="91" t="str">
        <f t="shared" si="2"/>
        <v/>
      </c>
      <c r="G264" s="69"/>
      <c r="H264" s="69" t="str">
        <f t="array" ref="H264">IF(G264="","",IFERROR(INDEX('Material Master'!$B$2:$B$201,IFERROR(MATCH(G264,'Material Master'!$F$2:$F$201,0),MATCH(G264,'Material Master'!$A$2:$A$201,0))),""))</f>
        <v/>
      </c>
      <c r="I264" s="69" t="str">
        <f t="array" ref="I264">IF(G264="","",IFERROR(INDEX('Material Master'!$C$2:$C$201,IFERROR(MATCH(G264,'Material Master'!$F$2:$F$201,0),MATCH(G264,'Material Master'!$A$2:$A$201,0))),""))</f>
        <v/>
      </c>
      <c r="J264" s="75" t="str">
        <f>IF(E264="","",SUMIFS('Stock Movement'!$F$2:$F$501,'Stock Movement'!$D$2:$D$501,E264,'Stock Movement'!$E$2:$E$501,"IN")-SUMIFS('Stock Movement'!$F$2:$F$501,'Stock Movement'!$D$2:$D$501,E264,'Stock Movement'!$E$2:$E$501,"OUT"))</f>
        <v/>
      </c>
      <c r="K264" s="77" t="str">
        <f t="array" ref="K264">IF(G264="","",IFERROR(INDEX('Material Master'!$D$2:$D$201,IFERROR(MATCH(G264,'Material Master'!$F$2:$F$201,0),MATCH(G264,'Material Master'!$A$2:$A$201,0))),""))</f>
        <v/>
      </c>
      <c r="L264" s="69"/>
      <c r="M264" s="69"/>
    </row>
    <row r="265" ht="15.75" customHeight="1">
      <c r="A265" s="147"/>
      <c r="B265" s="148"/>
      <c r="C265" s="147"/>
      <c r="D265" s="149"/>
      <c r="E265" s="87" t="str">
        <f t="shared" si="1"/>
        <v/>
      </c>
      <c r="F265" s="83" t="str">
        <f t="shared" si="2"/>
        <v/>
      </c>
      <c r="G265" s="85"/>
      <c r="H265" s="85" t="str">
        <f t="array" ref="H265">IF(G265="","",IFERROR(INDEX('Material Master'!$B$2:$B$201,IFERROR(MATCH(G265,'Material Master'!$F$2:$F$201,0),MATCH(G265,'Material Master'!$A$2:$A$201,0))),""))</f>
        <v/>
      </c>
      <c r="I265" s="85" t="str">
        <f t="array" ref="I265">IF(G265="","",IFERROR(INDEX('Material Master'!$C$2:$C$201,IFERROR(MATCH(G265,'Material Master'!$F$2:$F$201,0),MATCH(G265,'Material Master'!$A$2:$A$201,0))),""))</f>
        <v/>
      </c>
      <c r="J265" s="86" t="str">
        <f>IF(E265="","",SUMIFS('Stock Movement'!$F$2:$F$501,'Stock Movement'!$D$2:$D$501,E265,'Stock Movement'!$E$2:$E$501,"IN")-SUMIFS('Stock Movement'!$F$2:$F$501,'Stock Movement'!$D$2:$D$501,E265,'Stock Movement'!$E$2:$E$501,"OUT"))</f>
        <v/>
      </c>
      <c r="K265" s="87" t="str">
        <f t="array" ref="K265">IF(G265="","",IFERROR(INDEX('Material Master'!$D$2:$D$201,IFERROR(MATCH(G265,'Material Master'!$F$2:$F$201,0),MATCH(G265,'Material Master'!$A$2:$A$201,0))),""))</f>
        <v/>
      </c>
      <c r="L265" s="85"/>
      <c r="M265" s="85"/>
    </row>
    <row r="266" ht="15.75" customHeight="1">
      <c r="A266" s="150"/>
      <c r="B266" s="151"/>
      <c r="C266" s="150"/>
      <c r="D266" s="152"/>
      <c r="E266" s="77" t="str">
        <f t="shared" si="1"/>
        <v/>
      </c>
      <c r="F266" s="91" t="str">
        <f t="shared" si="2"/>
        <v/>
      </c>
      <c r="G266" s="69"/>
      <c r="H266" s="69" t="str">
        <f t="array" ref="H266">IF(G266="","",IFERROR(INDEX('Material Master'!$B$2:$B$201,IFERROR(MATCH(G266,'Material Master'!$F$2:$F$201,0),MATCH(G266,'Material Master'!$A$2:$A$201,0))),""))</f>
        <v/>
      </c>
      <c r="I266" s="69" t="str">
        <f t="array" ref="I266">IF(G266="","",IFERROR(INDEX('Material Master'!$C$2:$C$201,IFERROR(MATCH(G266,'Material Master'!$F$2:$F$201,0),MATCH(G266,'Material Master'!$A$2:$A$201,0))),""))</f>
        <v/>
      </c>
      <c r="J266" s="75" t="str">
        <f>IF(E266="","",SUMIFS('Stock Movement'!$F$2:$F$501,'Stock Movement'!$D$2:$D$501,E266,'Stock Movement'!$E$2:$E$501,"IN")-SUMIFS('Stock Movement'!$F$2:$F$501,'Stock Movement'!$D$2:$D$501,E266,'Stock Movement'!$E$2:$E$501,"OUT"))</f>
        <v/>
      </c>
      <c r="K266" s="77" t="str">
        <f t="array" ref="K266">IF(G266="","",IFERROR(INDEX('Material Master'!$D$2:$D$201,IFERROR(MATCH(G266,'Material Master'!$F$2:$F$201,0),MATCH(G266,'Material Master'!$A$2:$A$201,0))),""))</f>
        <v/>
      </c>
      <c r="L266" s="69"/>
      <c r="M266" s="69"/>
    </row>
    <row r="267" ht="15.75" customHeight="1">
      <c r="A267" s="147"/>
      <c r="B267" s="148"/>
      <c r="C267" s="147"/>
      <c r="D267" s="149"/>
      <c r="E267" s="87" t="str">
        <f t="shared" si="1"/>
        <v/>
      </c>
      <c r="F267" s="83" t="str">
        <f t="shared" si="2"/>
        <v/>
      </c>
      <c r="G267" s="85"/>
      <c r="H267" s="85" t="str">
        <f t="array" ref="H267">IF(G267="","",IFERROR(INDEX('Material Master'!$B$2:$B$201,IFERROR(MATCH(G267,'Material Master'!$F$2:$F$201,0),MATCH(G267,'Material Master'!$A$2:$A$201,0))),""))</f>
        <v/>
      </c>
      <c r="I267" s="85" t="str">
        <f t="array" ref="I267">IF(G267="","",IFERROR(INDEX('Material Master'!$C$2:$C$201,IFERROR(MATCH(G267,'Material Master'!$F$2:$F$201,0),MATCH(G267,'Material Master'!$A$2:$A$201,0))),""))</f>
        <v/>
      </c>
      <c r="J267" s="86" t="str">
        <f>IF(E267="","",SUMIFS('Stock Movement'!$F$2:$F$501,'Stock Movement'!$D$2:$D$501,E267,'Stock Movement'!$E$2:$E$501,"IN")-SUMIFS('Stock Movement'!$F$2:$F$501,'Stock Movement'!$D$2:$D$501,E267,'Stock Movement'!$E$2:$E$501,"OUT"))</f>
        <v/>
      </c>
      <c r="K267" s="87" t="str">
        <f t="array" ref="K267">IF(G267="","",IFERROR(INDEX('Material Master'!$D$2:$D$201,IFERROR(MATCH(G267,'Material Master'!$F$2:$F$201,0),MATCH(G267,'Material Master'!$A$2:$A$201,0))),""))</f>
        <v/>
      </c>
      <c r="L267" s="85"/>
      <c r="M267" s="85"/>
    </row>
    <row r="268" ht="15.75" customHeight="1">
      <c r="A268" s="150"/>
      <c r="B268" s="151"/>
      <c r="C268" s="150"/>
      <c r="D268" s="152"/>
      <c r="E268" s="77" t="str">
        <f t="shared" si="1"/>
        <v/>
      </c>
      <c r="F268" s="91" t="str">
        <f t="shared" si="2"/>
        <v/>
      </c>
      <c r="G268" s="69"/>
      <c r="H268" s="69" t="str">
        <f t="array" ref="H268">IF(G268="","",IFERROR(INDEX('Material Master'!$B$2:$B$201,IFERROR(MATCH(G268,'Material Master'!$F$2:$F$201,0),MATCH(G268,'Material Master'!$A$2:$A$201,0))),""))</f>
        <v/>
      </c>
      <c r="I268" s="69" t="str">
        <f t="array" ref="I268">IF(G268="","",IFERROR(INDEX('Material Master'!$C$2:$C$201,IFERROR(MATCH(G268,'Material Master'!$F$2:$F$201,0),MATCH(G268,'Material Master'!$A$2:$A$201,0))),""))</f>
        <v/>
      </c>
      <c r="J268" s="75" t="str">
        <f>IF(E268="","",SUMIFS('Stock Movement'!$F$2:$F$501,'Stock Movement'!$D$2:$D$501,E268,'Stock Movement'!$E$2:$E$501,"IN")-SUMIFS('Stock Movement'!$F$2:$F$501,'Stock Movement'!$D$2:$D$501,E268,'Stock Movement'!$E$2:$E$501,"OUT"))</f>
        <v/>
      </c>
      <c r="K268" s="77" t="str">
        <f t="array" ref="K268">IF(G268="","",IFERROR(INDEX('Material Master'!$D$2:$D$201,IFERROR(MATCH(G268,'Material Master'!$F$2:$F$201,0),MATCH(G268,'Material Master'!$A$2:$A$201,0))),""))</f>
        <v/>
      </c>
      <c r="L268" s="69"/>
      <c r="M268" s="69"/>
    </row>
    <row r="269" ht="15.75" customHeight="1">
      <c r="A269" s="147"/>
      <c r="B269" s="148"/>
      <c r="C269" s="147"/>
      <c r="D269" s="149"/>
      <c r="E269" s="87" t="str">
        <f t="shared" si="1"/>
        <v/>
      </c>
      <c r="F269" s="83" t="str">
        <f t="shared" si="2"/>
        <v/>
      </c>
      <c r="G269" s="85"/>
      <c r="H269" s="85" t="str">
        <f t="array" ref="H269">IF(G269="","",IFERROR(INDEX('Material Master'!$B$2:$B$201,IFERROR(MATCH(G269,'Material Master'!$F$2:$F$201,0),MATCH(G269,'Material Master'!$A$2:$A$201,0))),""))</f>
        <v/>
      </c>
      <c r="I269" s="85" t="str">
        <f t="array" ref="I269">IF(G269="","",IFERROR(INDEX('Material Master'!$C$2:$C$201,IFERROR(MATCH(G269,'Material Master'!$F$2:$F$201,0),MATCH(G269,'Material Master'!$A$2:$A$201,0))),""))</f>
        <v/>
      </c>
      <c r="J269" s="86" t="str">
        <f>IF(E269="","",SUMIFS('Stock Movement'!$F$2:$F$501,'Stock Movement'!$D$2:$D$501,E269,'Stock Movement'!$E$2:$E$501,"IN")-SUMIFS('Stock Movement'!$F$2:$F$501,'Stock Movement'!$D$2:$D$501,E269,'Stock Movement'!$E$2:$E$501,"OUT"))</f>
        <v/>
      </c>
      <c r="K269" s="87" t="str">
        <f t="array" ref="K269">IF(G269="","",IFERROR(INDEX('Material Master'!$D$2:$D$201,IFERROR(MATCH(G269,'Material Master'!$F$2:$F$201,0),MATCH(G269,'Material Master'!$A$2:$A$201,0))),""))</f>
        <v/>
      </c>
      <c r="L269" s="85"/>
      <c r="M269" s="85"/>
    </row>
    <row r="270" ht="15.75" customHeight="1">
      <c r="A270" s="150"/>
      <c r="B270" s="151"/>
      <c r="C270" s="150"/>
      <c r="D270" s="152"/>
      <c r="E270" s="77" t="str">
        <f t="shared" si="1"/>
        <v/>
      </c>
      <c r="F270" s="91" t="str">
        <f t="shared" si="2"/>
        <v/>
      </c>
      <c r="G270" s="69"/>
      <c r="H270" s="69" t="str">
        <f t="array" ref="H270">IF(G270="","",IFERROR(INDEX('Material Master'!$B$2:$B$201,IFERROR(MATCH(G270,'Material Master'!$F$2:$F$201,0),MATCH(G270,'Material Master'!$A$2:$A$201,0))),""))</f>
        <v/>
      </c>
      <c r="I270" s="69" t="str">
        <f t="array" ref="I270">IF(G270="","",IFERROR(INDEX('Material Master'!$C$2:$C$201,IFERROR(MATCH(G270,'Material Master'!$F$2:$F$201,0),MATCH(G270,'Material Master'!$A$2:$A$201,0))),""))</f>
        <v/>
      </c>
      <c r="J270" s="75" t="str">
        <f>IF(E270="","",SUMIFS('Stock Movement'!$F$2:$F$501,'Stock Movement'!$D$2:$D$501,E270,'Stock Movement'!$E$2:$E$501,"IN")-SUMIFS('Stock Movement'!$F$2:$F$501,'Stock Movement'!$D$2:$D$501,E270,'Stock Movement'!$E$2:$E$501,"OUT"))</f>
        <v/>
      </c>
      <c r="K270" s="77" t="str">
        <f t="array" ref="K270">IF(G270="","",IFERROR(INDEX('Material Master'!$D$2:$D$201,IFERROR(MATCH(G270,'Material Master'!$F$2:$F$201,0),MATCH(G270,'Material Master'!$A$2:$A$201,0))),""))</f>
        <v/>
      </c>
      <c r="L270" s="69"/>
      <c r="M270" s="69"/>
    </row>
    <row r="271" ht="15.75" customHeight="1">
      <c r="A271" s="147"/>
      <c r="B271" s="148"/>
      <c r="C271" s="147"/>
      <c r="D271" s="149"/>
      <c r="E271" s="87" t="str">
        <f t="shared" si="1"/>
        <v/>
      </c>
      <c r="F271" s="83" t="str">
        <f t="shared" si="2"/>
        <v/>
      </c>
      <c r="G271" s="85"/>
      <c r="H271" s="85" t="str">
        <f t="array" ref="H271">IF(G271="","",IFERROR(INDEX('Material Master'!$B$2:$B$201,IFERROR(MATCH(G271,'Material Master'!$F$2:$F$201,0),MATCH(G271,'Material Master'!$A$2:$A$201,0))),""))</f>
        <v/>
      </c>
      <c r="I271" s="85" t="str">
        <f t="array" ref="I271">IF(G271="","",IFERROR(INDEX('Material Master'!$C$2:$C$201,IFERROR(MATCH(G271,'Material Master'!$F$2:$F$201,0),MATCH(G271,'Material Master'!$A$2:$A$201,0))),""))</f>
        <v/>
      </c>
      <c r="J271" s="86" t="str">
        <f>IF(E271="","",SUMIFS('Stock Movement'!$F$2:$F$501,'Stock Movement'!$D$2:$D$501,E271,'Stock Movement'!$E$2:$E$501,"IN")-SUMIFS('Stock Movement'!$F$2:$F$501,'Stock Movement'!$D$2:$D$501,E271,'Stock Movement'!$E$2:$E$501,"OUT"))</f>
        <v/>
      </c>
      <c r="K271" s="87" t="str">
        <f t="array" ref="K271">IF(G271="","",IFERROR(INDEX('Material Master'!$D$2:$D$201,IFERROR(MATCH(G271,'Material Master'!$F$2:$F$201,0),MATCH(G271,'Material Master'!$A$2:$A$201,0))),""))</f>
        <v/>
      </c>
      <c r="L271" s="85"/>
      <c r="M271" s="85"/>
    </row>
    <row r="272" ht="15.75" customHeight="1">
      <c r="A272" s="150"/>
      <c r="B272" s="151"/>
      <c r="C272" s="150"/>
      <c r="D272" s="152"/>
      <c r="E272" s="77" t="str">
        <f t="shared" si="1"/>
        <v/>
      </c>
      <c r="F272" s="91" t="str">
        <f t="shared" si="2"/>
        <v/>
      </c>
      <c r="G272" s="69"/>
      <c r="H272" s="69" t="str">
        <f t="array" ref="H272">IF(G272="","",IFERROR(INDEX('Material Master'!$B$2:$B$201,IFERROR(MATCH(G272,'Material Master'!$F$2:$F$201,0),MATCH(G272,'Material Master'!$A$2:$A$201,0))),""))</f>
        <v/>
      </c>
      <c r="I272" s="69" t="str">
        <f t="array" ref="I272">IF(G272="","",IFERROR(INDEX('Material Master'!$C$2:$C$201,IFERROR(MATCH(G272,'Material Master'!$F$2:$F$201,0),MATCH(G272,'Material Master'!$A$2:$A$201,0))),""))</f>
        <v/>
      </c>
      <c r="J272" s="75" t="str">
        <f>IF(E272="","",SUMIFS('Stock Movement'!$F$2:$F$501,'Stock Movement'!$D$2:$D$501,E272,'Stock Movement'!$E$2:$E$501,"IN")-SUMIFS('Stock Movement'!$F$2:$F$501,'Stock Movement'!$D$2:$D$501,E272,'Stock Movement'!$E$2:$E$501,"OUT"))</f>
        <v/>
      </c>
      <c r="K272" s="77" t="str">
        <f t="array" ref="K272">IF(G272="","",IFERROR(INDEX('Material Master'!$D$2:$D$201,IFERROR(MATCH(G272,'Material Master'!$F$2:$F$201,0),MATCH(G272,'Material Master'!$A$2:$A$201,0))),""))</f>
        <v/>
      </c>
      <c r="L272" s="69"/>
      <c r="M272" s="69"/>
    </row>
    <row r="273" ht="15.75" customHeight="1">
      <c r="A273" s="147"/>
      <c r="B273" s="148"/>
      <c r="C273" s="147"/>
      <c r="D273" s="149"/>
      <c r="E273" s="87" t="str">
        <f t="shared" si="1"/>
        <v/>
      </c>
      <c r="F273" s="83" t="str">
        <f t="shared" si="2"/>
        <v/>
      </c>
      <c r="G273" s="85"/>
      <c r="H273" s="85" t="str">
        <f t="array" ref="H273">IF(G273="","",IFERROR(INDEX('Material Master'!$B$2:$B$201,IFERROR(MATCH(G273,'Material Master'!$F$2:$F$201,0),MATCH(G273,'Material Master'!$A$2:$A$201,0))),""))</f>
        <v/>
      </c>
      <c r="I273" s="85" t="str">
        <f t="array" ref="I273">IF(G273="","",IFERROR(INDEX('Material Master'!$C$2:$C$201,IFERROR(MATCH(G273,'Material Master'!$F$2:$F$201,0),MATCH(G273,'Material Master'!$A$2:$A$201,0))),""))</f>
        <v/>
      </c>
      <c r="J273" s="86" t="str">
        <f>IF(E273="","",SUMIFS('Stock Movement'!$F$2:$F$501,'Stock Movement'!$D$2:$D$501,E273,'Stock Movement'!$E$2:$E$501,"IN")-SUMIFS('Stock Movement'!$F$2:$F$501,'Stock Movement'!$D$2:$D$501,E273,'Stock Movement'!$E$2:$E$501,"OUT"))</f>
        <v/>
      </c>
      <c r="K273" s="87" t="str">
        <f t="array" ref="K273">IF(G273="","",IFERROR(INDEX('Material Master'!$D$2:$D$201,IFERROR(MATCH(G273,'Material Master'!$F$2:$F$201,0),MATCH(G273,'Material Master'!$A$2:$A$201,0))),""))</f>
        <v/>
      </c>
      <c r="L273" s="85"/>
      <c r="M273" s="85"/>
    </row>
    <row r="274" ht="15.75" customHeight="1">
      <c r="A274" s="150"/>
      <c r="B274" s="151"/>
      <c r="C274" s="150"/>
      <c r="D274" s="152"/>
      <c r="E274" s="77" t="str">
        <f t="shared" si="1"/>
        <v/>
      </c>
      <c r="F274" s="91" t="str">
        <f t="shared" si="2"/>
        <v/>
      </c>
      <c r="G274" s="69"/>
      <c r="H274" s="69" t="str">
        <f t="array" ref="H274">IF(G274="","",IFERROR(INDEX('Material Master'!$B$2:$B$201,IFERROR(MATCH(G274,'Material Master'!$F$2:$F$201,0),MATCH(G274,'Material Master'!$A$2:$A$201,0))),""))</f>
        <v/>
      </c>
      <c r="I274" s="69" t="str">
        <f t="array" ref="I274">IF(G274="","",IFERROR(INDEX('Material Master'!$C$2:$C$201,IFERROR(MATCH(G274,'Material Master'!$F$2:$F$201,0),MATCH(G274,'Material Master'!$A$2:$A$201,0))),""))</f>
        <v/>
      </c>
      <c r="J274" s="75" t="str">
        <f>IF(E274="","",SUMIFS('Stock Movement'!$F$2:$F$501,'Stock Movement'!$D$2:$D$501,E274,'Stock Movement'!$E$2:$E$501,"IN")-SUMIFS('Stock Movement'!$F$2:$F$501,'Stock Movement'!$D$2:$D$501,E274,'Stock Movement'!$E$2:$E$501,"OUT"))</f>
        <v/>
      </c>
      <c r="K274" s="77" t="str">
        <f t="array" ref="K274">IF(G274="","",IFERROR(INDEX('Material Master'!$D$2:$D$201,IFERROR(MATCH(G274,'Material Master'!$F$2:$F$201,0),MATCH(G274,'Material Master'!$A$2:$A$201,0))),""))</f>
        <v/>
      </c>
      <c r="L274" s="69"/>
      <c r="M274" s="69"/>
    </row>
    <row r="275" ht="15.75" customHeight="1">
      <c r="A275" s="147"/>
      <c r="B275" s="148"/>
      <c r="C275" s="147"/>
      <c r="D275" s="149"/>
      <c r="E275" s="87" t="str">
        <f t="shared" si="1"/>
        <v/>
      </c>
      <c r="F275" s="83" t="str">
        <f t="shared" si="2"/>
        <v/>
      </c>
      <c r="G275" s="85"/>
      <c r="H275" s="85" t="str">
        <f t="array" ref="H275">IF(G275="","",IFERROR(INDEX('Material Master'!$B$2:$B$201,IFERROR(MATCH(G275,'Material Master'!$F$2:$F$201,0),MATCH(G275,'Material Master'!$A$2:$A$201,0))),""))</f>
        <v/>
      </c>
      <c r="I275" s="85" t="str">
        <f t="array" ref="I275">IF(G275="","",IFERROR(INDEX('Material Master'!$C$2:$C$201,IFERROR(MATCH(G275,'Material Master'!$F$2:$F$201,0),MATCH(G275,'Material Master'!$A$2:$A$201,0))),""))</f>
        <v/>
      </c>
      <c r="J275" s="86" t="str">
        <f>IF(E275="","",SUMIFS('Stock Movement'!$F$2:$F$501,'Stock Movement'!$D$2:$D$501,E275,'Stock Movement'!$E$2:$E$501,"IN")-SUMIFS('Stock Movement'!$F$2:$F$501,'Stock Movement'!$D$2:$D$501,E275,'Stock Movement'!$E$2:$E$501,"OUT"))</f>
        <v/>
      </c>
      <c r="K275" s="87" t="str">
        <f t="array" ref="K275">IF(G275="","",IFERROR(INDEX('Material Master'!$D$2:$D$201,IFERROR(MATCH(G275,'Material Master'!$F$2:$F$201,0),MATCH(G275,'Material Master'!$A$2:$A$201,0))),""))</f>
        <v/>
      </c>
      <c r="L275" s="85"/>
      <c r="M275" s="85"/>
    </row>
    <row r="276" ht="15.75" customHeight="1">
      <c r="A276" s="150"/>
      <c r="B276" s="151"/>
      <c r="C276" s="150"/>
      <c r="D276" s="152"/>
      <c r="E276" s="77" t="str">
        <f t="shared" si="1"/>
        <v/>
      </c>
      <c r="F276" s="91" t="str">
        <f t="shared" si="2"/>
        <v/>
      </c>
      <c r="G276" s="69"/>
      <c r="H276" s="69" t="str">
        <f t="array" ref="H276">IF(G276="","",IFERROR(INDEX('Material Master'!$B$2:$B$201,IFERROR(MATCH(G276,'Material Master'!$F$2:$F$201,0),MATCH(G276,'Material Master'!$A$2:$A$201,0))),""))</f>
        <v/>
      </c>
      <c r="I276" s="69" t="str">
        <f t="array" ref="I276">IF(G276="","",IFERROR(INDEX('Material Master'!$C$2:$C$201,IFERROR(MATCH(G276,'Material Master'!$F$2:$F$201,0),MATCH(G276,'Material Master'!$A$2:$A$201,0))),""))</f>
        <v/>
      </c>
      <c r="J276" s="75" t="str">
        <f>IF(E276="","",SUMIFS('Stock Movement'!$F$2:$F$501,'Stock Movement'!$D$2:$D$501,E276,'Stock Movement'!$E$2:$E$501,"IN")-SUMIFS('Stock Movement'!$F$2:$F$501,'Stock Movement'!$D$2:$D$501,E276,'Stock Movement'!$E$2:$E$501,"OUT"))</f>
        <v/>
      </c>
      <c r="K276" s="77" t="str">
        <f t="array" ref="K276">IF(G276="","",IFERROR(INDEX('Material Master'!$D$2:$D$201,IFERROR(MATCH(G276,'Material Master'!$F$2:$F$201,0),MATCH(G276,'Material Master'!$A$2:$A$201,0))),""))</f>
        <v/>
      </c>
      <c r="L276" s="69"/>
      <c r="M276" s="69"/>
    </row>
    <row r="277" ht="15.75" customHeight="1">
      <c r="A277" s="147"/>
      <c r="B277" s="148"/>
      <c r="C277" s="147"/>
      <c r="D277" s="149"/>
      <c r="E277" s="87" t="str">
        <f t="shared" si="1"/>
        <v/>
      </c>
      <c r="F277" s="83" t="str">
        <f t="shared" si="2"/>
        <v/>
      </c>
      <c r="G277" s="85"/>
      <c r="H277" s="85" t="str">
        <f t="array" ref="H277">IF(G277="","",IFERROR(INDEX('Material Master'!$B$2:$B$201,IFERROR(MATCH(G277,'Material Master'!$F$2:$F$201,0),MATCH(G277,'Material Master'!$A$2:$A$201,0))),""))</f>
        <v/>
      </c>
      <c r="I277" s="85" t="str">
        <f t="array" ref="I277">IF(G277="","",IFERROR(INDEX('Material Master'!$C$2:$C$201,IFERROR(MATCH(G277,'Material Master'!$F$2:$F$201,0),MATCH(G277,'Material Master'!$A$2:$A$201,0))),""))</f>
        <v/>
      </c>
      <c r="J277" s="86" t="str">
        <f>IF(E277="","",SUMIFS('Stock Movement'!$F$2:$F$501,'Stock Movement'!$D$2:$D$501,E277,'Stock Movement'!$E$2:$E$501,"IN")-SUMIFS('Stock Movement'!$F$2:$F$501,'Stock Movement'!$D$2:$D$501,E277,'Stock Movement'!$E$2:$E$501,"OUT"))</f>
        <v/>
      </c>
      <c r="K277" s="87" t="str">
        <f t="array" ref="K277">IF(G277="","",IFERROR(INDEX('Material Master'!$D$2:$D$201,IFERROR(MATCH(G277,'Material Master'!$F$2:$F$201,0),MATCH(G277,'Material Master'!$A$2:$A$201,0))),""))</f>
        <v/>
      </c>
      <c r="L277" s="85"/>
      <c r="M277" s="85"/>
    </row>
    <row r="278" ht="15.75" customHeight="1">
      <c r="A278" s="150"/>
      <c r="B278" s="151"/>
      <c r="C278" s="150"/>
      <c r="D278" s="152"/>
      <c r="E278" s="77" t="str">
        <f t="shared" si="1"/>
        <v/>
      </c>
      <c r="F278" s="91" t="str">
        <f t="shared" si="2"/>
        <v/>
      </c>
      <c r="G278" s="69"/>
      <c r="H278" s="69" t="str">
        <f t="array" ref="H278">IF(G278="","",IFERROR(INDEX('Material Master'!$B$2:$B$201,IFERROR(MATCH(G278,'Material Master'!$F$2:$F$201,0),MATCH(G278,'Material Master'!$A$2:$A$201,0))),""))</f>
        <v/>
      </c>
      <c r="I278" s="69" t="str">
        <f t="array" ref="I278">IF(G278="","",IFERROR(INDEX('Material Master'!$C$2:$C$201,IFERROR(MATCH(G278,'Material Master'!$F$2:$F$201,0),MATCH(G278,'Material Master'!$A$2:$A$201,0))),""))</f>
        <v/>
      </c>
      <c r="J278" s="75" t="str">
        <f>IF(E278="","",SUMIFS('Stock Movement'!$F$2:$F$501,'Stock Movement'!$D$2:$D$501,E278,'Stock Movement'!$E$2:$E$501,"IN")-SUMIFS('Stock Movement'!$F$2:$F$501,'Stock Movement'!$D$2:$D$501,E278,'Stock Movement'!$E$2:$E$501,"OUT"))</f>
        <v/>
      </c>
      <c r="K278" s="77" t="str">
        <f t="array" ref="K278">IF(G278="","",IFERROR(INDEX('Material Master'!$D$2:$D$201,IFERROR(MATCH(G278,'Material Master'!$F$2:$F$201,0),MATCH(G278,'Material Master'!$A$2:$A$201,0))),""))</f>
        <v/>
      </c>
      <c r="L278" s="69"/>
      <c r="M278" s="69"/>
    </row>
    <row r="279" ht="15.75" customHeight="1">
      <c r="A279" s="147"/>
      <c r="B279" s="148"/>
      <c r="C279" s="147"/>
      <c r="D279" s="149"/>
      <c r="E279" s="87" t="str">
        <f t="shared" si="1"/>
        <v/>
      </c>
      <c r="F279" s="83" t="str">
        <f t="shared" si="2"/>
        <v/>
      </c>
      <c r="G279" s="85"/>
      <c r="H279" s="85" t="str">
        <f t="array" ref="H279">IF(G279="","",IFERROR(INDEX('Material Master'!$B$2:$B$201,IFERROR(MATCH(G279,'Material Master'!$F$2:$F$201,0),MATCH(G279,'Material Master'!$A$2:$A$201,0))),""))</f>
        <v/>
      </c>
      <c r="I279" s="85" t="str">
        <f t="array" ref="I279">IF(G279="","",IFERROR(INDEX('Material Master'!$C$2:$C$201,IFERROR(MATCH(G279,'Material Master'!$F$2:$F$201,0),MATCH(G279,'Material Master'!$A$2:$A$201,0))),""))</f>
        <v/>
      </c>
      <c r="J279" s="86" t="str">
        <f>IF(E279="","",SUMIFS('Stock Movement'!$F$2:$F$501,'Stock Movement'!$D$2:$D$501,E279,'Stock Movement'!$E$2:$E$501,"IN")-SUMIFS('Stock Movement'!$F$2:$F$501,'Stock Movement'!$D$2:$D$501,E279,'Stock Movement'!$E$2:$E$501,"OUT"))</f>
        <v/>
      </c>
      <c r="K279" s="87" t="str">
        <f t="array" ref="K279">IF(G279="","",IFERROR(INDEX('Material Master'!$D$2:$D$201,IFERROR(MATCH(G279,'Material Master'!$F$2:$F$201,0),MATCH(G279,'Material Master'!$A$2:$A$201,0))),""))</f>
        <v/>
      </c>
      <c r="L279" s="85"/>
      <c r="M279" s="85"/>
    </row>
    <row r="280" ht="15.75" customHeight="1">
      <c r="A280" s="150"/>
      <c r="B280" s="151"/>
      <c r="C280" s="150"/>
      <c r="D280" s="152"/>
      <c r="E280" s="77" t="str">
        <f t="shared" si="1"/>
        <v/>
      </c>
      <c r="F280" s="91" t="str">
        <f t="shared" si="2"/>
        <v/>
      </c>
      <c r="G280" s="69"/>
      <c r="H280" s="69" t="str">
        <f t="array" ref="H280">IF(G280="","",IFERROR(INDEX('Material Master'!$B$2:$B$201,IFERROR(MATCH(G280,'Material Master'!$F$2:$F$201,0),MATCH(G280,'Material Master'!$A$2:$A$201,0))),""))</f>
        <v/>
      </c>
      <c r="I280" s="69" t="str">
        <f t="array" ref="I280">IF(G280="","",IFERROR(INDEX('Material Master'!$C$2:$C$201,IFERROR(MATCH(G280,'Material Master'!$F$2:$F$201,0),MATCH(G280,'Material Master'!$A$2:$A$201,0))),""))</f>
        <v/>
      </c>
      <c r="J280" s="75" t="str">
        <f>IF(E280="","",SUMIFS('Stock Movement'!$F$2:$F$501,'Stock Movement'!$D$2:$D$501,E280,'Stock Movement'!$E$2:$E$501,"IN")-SUMIFS('Stock Movement'!$F$2:$F$501,'Stock Movement'!$D$2:$D$501,E280,'Stock Movement'!$E$2:$E$501,"OUT"))</f>
        <v/>
      </c>
      <c r="K280" s="77" t="str">
        <f t="array" ref="K280">IF(G280="","",IFERROR(INDEX('Material Master'!$D$2:$D$201,IFERROR(MATCH(G280,'Material Master'!$F$2:$F$201,0),MATCH(G280,'Material Master'!$A$2:$A$201,0))),""))</f>
        <v/>
      </c>
      <c r="L280" s="69"/>
      <c r="M280" s="69"/>
    </row>
    <row r="281" ht="15.75" customHeight="1">
      <c r="A281" s="147"/>
      <c r="B281" s="148"/>
      <c r="C281" s="147"/>
      <c r="D281" s="149"/>
      <c r="E281" s="87" t="str">
        <f t="shared" si="1"/>
        <v/>
      </c>
      <c r="F281" s="83" t="str">
        <f t="shared" si="2"/>
        <v/>
      </c>
      <c r="G281" s="85"/>
      <c r="H281" s="85" t="str">
        <f t="array" ref="H281">IF(G281="","",IFERROR(INDEX('Material Master'!$B$2:$B$201,IFERROR(MATCH(G281,'Material Master'!$F$2:$F$201,0),MATCH(G281,'Material Master'!$A$2:$A$201,0))),""))</f>
        <v/>
      </c>
      <c r="I281" s="85" t="str">
        <f t="array" ref="I281">IF(G281="","",IFERROR(INDEX('Material Master'!$C$2:$C$201,IFERROR(MATCH(G281,'Material Master'!$F$2:$F$201,0),MATCH(G281,'Material Master'!$A$2:$A$201,0))),""))</f>
        <v/>
      </c>
      <c r="J281" s="86" t="str">
        <f>IF(E281="","",SUMIFS('Stock Movement'!$F$2:$F$501,'Stock Movement'!$D$2:$D$501,E281,'Stock Movement'!$E$2:$E$501,"IN")-SUMIFS('Stock Movement'!$F$2:$F$501,'Stock Movement'!$D$2:$D$501,E281,'Stock Movement'!$E$2:$E$501,"OUT"))</f>
        <v/>
      </c>
      <c r="K281" s="87" t="str">
        <f t="array" ref="K281">IF(G281="","",IFERROR(INDEX('Material Master'!$D$2:$D$201,IFERROR(MATCH(G281,'Material Master'!$F$2:$F$201,0),MATCH(G281,'Material Master'!$A$2:$A$201,0))),""))</f>
        <v/>
      </c>
      <c r="L281" s="85"/>
      <c r="M281" s="85"/>
    </row>
    <row r="282" ht="15.75" customHeight="1">
      <c r="A282" s="150"/>
      <c r="B282" s="151"/>
      <c r="C282" s="150"/>
      <c r="D282" s="152"/>
      <c r="E282" s="77" t="str">
        <f t="shared" si="1"/>
        <v/>
      </c>
      <c r="F282" s="91" t="str">
        <f t="shared" si="2"/>
        <v/>
      </c>
      <c r="G282" s="69"/>
      <c r="H282" s="69" t="str">
        <f t="array" ref="H282">IF(G282="","",IFERROR(INDEX('Material Master'!$B$2:$B$201,IFERROR(MATCH(G282,'Material Master'!$F$2:$F$201,0),MATCH(G282,'Material Master'!$A$2:$A$201,0))),""))</f>
        <v/>
      </c>
      <c r="I282" s="69" t="str">
        <f t="array" ref="I282">IF(G282="","",IFERROR(INDEX('Material Master'!$C$2:$C$201,IFERROR(MATCH(G282,'Material Master'!$F$2:$F$201,0),MATCH(G282,'Material Master'!$A$2:$A$201,0))),""))</f>
        <v/>
      </c>
      <c r="J282" s="75" t="str">
        <f>IF(E282="","",SUMIFS('Stock Movement'!$F$2:$F$501,'Stock Movement'!$D$2:$D$501,E282,'Stock Movement'!$E$2:$E$501,"IN")-SUMIFS('Stock Movement'!$F$2:$F$501,'Stock Movement'!$D$2:$D$501,E282,'Stock Movement'!$E$2:$E$501,"OUT"))</f>
        <v/>
      </c>
      <c r="K282" s="77" t="str">
        <f t="array" ref="K282">IF(G282="","",IFERROR(INDEX('Material Master'!$D$2:$D$201,IFERROR(MATCH(G282,'Material Master'!$F$2:$F$201,0),MATCH(G282,'Material Master'!$A$2:$A$201,0))),""))</f>
        <v/>
      </c>
      <c r="L282" s="69"/>
      <c r="M282" s="69"/>
    </row>
    <row r="283" ht="15.75" customHeight="1">
      <c r="A283" s="147"/>
      <c r="B283" s="148"/>
      <c r="C283" s="147"/>
      <c r="D283" s="149"/>
      <c r="E283" s="87" t="str">
        <f t="shared" si="1"/>
        <v/>
      </c>
      <c r="F283" s="83" t="str">
        <f t="shared" si="2"/>
        <v/>
      </c>
      <c r="G283" s="85"/>
      <c r="H283" s="85" t="str">
        <f t="array" ref="H283">IF(G283="","",IFERROR(INDEX('Material Master'!$B$2:$B$201,IFERROR(MATCH(G283,'Material Master'!$F$2:$F$201,0),MATCH(G283,'Material Master'!$A$2:$A$201,0))),""))</f>
        <v/>
      </c>
      <c r="I283" s="85" t="str">
        <f t="array" ref="I283">IF(G283="","",IFERROR(INDEX('Material Master'!$C$2:$C$201,IFERROR(MATCH(G283,'Material Master'!$F$2:$F$201,0),MATCH(G283,'Material Master'!$A$2:$A$201,0))),""))</f>
        <v/>
      </c>
      <c r="J283" s="86" t="str">
        <f>IF(E283="","",SUMIFS('Stock Movement'!$F$2:$F$501,'Stock Movement'!$D$2:$D$501,E283,'Stock Movement'!$E$2:$E$501,"IN")-SUMIFS('Stock Movement'!$F$2:$F$501,'Stock Movement'!$D$2:$D$501,E283,'Stock Movement'!$E$2:$E$501,"OUT"))</f>
        <v/>
      </c>
      <c r="K283" s="87" t="str">
        <f t="array" ref="K283">IF(G283="","",IFERROR(INDEX('Material Master'!$D$2:$D$201,IFERROR(MATCH(G283,'Material Master'!$F$2:$F$201,0),MATCH(G283,'Material Master'!$A$2:$A$201,0))),""))</f>
        <v/>
      </c>
      <c r="L283" s="85"/>
      <c r="M283" s="85"/>
    </row>
    <row r="284" ht="15.75" customHeight="1">
      <c r="A284" s="150"/>
      <c r="B284" s="151"/>
      <c r="C284" s="150"/>
      <c r="D284" s="152"/>
      <c r="E284" s="77" t="str">
        <f t="shared" si="1"/>
        <v/>
      </c>
      <c r="F284" s="91" t="str">
        <f t="shared" si="2"/>
        <v/>
      </c>
      <c r="G284" s="69"/>
      <c r="H284" s="69" t="str">
        <f t="array" ref="H284">IF(G284="","",IFERROR(INDEX('Material Master'!$B$2:$B$201,IFERROR(MATCH(G284,'Material Master'!$F$2:$F$201,0),MATCH(G284,'Material Master'!$A$2:$A$201,0))),""))</f>
        <v/>
      </c>
      <c r="I284" s="69" t="str">
        <f t="array" ref="I284">IF(G284="","",IFERROR(INDEX('Material Master'!$C$2:$C$201,IFERROR(MATCH(G284,'Material Master'!$F$2:$F$201,0),MATCH(G284,'Material Master'!$A$2:$A$201,0))),""))</f>
        <v/>
      </c>
      <c r="J284" s="75" t="str">
        <f>IF(E284="","",SUMIFS('Stock Movement'!$F$2:$F$501,'Stock Movement'!$D$2:$D$501,E284,'Stock Movement'!$E$2:$E$501,"IN")-SUMIFS('Stock Movement'!$F$2:$F$501,'Stock Movement'!$D$2:$D$501,E284,'Stock Movement'!$E$2:$E$501,"OUT"))</f>
        <v/>
      </c>
      <c r="K284" s="77" t="str">
        <f t="array" ref="K284">IF(G284="","",IFERROR(INDEX('Material Master'!$D$2:$D$201,IFERROR(MATCH(G284,'Material Master'!$F$2:$F$201,0),MATCH(G284,'Material Master'!$A$2:$A$201,0))),""))</f>
        <v/>
      </c>
      <c r="L284" s="69"/>
      <c r="M284" s="69"/>
    </row>
    <row r="285" ht="15.75" customHeight="1">
      <c r="A285" s="147"/>
      <c r="B285" s="148"/>
      <c r="C285" s="147"/>
      <c r="D285" s="149"/>
      <c r="E285" s="87" t="str">
        <f t="shared" si="1"/>
        <v/>
      </c>
      <c r="F285" s="83" t="str">
        <f t="shared" si="2"/>
        <v/>
      </c>
      <c r="G285" s="85"/>
      <c r="H285" s="85" t="str">
        <f t="array" ref="H285">IF(G285="","",IFERROR(INDEX('Material Master'!$B$2:$B$201,IFERROR(MATCH(G285,'Material Master'!$F$2:$F$201,0),MATCH(G285,'Material Master'!$A$2:$A$201,0))),""))</f>
        <v/>
      </c>
      <c r="I285" s="85" t="str">
        <f t="array" ref="I285">IF(G285="","",IFERROR(INDEX('Material Master'!$C$2:$C$201,IFERROR(MATCH(G285,'Material Master'!$F$2:$F$201,0),MATCH(G285,'Material Master'!$A$2:$A$201,0))),""))</f>
        <v/>
      </c>
      <c r="J285" s="86" t="str">
        <f>IF(E285="","",SUMIFS('Stock Movement'!$F$2:$F$501,'Stock Movement'!$D$2:$D$501,E285,'Stock Movement'!$E$2:$E$501,"IN")-SUMIFS('Stock Movement'!$F$2:$F$501,'Stock Movement'!$D$2:$D$501,E285,'Stock Movement'!$E$2:$E$501,"OUT"))</f>
        <v/>
      </c>
      <c r="K285" s="87" t="str">
        <f t="array" ref="K285">IF(G285="","",IFERROR(INDEX('Material Master'!$D$2:$D$201,IFERROR(MATCH(G285,'Material Master'!$F$2:$F$201,0),MATCH(G285,'Material Master'!$A$2:$A$201,0))),""))</f>
        <v/>
      </c>
      <c r="L285" s="85"/>
      <c r="M285" s="85"/>
    </row>
    <row r="286" ht="15.75" customHeight="1">
      <c r="A286" s="150"/>
      <c r="B286" s="151"/>
      <c r="C286" s="150"/>
      <c r="D286" s="152"/>
      <c r="E286" s="77" t="str">
        <f t="shared" si="1"/>
        <v/>
      </c>
      <c r="F286" s="91" t="str">
        <f t="shared" si="2"/>
        <v/>
      </c>
      <c r="G286" s="69"/>
      <c r="H286" s="69" t="str">
        <f t="array" ref="H286">IF(G286="","",IFERROR(INDEX('Material Master'!$B$2:$B$201,IFERROR(MATCH(G286,'Material Master'!$F$2:$F$201,0),MATCH(G286,'Material Master'!$A$2:$A$201,0))),""))</f>
        <v/>
      </c>
      <c r="I286" s="69" t="str">
        <f t="array" ref="I286">IF(G286="","",IFERROR(INDEX('Material Master'!$C$2:$C$201,IFERROR(MATCH(G286,'Material Master'!$F$2:$F$201,0),MATCH(G286,'Material Master'!$A$2:$A$201,0))),""))</f>
        <v/>
      </c>
      <c r="J286" s="75" t="str">
        <f>IF(E286="","",SUMIFS('Stock Movement'!$F$2:$F$501,'Stock Movement'!$D$2:$D$501,E286,'Stock Movement'!$E$2:$E$501,"IN")-SUMIFS('Stock Movement'!$F$2:$F$501,'Stock Movement'!$D$2:$D$501,E286,'Stock Movement'!$E$2:$E$501,"OUT"))</f>
        <v/>
      </c>
      <c r="K286" s="77" t="str">
        <f t="array" ref="K286">IF(G286="","",IFERROR(INDEX('Material Master'!$D$2:$D$201,IFERROR(MATCH(G286,'Material Master'!$F$2:$F$201,0),MATCH(G286,'Material Master'!$A$2:$A$201,0))),""))</f>
        <v/>
      </c>
      <c r="L286" s="69"/>
      <c r="M286" s="69"/>
    </row>
    <row r="287" ht="15.75" customHeight="1">
      <c r="A287" s="147"/>
      <c r="B287" s="148"/>
      <c r="C287" s="147"/>
      <c r="D287" s="149"/>
      <c r="E287" s="87" t="str">
        <f t="shared" si="1"/>
        <v/>
      </c>
      <c r="F287" s="83" t="str">
        <f t="shared" si="2"/>
        <v/>
      </c>
      <c r="G287" s="85"/>
      <c r="H287" s="85" t="str">
        <f t="array" ref="H287">IF(G287="","",IFERROR(INDEX('Material Master'!$B$2:$B$201,IFERROR(MATCH(G287,'Material Master'!$F$2:$F$201,0),MATCH(G287,'Material Master'!$A$2:$A$201,0))),""))</f>
        <v/>
      </c>
      <c r="I287" s="85" t="str">
        <f t="array" ref="I287">IF(G287="","",IFERROR(INDEX('Material Master'!$C$2:$C$201,IFERROR(MATCH(G287,'Material Master'!$F$2:$F$201,0),MATCH(G287,'Material Master'!$A$2:$A$201,0))),""))</f>
        <v/>
      </c>
      <c r="J287" s="86" t="str">
        <f>IF(E287="","",SUMIFS('Stock Movement'!$F$2:$F$501,'Stock Movement'!$D$2:$D$501,E287,'Stock Movement'!$E$2:$E$501,"IN")-SUMIFS('Stock Movement'!$F$2:$F$501,'Stock Movement'!$D$2:$D$501,E287,'Stock Movement'!$E$2:$E$501,"OUT"))</f>
        <v/>
      </c>
      <c r="K287" s="87" t="str">
        <f t="array" ref="K287">IF(G287="","",IFERROR(INDEX('Material Master'!$D$2:$D$201,IFERROR(MATCH(G287,'Material Master'!$F$2:$F$201,0),MATCH(G287,'Material Master'!$A$2:$A$201,0))),""))</f>
        <v/>
      </c>
      <c r="L287" s="85"/>
      <c r="M287" s="85"/>
    </row>
    <row r="288" ht="15.75" customHeight="1">
      <c r="A288" s="150"/>
      <c r="B288" s="151"/>
      <c r="C288" s="150"/>
      <c r="D288" s="152"/>
      <c r="E288" s="77" t="str">
        <f t="shared" si="1"/>
        <v/>
      </c>
      <c r="F288" s="91" t="str">
        <f t="shared" si="2"/>
        <v/>
      </c>
      <c r="G288" s="69"/>
      <c r="H288" s="69" t="str">
        <f t="array" ref="H288">IF(G288="","",IFERROR(INDEX('Material Master'!$B$2:$B$201,IFERROR(MATCH(G288,'Material Master'!$F$2:$F$201,0),MATCH(G288,'Material Master'!$A$2:$A$201,0))),""))</f>
        <v/>
      </c>
      <c r="I288" s="69" t="str">
        <f t="array" ref="I288">IF(G288="","",IFERROR(INDEX('Material Master'!$C$2:$C$201,IFERROR(MATCH(G288,'Material Master'!$F$2:$F$201,0),MATCH(G288,'Material Master'!$A$2:$A$201,0))),""))</f>
        <v/>
      </c>
      <c r="J288" s="75" t="str">
        <f>IF(E288="","",SUMIFS('Stock Movement'!$F$2:$F$501,'Stock Movement'!$D$2:$D$501,E288,'Stock Movement'!$E$2:$E$501,"IN")-SUMIFS('Stock Movement'!$F$2:$F$501,'Stock Movement'!$D$2:$D$501,E288,'Stock Movement'!$E$2:$E$501,"OUT"))</f>
        <v/>
      </c>
      <c r="K288" s="77" t="str">
        <f t="array" ref="K288">IF(G288="","",IFERROR(INDEX('Material Master'!$D$2:$D$201,IFERROR(MATCH(G288,'Material Master'!$F$2:$F$201,0),MATCH(G288,'Material Master'!$A$2:$A$201,0))),""))</f>
        <v/>
      </c>
      <c r="L288" s="69"/>
      <c r="M288" s="69"/>
    </row>
    <row r="289" ht="15.75" customHeight="1">
      <c r="A289" s="147"/>
      <c r="B289" s="148"/>
      <c r="C289" s="147"/>
      <c r="D289" s="149"/>
      <c r="E289" s="87" t="str">
        <f t="shared" si="1"/>
        <v/>
      </c>
      <c r="F289" s="83" t="str">
        <f t="shared" si="2"/>
        <v/>
      </c>
      <c r="G289" s="85"/>
      <c r="H289" s="85" t="str">
        <f t="array" ref="H289">IF(G289="","",IFERROR(INDEX('Material Master'!$B$2:$B$201,IFERROR(MATCH(G289,'Material Master'!$F$2:$F$201,0),MATCH(G289,'Material Master'!$A$2:$A$201,0))),""))</f>
        <v/>
      </c>
      <c r="I289" s="85" t="str">
        <f t="array" ref="I289">IF(G289="","",IFERROR(INDEX('Material Master'!$C$2:$C$201,IFERROR(MATCH(G289,'Material Master'!$F$2:$F$201,0),MATCH(G289,'Material Master'!$A$2:$A$201,0))),""))</f>
        <v/>
      </c>
      <c r="J289" s="86" t="str">
        <f>IF(E289="","",SUMIFS('Stock Movement'!$F$2:$F$501,'Stock Movement'!$D$2:$D$501,E289,'Stock Movement'!$E$2:$E$501,"IN")-SUMIFS('Stock Movement'!$F$2:$F$501,'Stock Movement'!$D$2:$D$501,E289,'Stock Movement'!$E$2:$E$501,"OUT"))</f>
        <v/>
      </c>
      <c r="K289" s="87" t="str">
        <f t="array" ref="K289">IF(G289="","",IFERROR(INDEX('Material Master'!$D$2:$D$201,IFERROR(MATCH(G289,'Material Master'!$F$2:$F$201,0),MATCH(G289,'Material Master'!$A$2:$A$201,0))),""))</f>
        <v/>
      </c>
      <c r="L289" s="85"/>
      <c r="M289" s="85"/>
    </row>
    <row r="290" ht="15.75" customHeight="1">
      <c r="A290" s="150"/>
      <c r="B290" s="151"/>
      <c r="C290" s="150"/>
      <c r="D290" s="152"/>
      <c r="E290" s="77" t="str">
        <f t="shared" si="1"/>
        <v/>
      </c>
      <c r="F290" s="91" t="str">
        <f t="shared" si="2"/>
        <v/>
      </c>
      <c r="G290" s="69"/>
      <c r="H290" s="69" t="str">
        <f t="array" ref="H290">IF(G290="","",IFERROR(INDEX('Material Master'!$B$2:$B$201,IFERROR(MATCH(G290,'Material Master'!$F$2:$F$201,0),MATCH(G290,'Material Master'!$A$2:$A$201,0))),""))</f>
        <v/>
      </c>
      <c r="I290" s="69" t="str">
        <f t="array" ref="I290">IF(G290="","",IFERROR(INDEX('Material Master'!$C$2:$C$201,IFERROR(MATCH(G290,'Material Master'!$F$2:$F$201,0),MATCH(G290,'Material Master'!$A$2:$A$201,0))),""))</f>
        <v/>
      </c>
      <c r="J290" s="75" t="str">
        <f>IF(E290="","",SUMIFS('Stock Movement'!$F$2:$F$501,'Stock Movement'!$D$2:$D$501,E290,'Stock Movement'!$E$2:$E$501,"IN")-SUMIFS('Stock Movement'!$F$2:$F$501,'Stock Movement'!$D$2:$D$501,E290,'Stock Movement'!$E$2:$E$501,"OUT"))</f>
        <v/>
      </c>
      <c r="K290" s="77" t="str">
        <f t="array" ref="K290">IF(G290="","",IFERROR(INDEX('Material Master'!$D$2:$D$201,IFERROR(MATCH(G290,'Material Master'!$F$2:$F$201,0),MATCH(G290,'Material Master'!$A$2:$A$201,0))),""))</f>
        <v/>
      </c>
      <c r="L290" s="69"/>
      <c r="M290" s="69"/>
    </row>
    <row r="291" ht="15.75" customHeight="1">
      <c r="A291" s="147"/>
      <c r="B291" s="148"/>
      <c r="C291" s="147"/>
      <c r="D291" s="149"/>
      <c r="E291" s="87" t="str">
        <f t="shared" si="1"/>
        <v/>
      </c>
      <c r="F291" s="83" t="str">
        <f t="shared" si="2"/>
        <v/>
      </c>
      <c r="G291" s="85"/>
      <c r="H291" s="85" t="str">
        <f t="array" ref="H291">IF(G291="","",IFERROR(INDEX('Material Master'!$B$2:$B$201,IFERROR(MATCH(G291,'Material Master'!$F$2:$F$201,0),MATCH(G291,'Material Master'!$A$2:$A$201,0))),""))</f>
        <v/>
      </c>
      <c r="I291" s="85" t="str">
        <f t="array" ref="I291">IF(G291="","",IFERROR(INDEX('Material Master'!$C$2:$C$201,IFERROR(MATCH(G291,'Material Master'!$F$2:$F$201,0),MATCH(G291,'Material Master'!$A$2:$A$201,0))),""))</f>
        <v/>
      </c>
      <c r="J291" s="86" t="str">
        <f>IF(E291="","",SUMIFS('Stock Movement'!$F$2:$F$501,'Stock Movement'!$D$2:$D$501,E291,'Stock Movement'!$E$2:$E$501,"IN")-SUMIFS('Stock Movement'!$F$2:$F$501,'Stock Movement'!$D$2:$D$501,E291,'Stock Movement'!$E$2:$E$501,"OUT"))</f>
        <v/>
      </c>
      <c r="K291" s="87" t="str">
        <f t="array" ref="K291">IF(G291="","",IFERROR(INDEX('Material Master'!$D$2:$D$201,IFERROR(MATCH(G291,'Material Master'!$F$2:$F$201,0),MATCH(G291,'Material Master'!$A$2:$A$201,0))),""))</f>
        <v/>
      </c>
      <c r="L291" s="85"/>
      <c r="M291" s="85"/>
    </row>
    <row r="292" ht="15.75" customHeight="1">
      <c r="A292" s="150"/>
      <c r="B292" s="151"/>
      <c r="C292" s="150"/>
      <c r="D292" s="152"/>
      <c r="E292" s="77" t="str">
        <f t="shared" si="1"/>
        <v/>
      </c>
      <c r="F292" s="91" t="str">
        <f t="shared" si="2"/>
        <v/>
      </c>
      <c r="G292" s="69"/>
      <c r="H292" s="69" t="str">
        <f t="array" ref="H292">IF(G292="","",IFERROR(INDEX('Material Master'!$B$2:$B$201,IFERROR(MATCH(G292,'Material Master'!$F$2:$F$201,0),MATCH(G292,'Material Master'!$A$2:$A$201,0))),""))</f>
        <v/>
      </c>
      <c r="I292" s="69" t="str">
        <f t="array" ref="I292">IF(G292="","",IFERROR(INDEX('Material Master'!$C$2:$C$201,IFERROR(MATCH(G292,'Material Master'!$F$2:$F$201,0),MATCH(G292,'Material Master'!$A$2:$A$201,0))),""))</f>
        <v/>
      </c>
      <c r="J292" s="75" t="str">
        <f>IF(E292="","",SUMIFS('Stock Movement'!$F$2:$F$501,'Stock Movement'!$D$2:$D$501,E292,'Stock Movement'!$E$2:$E$501,"IN")-SUMIFS('Stock Movement'!$F$2:$F$501,'Stock Movement'!$D$2:$D$501,E292,'Stock Movement'!$E$2:$E$501,"OUT"))</f>
        <v/>
      </c>
      <c r="K292" s="77" t="str">
        <f t="array" ref="K292">IF(G292="","",IFERROR(INDEX('Material Master'!$D$2:$D$201,IFERROR(MATCH(G292,'Material Master'!$F$2:$F$201,0),MATCH(G292,'Material Master'!$A$2:$A$201,0))),""))</f>
        <v/>
      </c>
      <c r="L292" s="69"/>
      <c r="M292" s="69"/>
    </row>
    <row r="293" ht="15.75" customHeight="1">
      <c r="A293" s="147"/>
      <c r="B293" s="148"/>
      <c r="C293" s="147"/>
      <c r="D293" s="149"/>
      <c r="E293" s="87" t="str">
        <f t="shared" si="1"/>
        <v/>
      </c>
      <c r="F293" s="83" t="str">
        <f t="shared" si="2"/>
        <v/>
      </c>
      <c r="G293" s="85"/>
      <c r="H293" s="85" t="str">
        <f t="array" ref="H293">IF(G293="","",IFERROR(INDEX('Material Master'!$B$2:$B$201,IFERROR(MATCH(G293,'Material Master'!$F$2:$F$201,0),MATCH(G293,'Material Master'!$A$2:$A$201,0))),""))</f>
        <v/>
      </c>
      <c r="I293" s="85" t="str">
        <f t="array" ref="I293">IF(G293="","",IFERROR(INDEX('Material Master'!$C$2:$C$201,IFERROR(MATCH(G293,'Material Master'!$F$2:$F$201,0),MATCH(G293,'Material Master'!$A$2:$A$201,0))),""))</f>
        <v/>
      </c>
      <c r="J293" s="86" t="str">
        <f>IF(E293="","",SUMIFS('Stock Movement'!$F$2:$F$501,'Stock Movement'!$D$2:$D$501,E293,'Stock Movement'!$E$2:$E$501,"IN")-SUMIFS('Stock Movement'!$F$2:$F$501,'Stock Movement'!$D$2:$D$501,E293,'Stock Movement'!$E$2:$E$501,"OUT"))</f>
        <v/>
      </c>
      <c r="K293" s="87" t="str">
        <f t="array" ref="K293">IF(G293="","",IFERROR(INDEX('Material Master'!$D$2:$D$201,IFERROR(MATCH(G293,'Material Master'!$F$2:$F$201,0),MATCH(G293,'Material Master'!$A$2:$A$201,0))),""))</f>
        <v/>
      </c>
      <c r="L293" s="85"/>
      <c r="M293" s="85"/>
    </row>
    <row r="294" ht="15.75" customHeight="1">
      <c r="A294" s="150"/>
      <c r="B294" s="151"/>
      <c r="C294" s="150"/>
      <c r="D294" s="152"/>
      <c r="E294" s="77" t="str">
        <f t="shared" si="1"/>
        <v/>
      </c>
      <c r="F294" s="91" t="str">
        <f t="shared" si="2"/>
        <v/>
      </c>
      <c r="G294" s="69"/>
      <c r="H294" s="69" t="str">
        <f t="array" ref="H294">IF(G294="","",IFERROR(INDEX('Material Master'!$B$2:$B$201,IFERROR(MATCH(G294,'Material Master'!$F$2:$F$201,0),MATCH(G294,'Material Master'!$A$2:$A$201,0))),""))</f>
        <v/>
      </c>
      <c r="I294" s="69" t="str">
        <f t="array" ref="I294">IF(G294="","",IFERROR(INDEX('Material Master'!$C$2:$C$201,IFERROR(MATCH(G294,'Material Master'!$F$2:$F$201,0),MATCH(G294,'Material Master'!$A$2:$A$201,0))),""))</f>
        <v/>
      </c>
      <c r="J294" s="75" t="str">
        <f>IF(E294="","",SUMIFS('Stock Movement'!$F$2:$F$501,'Stock Movement'!$D$2:$D$501,E294,'Stock Movement'!$E$2:$E$501,"IN")-SUMIFS('Stock Movement'!$F$2:$F$501,'Stock Movement'!$D$2:$D$501,E294,'Stock Movement'!$E$2:$E$501,"OUT"))</f>
        <v/>
      </c>
      <c r="K294" s="77" t="str">
        <f t="array" ref="K294">IF(G294="","",IFERROR(INDEX('Material Master'!$D$2:$D$201,IFERROR(MATCH(G294,'Material Master'!$F$2:$F$201,0),MATCH(G294,'Material Master'!$A$2:$A$201,0))),""))</f>
        <v/>
      </c>
      <c r="L294" s="69"/>
      <c r="M294" s="69"/>
    </row>
    <row r="295" ht="15.75" customHeight="1">
      <c r="A295" s="147"/>
      <c r="B295" s="148"/>
      <c r="C295" s="147"/>
      <c r="D295" s="149"/>
      <c r="E295" s="87" t="str">
        <f t="shared" si="1"/>
        <v/>
      </c>
      <c r="F295" s="83" t="str">
        <f t="shared" si="2"/>
        <v/>
      </c>
      <c r="G295" s="85"/>
      <c r="H295" s="85" t="str">
        <f t="array" ref="H295">IF(G295="","",IFERROR(INDEX('Material Master'!$B$2:$B$201,IFERROR(MATCH(G295,'Material Master'!$F$2:$F$201,0),MATCH(G295,'Material Master'!$A$2:$A$201,0))),""))</f>
        <v/>
      </c>
      <c r="I295" s="85" t="str">
        <f t="array" ref="I295">IF(G295="","",IFERROR(INDEX('Material Master'!$C$2:$C$201,IFERROR(MATCH(G295,'Material Master'!$F$2:$F$201,0),MATCH(G295,'Material Master'!$A$2:$A$201,0))),""))</f>
        <v/>
      </c>
      <c r="J295" s="86" t="str">
        <f>IF(E295="","",SUMIFS('Stock Movement'!$F$2:$F$501,'Stock Movement'!$D$2:$D$501,E295,'Stock Movement'!$E$2:$E$501,"IN")-SUMIFS('Stock Movement'!$F$2:$F$501,'Stock Movement'!$D$2:$D$501,E295,'Stock Movement'!$E$2:$E$501,"OUT"))</f>
        <v/>
      </c>
      <c r="K295" s="87" t="str">
        <f t="array" ref="K295">IF(G295="","",IFERROR(INDEX('Material Master'!$D$2:$D$201,IFERROR(MATCH(G295,'Material Master'!$F$2:$F$201,0),MATCH(G295,'Material Master'!$A$2:$A$201,0))),""))</f>
        <v/>
      </c>
      <c r="L295" s="85"/>
      <c r="M295" s="85"/>
    </row>
    <row r="296" ht="15.75" customHeight="1">
      <c r="A296" s="150"/>
      <c r="B296" s="151"/>
      <c r="C296" s="150"/>
      <c r="D296" s="152"/>
      <c r="E296" s="77" t="str">
        <f t="shared" si="1"/>
        <v/>
      </c>
      <c r="F296" s="91" t="str">
        <f t="shared" si="2"/>
        <v/>
      </c>
      <c r="G296" s="69"/>
      <c r="H296" s="69" t="str">
        <f t="array" ref="H296">IF(G296="","",IFERROR(INDEX('Material Master'!$B$2:$B$201,IFERROR(MATCH(G296,'Material Master'!$F$2:$F$201,0),MATCH(G296,'Material Master'!$A$2:$A$201,0))),""))</f>
        <v/>
      </c>
      <c r="I296" s="69" t="str">
        <f t="array" ref="I296">IF(G296="","",IFERROR(INDEX('Material Master'!$C$2:$C$201,IFERROR(MATCH(G296,'Material Master'!$F$2:$F$201,0),MATCH(G296,'Material Master'!$A$2:$A$201,0))),""))</f>
        <v/>
      </c>
      <c r="J296" s="75" t="str">
        <f>IF(E296="","",SUMIFS('Stock Movement'!$F$2:$F$501,'Stock Movement'!$D$2:$D$501,E296,'Stock Movement'!$E$2:$E$501,"IN")-SUMIFS('Stock Movement'!$F$2:$F$501,'Stock Movement'!$D$2:$D$501,E296,'Stock Movement'!$E$2:$E$501,"OUT"))</f>
        <v/>
      </c>
      <c r="K296" s="77" t="str">
        <f t="array" ref="K296">IF(G296="","",IFERROR(INDEX('Material Master'!$D$2:$D$201,IFERROR(MATCH(G296,'Material Master'!$F$2:$F$201,0),MATCH(G296,'Material Master'!$A$2:$A$201,0))),""))</f>
        <v/>
      </c>
      <c r="L296" s="69"/>
      <c r="M296" s="69"/>
    </row>
    <row r="297" ht="15.75" customHeight="1">
      <c r="A297" s="147"/>
      <c r="B297" s="148"/>
      <c r="C297" s="147"/>
      <c r="D297" s="149"/>
      <c r="E297" s="87" t="str">
        <f t="shared" si="1"/>
        <v/>
      </c>
      <c r="F297" s="83" t="str">
        <f t="shared" si="2"/>
        <v/>
      </c>
      <c r="G297" s="85"/>
      <c r="H297" s="85" t="str">
        <f t="array" ref="H297">IF(G297="","",IFERROR(INDEX('Material Master'!$B$2:$B$201,IFERROR(MATCH(G297,'Material Master'!$F$2:$F$201,0),MATCH(G297,'Material Master'!$A$2:$A$201,0))),""))</f>
        <v/>
      </c>
      <c r="I297" s="85" t="str">
        <f t="array" ref="I297">IF(G297="","",IFERROR(INDEX('Material Master'!$C$2:$C$201,IFERROR(MATCH(G297,'Material Master'!$F$2:$F$201,0),MATCH(G297,'Material Master'!$A$2:$A$201,0))),""))</f>
        <v/>
      </c>
      <c r="J297" s="86" t="str">
        <f>IF(E297="","",SUMIFS('Stock Movement'!$F$2:$F$501,'Stock Movement'!$D$2:$D$501,E297,'Stock Movement'!$E$2:$E$501,"IN")-SUMIFS('Stock Movement'!$F$2:$F$501,'Stock Movement'!$D$2:$D$501,E297,'Stock Movement'!$E$2:$E$501,"OUT"))</f>
        <v/>
      </c>
      <c r="K297" s="87" t="str">
        <f t="array" ref="K297">IF(G297="","",IFERROR(INDEX('Material Master'!$D$2:$D$201,IFERROR(MATCH(G297,'Material Master'!$F$2:$F$201,0),MATCH(G297,'Material Master'!$A$2:$A$201,0))),""))</f>
        <v/>
      </c>
      <c r="L297" s="85"/>
      <c r="M297" s="85"/>
    </row>
    <row r="298" ht="15.75" customHeight="1">
      <c r="A298" s="150"/>
      <c r="B298" s="151"/>
      <c r="C298" s="150"/>
      <c r="D298" s="152"/>
      <c r="E298" s="77" t="str">
        <f t="shared" si="1"/>
        <v/>
      </c>
      <c r="F298" s="91" t="str">
        <f t="shared" si="2"/>
        <v/>
      </c>
      <c r="G298" s="69"/>
      <c r="H298" s="69" t="str">
        <f t="array" ref="H298">IF(G298="","",IFERROR(INDEX('Material Master'!$B$2:$B$201,IFERROR(MATCH(G298,'Material Master'!$F$2:$F$201,0),MATCH(G298,'Material Master'!$A$2:$A$201,0))),""))</f>
        <v/>
      </c>
      <c r="I298" s="69" t="str">
        <f t="array" ref="I298">IF(G298="","",IFERROR(INDEX('Material Master'!$C$2:$C$201,IFERROR(MATCH(G298,'Material Master'!$F$2:$F$201,0),MATCH(G298,'Material Master'!$A$2:$A$201,0))),""))</f>
        <v/>
      </c>
      <c r="J298" s="75" t="str">
        <f>IF(E298="","",SUMIFS('Stock Movement'!$F$2:$F$501,'Stock Movement'!$D$2:$D$501,E298,'Stock Movement'!$E$2:$E$501,"IN")-SUMIFS('Stock Movement'!$F$2:$F$501,'Stock Movement'!$D$2:$D$501,E298,'Stock Movement'!$E$2:$E$501,"OUT"))</f>
        <v/>
      </c>
      <c r="K298" s="77" t="str">
        <f t="array" ref="K298">IF(G298="","",IFERROR(INDEX('Material Master'!$D$2:$D$201,IFERROR(MATCH(G298,'Material Master'!$F$2:$F$201,0),MATCH(G298,'Material Master'!$A$2:$A$201,0))),""))</f>
        <v/>
      </c>
      <c r="L298" s="69"/>
      <c r="M298" s="69"/>
    </row>
    <row r="299" ht="15.75" customHeight="1">
      <c r="A299" s="147"/>
      <c r="B299" s="148"/>
      <c r="C299" s="147"/>
      <c r="D299" s="149"/>
      <c r="E299" s="87" t="str">
        <f t="shared" si="1"/>
        <v/>
      </c>
      <c r="F299" s="83" t="str">
        <f t="shared" si="2"/>
        <v/>
      </c>
      <c r="G299" s="85"/>
      <c r="H299" s="85" t="str">
        <f t="array" ref="H299">IF(G299="","",IFERROR(INDEX('Material Master'!$B$2:$B$201,IFERROR(MATCH(G299,'Material Master'!$F$2:$F$201,0),MATCH(G299,'Material Master'!$A$2:$A$201,0))),""))</f>
        <v/>
      </c>
      <c r="I299" s="85" t="str">
        <f t="array" ref="I299">IF(G299="","",IFERROR(INDEX('Material Master'!$C$2:$C$201,IFERROR(MATCH(G299,'Material Master'!$F$2:$F$201,0),MATCH(G299,'Material Master'!$A$2:$A$201,0))),""))</f>
        <v/>
      </c>
      <c r="J299" s="86" t="str">
        <f>IF(E299="","",SUMIFS('Stock Movement'!$F$2:$F$501,'Stock Movement'!$D$2:$D$501,E299,'Stock Movement'!$E$2:$E$501,"IN")-SUMIFS('Stock Movement'!$F$2:$F$501,'Stock Movement'!$D$2:$D$501,E299,'Stock Movement'!$E$2:$E$501,"OUT"))</f>
        <v/>
      </c>
      <c r="K299" s="87" t="str">
        <f t="array" ref="K299">IF(G299="","",IFERROR(INDEX('Material Master'!$D$2:$D$201,IFERROR(MATCH(G299,'Material Master'!$F$2:$F$201,0),MATCH(G299,'Material Master'!$A$2:$A$201,0))),""))</f>
        <v/>
      </c>
      <c r="L299" s="85"/>
      <c r="M299" s="85"/>
    </row>
    <row r="300" ht="15.75" customHeight="1">
      <c r="A300" s="150"/>
      <c r="B300" s="151"/>
      <c r="C300" s="150"/>
      <c r="D300" s="152"/>
      <c r="E300" s="77" t="str">
        <f t="shared" si="1"/>
        <v/>
      </c>
      <c r="F300" s="91" t="str">
        <f t="shared" si="2"/>
        <v/>
      </c>
      <c r="G300" s="69"/>
      <c r="H300" s="69" t="str">
        <f t="array" ref="H300">IF(G300="","",IFERROR(INDEX('Material Master'!$B$2:$B$201,IFERROR(MATCH(G300,'Material Master'!$F$2:$F$201,0),MATCH(G300,'Material Master'!$A$2:$A$201,0))),""))</f>
        <v/>
      </c>
      <c r="I300" s="69" t="str">
        <f t="array" ref="I300">IF(G300="","",IFERROR(INDEX('Material Master'!$C$2:$C$201,IFERROR(MATCH(G300,'Material Master'!$F$2:$F$201,0),MATCH(G300,'Material Master'!$A$2:$A$201,0))),""))</f>
        <v/>
      </c>
      <c r="J300" s="75" t="str">
        <f>IF(E300="","",SUMIFS('Stock Movement'!$F$2:$F$501,'Stock Movement'!$D$2:$D$501,E300,'Stock Movement'!$E$2:$E$501,"IN")-SUMIFS('Stock Movement'!$F$2:$F$501,'Stock Movement'!$D$2:$D$501,E300,'Stock Movement'!$E$2:$E$501,"OUT"))</f>
        <v/>
      </c>
      <c r="K300" s="77" t="str">
        <f t="array" ref="K300">IF(G300="","",IFERROR(INDEX('Material Master'!$D$2:$D$201,IFERROR(MATCH(G300,'Material Master'!$F$2:$F$201,0),MATCH(G300,'Material Master'!$A$2:$A$201,0))),""))</f>
        <v/>
      </c>
      <c r="L300" s="69"/>
      <c r="M300" s="69"/>
    </row>
    <row r="301" ht="15.75" customHeight="1">
      <c r="A301" s="147"/>
      <c r="B301" s="148"/>
      <c r="C301" s="147"/>
      <c r="D301" s="149"/>
      <c r="E301" s="87" t="str">
        <f t="shared" si="1"/>
        <v/>
      </c>
      <c r="F301" s="83" t="str">
        <f t="shared" si="2"/>
        <v/>
      </c>
      <c r="G301" s="85"/>
      <c r="H301" s="85" t="str">
        <f t="array" ref="H301">IF(G301="","",IFERROR(INDEX('Material Master'!$B$2:$B$201,IFERROR(MATCH(G301,'Material Master'!$F$2:$F$201,0),MATCH(G301,'Material Master'!$A$2:$A$201,0))),""))</f>
        <v/>
      </c>
      <c r="I301" s="85" t="str">
        <f t="array" ref="I301">IF(G301="","",IFERROR(INDEX('Material Master'!$C$2:$C$201,IFERROR(MATCH(G301,'Material Master'!$F$2:$F$201,0),MATCH(G301,'Material Master'!$A$2:$A$201,0))),""))</f>
        <v/>
      </c>
      <c r="J301" s="86" t="str">
        <f>IF(E301="","",SUMIFS('Stock Movement'!$F$2:$F$501,'Stock Movement'!$D$2:$D$501,E301,'Stock Movement'!$E$2:$E$501,"IN")-SUMIFS('Stock Movement'!$F$2:$F$501,'Stock Movement'!$D$2:$D$501,E301,'Stock Movement'!$E$2:$E$501,"OUT"))</f>
        <v/>
      </c>
      <c r="K301" s="87" t="str">
        <f t="array" ref="K301">IF(G301="","",IFERROR(INDEX('Material Master'!$D$2:$D$201,IFERROR(MATCH(G301,'Material Master'!$F$2:$F$201,0),MATCH(G301,'Material Master'!$A$2:$A$201,0))),""))</f>
        <v/>
      </c>
      <c r="L301" s="85"/>
      <c r="M301" s="85"/>
    </row>
    <row r="302" ht="15.75" customHeight="1">
      <c r="A302" s="150"/>
      <c r="B302" s="151"/>
      <c r="C302" s="150"/>
      <c r="D302" s="152"/>
      <c r="E302" s="77" t="str">
        <f t="shared" si="1"/>
        <v/>
      </c>
      <c r="F302" s="91" t="str">
        <f t="shared" si="2"/>
        <v/>
      </c>
      <c r="G302" s="69"/>
      <c r="H302" s="69" t="str">
        <f t="array" ref="H302">IF(G302="","",IFERROR(INDEX('Material Master'!$B$2:$B$201,IFERROR(MATCH(G302,'Material Master'!$F$2:$F$201,0),MATCH(G302,'Material Master'!$A$2:$A$201,0))),""))</f>
        <v/>
      </c>
      <c r="I302" s="69" t="str">
        <f t="array" ref="I302">IF(G302="","",IFERROR(INDEX('Material Master'!$C$2:$C$201,IFERROR(MATCH(G302,'Material Master'!$F$2:$F$201,0),MATCH(G302,'Material Master'!$A$2:$A$201,0))),""))</f>
        <v/>
      </c>
      <c r="J302" s="75" t="str">
        <f>IF(E302="","",SUMIFS('Stock Movement'!$F$2:$F$501,'Stock Movement'!$D$2:$D$501,E302,'Stock Movement'!$E$2:$E$501,"IN")-SUMIFS('Stock Movement'!$F$2:$F$501,'Stock Movement'!$D$2:$D$501,E302,'Stock Movement'!$E$2:$E$501,"OUT"))</f>
        <v/>
      </c>
      <c r="K302" s="77" t="str">
        <f t="array" ref="K302">IF(G302="","",IFERROR(INDEX('Material Master'!$D$2:$D$201,IFERROR(MATCH(G302,'Material Master'!$F$2:$F$201,0),MATCH(G302,'Material Master'!$A$2:$A$201,0))),""))</f>
        <v/>
      </c>
      <c r="L302" s="69"/>
      <c r="M302" s="69"/>
    </row>
    <row r="303" ht="15.75" customHeight="1">
      <c r="A303" s="147"/>
      <c r="B303" s="148"/>
      <c r="C303" s="147"/>
      <c r="D303" s="149"/>
      <c r="E303" s="87" t="str">
        <f t="shared" si="1"/>
        <v/>
      </c>
      <c r="F303" s="83" t="str">
        <f t="shared" si="2"/>
        <v/>
      </c>
      <c r="G303" s="85"/>
      <c r="H303" s="85" t="str">
        <f t="array" ref="H303">IF(G303="","",IFERROR(INDEX('Material Master'!$B$2:$B$201,IFERROR(MATCH(G303,'Material Master'!$F$2:$F$201,0),MATCH(G303,'Material Master'!$A$2:$A$201,0))),""))</f>
        <v/>
      </c>
      <c r="I303" s="85" t="str">
        <f t="array" ref="I303">IF(G303="","",IFERROR(INDEX('Material Master'!$C$2:$C$201,IFERROR(MATCH(G303,'Material Master'!$F$2:$F$201,0),MATCH(G303,'Material Master'!$A$2:$A$201,0))),""))</f>
        <v/>
      </c>
      <c r="J303" s="86" t="str">
        <f>IF(E303="","",SUMIFS('Stock Movement'!$F$2:$F$501,'Stock Movement'!$D$2:$D$501,E303,'Stock Movement'!$E$2:$E$501,"IN")-SUMIFS('Stock Movement'!$F$2:$F$501,'Stock Movement'!$D$2:$D$501,E303,'Stock Movement'!$E$2:$E$501,"OUT"))</f>
        <v/>
      </c>
      <c r="K303" s="87" t="str">
        <f t="array" ref="K303">IF(G303="","",IFERROR(INDEX('Material Master'!$D$2:$D$201,IFERROR(MATCH(G303,'Material Master'!$F$2:$F$201,0),MATCH(G303,'Material Master'!$A$2:$A$201,0))),""))</f>
        <v/>
      </c>
      <c r="L303" s="85"/>
      <c r="M303" s="85"/>
    </row>
    <row r="304" ht="15.75" customHeight="1">
      <c r="A304" s="150"/>
      <c r="B304" s="151"/>
      <c r="C304" s="150"/>
      <c r="D304" s="152"/>
      <c r="E304" s="77" t="str">
        <f t="shared" si="1"/>
        <v/>
      </c>
      <c r="F304" s="91" t="str">
        <f t="shared" si="2"/>
        <v/>
      </c>
      <c r="G304" s="69"/>
      <c r="H304" s="69" t="str">
        <f t="array" ref="H304">IF(G304="","",IFERROR(INDEX('Material Master'!$B$2:$B$201,IFERROR(MATCH(G304,'Material Master'!$F$2:$F$201,0),MATCH(G304,'Material Master'!$A$2:$A$201,0))),""))</f>
        <v/>
      </c>
      <c r="I304" s="69" t="str">
        <f t="array" ref="I304">IF(G304="","",IFERROR(INDEX('Material Master'!$C$2:$C$201,IFERROR(MATCH(G304,'Material Master'!$F$2:$F$201,0),MATCH(G304,'Material Master'!$A$2:$A$201,0))),""))</f>
        <v/>
      </c>
      <c r="J304" s="75" t="str">
        <f>IF(E304="","",SUMIFS('Stock Movement'!$F$2:$F$501,'Stock Movement'!$D$2:$D$501,E304,'Stock Movement'!$E$2:$E$501,"IN")-SUMIFS('Stock Movement'!$F$2:$F$501,'Stock Movement'!$D$2:$D$501,E304,'Stock Movement'!$E$2:$E$501,"OUT"))</f>
        <v/>
      </c>
      <c r="K304" s="77" t="str">
        <f t="array" ref="K304">IF(G304="","",IFERROR(INDEX('Material Master'!$D$2:$D$201,IFERROR(MATCH(G304,'Material Master'!$F$2:$F$201,0),MATCH(G304,'Material Master'!$A$2:$A$201,0))),""))</f>
        <v/>
      </c>
      <c r="L304" s="69"/>
      <c r="M304" s="69"/>
    </row>
    <row r="305" ht="15.75" customHeight="1">
      <c r="A305" s="147"/>
      <c r="B305" s="148"/>
      <c r="C305" s="147"/>
      <c r="D305" s="149"/>
      <c r="E305" s="87" t="str">
        <f t="shared" si="1"/>
        <v/>
      </c>
      <c r="F305" s="83" t="str">
        <f t="shared" si="2"/>
        <v/>
      </c>
      <c r="G305" s="85"/>
      <c r="H305" s="85" t="str">
        <f t="array" ref="H305">IF(G305="","",IFERROR(INDEX('Material Master'!$B$2:$B$201,IFERROR(MATCH(G305,'Material Master'!$F$2:$F$201,0),MATCH(G305,'Material Master'!$A$2:$A$201,0))),""))</f>
        <v/>
      </c>
      <c r="I305" s="85" t="str">
        <f t="array" ref="I305">IF(G305="","",IFERROR(INDEX('Material Master'!$C$2:$C$201,IFERROR(MATCH(G305,'Material Master'!$F$2:$F$201,0),MATCH(G305,'Material Master'!$A$2:$A$201,0))),""))</f>
        <v/>
      </c>
      <c r="J305" s="86" t="str">
        <f>IF(E305="","",SUMIFS('Stock Movement'!$F$2:$F$501,'Stock Movement'!$D$2:$D$501,E305,'Stock Movement'!$E$2:$E$501,"IN")-SUMIFS('Stock Movement'!$F$2:$F$501,'Stock Movement'!$D$2:$D$501,E305,'Stock Movement'!$E$2:$E$501,"OUT"))</f>
        <v/>
      </c>
      <c r="K305" s="87" t="str">
        <f t="array" ref="K305">IF(G305="","",IFERROR(INDEX('Material Master'!$D$2:$D$201,IFERROR(MATCH(G305,'Material Master'!$F$2:$F$201,0),MATCH(G305,'Material Master'!$A$2:$A$201,0))),""))</f>
        <v/>
      </c>
      <c r="L305" s="85"/>
      <c r="M305" s="85"/>
    </row>
    <row r="306" ht="15.75" customHeight="1">
      <c r="A306" s="150"/>
      <c r="B306" s="151"/>
      <c r="C306" s="150"/>
      <c r="D306" s="152"/>
      <c r="E306" s="77" t="str">
        <f t="shared" si="1"/>
        <v/>
      </c>
      <c r="F306" s="91" t="str">
        <f t="shared" si="2"/>
        <v/>
      </c>
      <c r="G306" s="69"/>
      <c r="H306" s="69" t="str">
        <f t="array" ref="H306">IF(G306="","",IFERROR(INDEX('Material Master'!$B$2:$B$201,IFERROR(MATCH(G306,'Material Master'!$F$2:$F$201,0),MATCH(G306,'Material Master'!$A$2:$A$201,0))),""))</f>
        <v/>
      </c>
      <c r="I306" s="69" t="str">
        <f t="array" ref="I306">IF(G306="","",IFERROR(INDEX('Material Master'!$C$2:$C$201,IFERROR(MATCH(G306,'Material Master'!$F$2:$F$201,0),MATCH(G306,'Material Master'!$A$2:$A$201,0))),""))</f>
        <v/>
      </c>
      <c r="J306" s="75" t="str">
        <f>IF(E306="","",SUMIFS('Stock Movement'!$F$2:$F$501,'Stock Movement'!$D$2:$D$501,E306,'Stock Movement'!$E$2:$E$501,"IN")-SUMIFS('Stock Movement'!$F$2:$F$501,'Stock Movement'!$D$2:$D$501,E306,'Stock Movement'!$E$2:$E$501,"OUT"))</f>
        <v/>
      </c>
      <c r="K306" s="77" t="str">
        <f t="array" ref="K306">IF(G306="","",IFERROR(INDEX('Material Master'!$D$2:$D$201,IFERROR(MATCH(G306,'Material Master'!$F$2:$F$201,0),MATCH(G306,'Material Master'!$A$2:$A$201,0))),""))</f>
        <v/>
      </c>
      <c r="L306" s="69"/>
      <c r="M306" s="69"/>
    </row>
    <row r="307" ht="15.75" customHeight="1">
      <c r="A307" s="147"/>
      <c r="B307" s="148"/>
      <c r="C307" s="147"/>
      <c r="D307" s="149"/>
      <c r="E307" s="87" t="str">
        <f t="shared" si="1"/>
        <v/>
      </c>
      <c r="F307" s="83" t="str">
        <f t="shared" si="2"/>
        <v/>
      </c>
      <c r="G307" s="85"/>
      <c r="H307" s="85" t="str">
        <f t="array" ref="H307">IF(G307="","",IFERROR(INDEX('Material Master'!$B$2:$B$201,IFERROR(MATCH(G307,'Material Master'!$F$2:$F$201,0),MATCH(G307,'Material Master'!$A$2:$A$201,0))),""))</f>
        <v/>
      </c>
      <c r="I307" s="85" t="str">
        <f t="array" ref="I307">IF(G307="","",IFERROR(INDEX('Material Master'!$C$2:$C$201,IFERROR(MATCH(G307,'Material Master'!$F$2:$F$201,0),MATCH(G307,'Material Master'!$A$2:$A$201,0))),""))</f>
        <v/>
      </c>
      <c r="J307" s="86" t="str">
        <f>IF(E307="","",SUMIFS('Stock Movement'!$F$2:$F$501,'Stock Movement'!$D$2:$D$501,E307,'Stock Movement'!$E$2:$E$501,"IN")-SUMIFS('Stock Movement'!$F$2:$F$501,'Stock Movement'!$D$2:$D$501,E307,'Stock Movement'!$E$2:$E$501,"OUT"))</f>
        <v/>
      </c>
      <c r="K307" s="87" t="str">
        <f t="array" ref="K307">IF(G307="","",IFERROR(INDEX('Material Master'!$D$2:$D$201,IFERROR(MATCH(G307,'Material Master'!$F$2:$F$201,0),MATCH(G307,'Material Master'!$A$2:$A$201,0))),""))</f>
        <v/>
      </c>
      <c r="L307" s="85"/>
      <c r="M307" s="85"/>
    </row>
    <row r="308" ht="15.75" customHeight="1">
      <c r="A308" s="150"/>
      <c r="B308" s="151"/>
      <c r="C308" s="150"/>
      <c r="D308" s="152"/>
      <c r="E308" s="77" t="str">
        <f t="shared" si="1"/>
        <v/>
      </c>
      <c r="F308" s="91" t="str">
        <f t="shared" si="2"/>
        <v/>
      </c>
      <c r="G308" s="69"/>
      <c r="H308" s="69" t="str">
        <f t="array" ref="H308">IF(G308="","",IFERROR(INDEX('Material Master'!$B$2:$B$201,IFERROR(MATCH(G308,'Material Master'!$F$2:$F$201,0),MATCH(G308,'Material Master'!$A$2:$A$201,0))),""))</f>
        <v/>
      </c>
      <c r="I308" s="69" t="str">
        <f t="array" ref="I308">IF(G308="","",IFERROR(INDEX('Material Master'!$C$2:$C$201,IFERROR(MATCH(G308,'Material Master'!$F$2:$F$201,0),MATCH(G308,'Material Master'!$A$2:$A$201,0))),""))</f>
        <v/>
      </c>
      <c r="J308" s="75" t="str">
        <f>IF(E308="","",SUMIFS('Stock Movement'!$F$2:$F$501,'Stock Movement'!$D$2:$D$501,E308,'Stock Movement'!$E$2:$E$501,"IN")-SUMIFS('Stock Movement'!$F$2:$F$501,'Stock Movement'!$D$2:$D$501,E308,'Stock Movement'!$E$2:$E$501,"OUT"))</f>
        <v/>
      </c>
      <c r="K308" s="77" t="str">
        <f t="array" ref="K308">IF(G308="","",IFERROR(INDEX('Material Master'!$D$2:$D$201,IFERROR(MATCH(G308,'Material Master'!$F$2:$F$201,0),MATCH(G308,'Material Master'!$A$2:$A$201,0))),""))</f>
        <v/>
      </c>
      <c r="L308" s="69"/>
      <c r="M308" s="69"/>
    </row>
    <row r="309" ht="15.75" customHeight="1">
      <c r="A309" s="147"/>
      <c r="B309" s="148"/>
      <c r="C309" s="147"/>
      <c r="D309" s="149"/>
      <c r="E309" s="87" t="str">
        <f t="shared" si="1"/>
        <v/>
      </c>
      <c r="F309" s="83" t="str">
        <f t="shared" si="2"/>
        <v/>
      </c>
      <c r="G309" s="85"/>
      <c r="H309" s="85" t="str">
        <f t="array" ref="H309">IF(G309="","",IFERROR(INDEX('Material Master'!$B$2:$B$201,IFERROR(MATCH(G309,'Material Master'!$F$2:$F$201,0),MATCH(G309,'Material Master'!$A$2:$A$201,0))),""))</f>
        <v/>
      </c>
      <c r="I309" s="85" t="str">
        <f t="array" ref="I309">IF(G309="","",IFERROR(INDEX('Material Master'!$C$2:$C$201,IFERROR(MATCH(G309,'Material Master'!$F$2:$F$201,0),MATCH(G309,'Material Master'!$A$2:$A$201,0))),""))</f>
        <v/>
      </c>
      <c r="J309" s="86" t="str">
        <f>IF(E309="","",SUMIFS('Stock Movement'!$F$2:$F$501,'Stock Movement'!$D$2:$D$501,E309,'Stock Movement'!$E$2:$E$501,"IN")-SUMIFS('Stock Movement'!$F$2:$F$501,'Stock Movement'!$D$2:$D$501,E309,'Stock Movement'!$E$2:$E$501,"OUT"))</f>
        <v/>
      </c>
      <c r="K309" s="87" t="str">
        <f t="array" ref="K309">IF(G309="","",IFERROR(INDEX('Material Master'!$D$2:$D$201,IFERROR(MATCH(G309,'Material Master'!$F$2:$F$201,0),MATCH(G309,'Material Master'!$A$2:$A$201,0))),""))</f>
        <v/>
      </c>
      <c r="L309" s="85"/>
      <c r="M309" s="85"/>
    </row>
    <row r="310" ht="15.75" customHeight="1">
      <c r="A310" s="150"/>
      <c r="B310" s="151"/>
      <c r="C310" s="150"/>
      <c r="D310" s="152"/>
      <c r="E310" s="77" t="str">
        <f t="shared" si="1"/>
        <v/>
      </c>
      <c r="F310" s="91" t="str">
        <f t="shared" si="2"/>
        <v/>
      </c>
      <c r="G310" s="69"/>
      <c r="H310" s="69" t="str">
        <f t="array" ref="H310">IF(G310="","",IFERROR(INDEX('Material Master'!$B$2:$B$201,IFERROR(MATCH(G310,'Material Master'!$F$2:$F$201,0),MATCH(G310,'Material Master'!$A$2:$A$201,0))),""))</f>
        <v/>
      </c>
      <c r="I310" s="69" t="str">
        <f t="array" ref="I310">IF(G310="","",IFERROR(INDEX('Material Master'!$C$2:$C$201,IFERROR(MATCH(G310,'Material Master'!$F$2:$F$201,0),MATCH(G310,'Material Master'!$A$2:$A$201,0))),""))</f>
        <v/>
      </c>
      <c r="J310" s="75" t="str">
        <f>IF(E310="","",SUMIFS('Stock Movement'!$F$2:$F$501,'Stock Movement'!$D$2:$D$501,E310,'Stock Movement'!$E$2:$E$501,"IN")-SUMIFS('Stock Movement'!$F$2:$F$501,'Stock Movement'!$D$2:$D$501,E310,'Stock Movement'!$E$2:$E$501,"OUT"))</f>
        <v/>
      </c>
      <c r="K310" s="77" t="str">
        <f t="array" ref="K310">IF(G310="","",IFERROR(INDEX('Material Master'!$D$2:$D$201,IFERROR(MATCH(G310,'Material Master'!$F$2:$F$201,0),MATCH(G310,'Material Master'!$A$2:$A$201,0))),""))</f>
        <v/>
      </c>
      <c r="L310" s="69"/>
      <c r="M310" s="69"/>
    </row>
    <row r="311" ht="15.75" customHeight="1">
      <c r="A311" s="147"/>
      <c r="B311" s="148"/>
      <c r="C311" s="147"/>
      <c r="D311" s="149"/>
      <c r="E311" s="87" t="str">
        <f t="shared" si="1"/>
        <v/>
      </c>
      <c r="F311" s="83" t="str">
        <f t="shared" si="2"/>
        <v/>
      </c>
      <c r="G311" s="85"/>
      <c r="H311" s="85" t="str">
        <f t="array" ref="H311">IF(G311="","",IFERROR(INDEX('Material Master'!$B$2:$B$201,IFERROR(MATCH(G311,'Material Master'!$F$2:$F$201,0),MATCH(G311,'Material Master'!$A$2:$A$201,0))),""))</f>
        <v/>
      </c>
      <c r="I311" s="85" t="str">
        <f t="array" ref="I311">IF(G311="","",IFERROR(INDEX('Material Master'!$C$2:$C$201,IFERROR(MATCH(G311,'Material Master'!$F$2:$F$201,0),MATCH(G311,'Material Master'!$A$2:$A$201,0))),""))</f>
        <v/>
      </c>
      <c r="J311" s="86" t="str">
        <f>IF(E311="","",SUMIFS('Stock Movement'!$F$2:$F$501,'Stock Movement'!$D$2:$D$501,E311,'Stock Movement'!$E$2:$E$501,"IN")-SUMIFS('Stock Movement'!$F$2:$F$501,'Stock Movement'!$D$2:$D$501,E311,'Stock Movement'!$E$2:$E$501,"OUT"))</f>
        <v/>
      </c>
      <c r="K311" s="87" t="str">
        <f t="array" ref="K311">IF(G311="","",IFERROR(INDEX('Material Master'!$D$2:$D$201,IFERROR(MATCH(G311,'Material Master'!$F$2:$F$201,0),MATCH(G311,'Material Master'!$A$2:$A$201,0))),""))</f>
        <v/>
      </c>
      <c r="L311" s="85"/>
      <c r="M311" s="85"/>
    </row>
    <row r="312" ht="15.75" customHeight="1">
      <c r="A312" s="150"/>
      <c r="B312" s="151"/>
      <c r="C312" s="150"/>
      <c r="D312" s="152"/>
      <c r="E312" s="77" t="str">
        <f t="shared" si="1"/>
        <v/>
      </c>
      <c r="F312" s="91" t="str">
        <f t="shared" si="2"/>
        <v/>
      </c>
      <c r="G312" s="69"/>
      <c r="H312" s="69" t="str">
        <f t="array" ref="H312">IF(G312="","",IFERROR(INDEX('Material Master'!$B$2:$B$201,IFERROR(MATCH(G312,'Material Master'!$F$2:$F$201,0),MATCH(G312,'Material Master'!$A$2:$A$201,0))),""))</f>
        <v/>
      </c>
      <c r="I312" s="69" t="str">
        <f t="array" ref="I312">IF(G312="","",IFERROR(INDEX('Material Master'!$C$2:$C$201,IFERROR(MATCH(G312,'Material Master'!$F$2:$F$201,0),MATCH(G312,'Material Master'!$A$2:$A$201,0))),""))</f>
        <v/>
      </c>
      <c r="J312" s="75" t="str">
        <f>IF(E312="","",SUMIFS('Stock Movement'!$F$2:$F$501,'Stock Movement'!$D$2:$D$501,E312,'Stock Movement'!$E$2:$E$501,"IN")-SUMIFS('Stock Movement'!$F$2:$F$501,'Stock Movement'!$D$2:$D$501,E312,'Stock Movement'!$E$2:$E$501,"OUT"))</f>
        <v/>
      </c>
      <c r="K312" s="77" t="str">
        <f t="array" ref="K312">IF(G312="","",IFERROR(INDEX('Material Master'!$D$2:$D$201,IFERROR(MATCH(G312,'Material Master'!$F$2:$F$201,0),MATCH(G312,'Material Master'!$A$2:$A$201,0))),""))</f>
        <v/>
      </c>
      <c r="L312" s="69"/>
      <c r="M312" s="69"/>
    </row>
    <row r="313" ht="15.75" customHeight="1">
      <c r="A313" s="147"/>
      <c r="B313" s="148"/>
      <c r="C313" s="147"/>
      <c r="D313" s="149"/>
      <c r="E313" s="87" t="str">
        <f t="shared" si="1"/>
        <v/>
      </c>
      <c r="F313" s="83" t="str">
        <f t="shared" si="2"/>
        <v/>
      </c>
      <c r="G313" s="85"/>
      <c r="H313" s="85" t="str">
        <f t="array" ref="H313">IF(G313="","",IFERROR(INDEX('Material Master'!$B$2:$B$201,IFERROR(MATCH(G313,'Material Master'!$F$2:$F$201,0),MATCH(G313,'Material Master'!$A$2:$A$201,0))),""))</f>
        <v/>
      </c>
      <c r="I313" s="85" t="str">
        <f t="array" ref="I313">IF(G313="","",IFERROR(INDEX('Material Master'!$C$2:$C$201,IFERROR(MATCH(G313,'Material Master'!$F$2:$F$201,0),MATCH(G313,'Material Master'!$A$2:$A$201,0))),""))</f>
        <v/>
      </c>
      <c r="J313" s="86" t="str">
        <f>IF(E313="","",SUMIFS('Stock Movement'!$F$2:$F$501,'Stock Movement'!$D$2:$D$501,E313,'Stock Movement'!$E$2:$E$501,"IN")-SUMIFS('Stock Movement'!$F$2:$F$501,'Stock Movement'!$D$2:$D$501,E313,'Stock Movement'!$E$2:$E$501,"OUT"))</f>
        <v/>
      </c>
      <c r="K313" s="87" t="str">
        <f t="array" ref="K313">IF(G313="","",IFERROR(INDEX('Material Master'!$D$2:$D$201,IFERROR(MATCH(G313,'Material Master'!$F$2:$F$201,0),MATCH(G313,'Material Master'!$A$2:$A$201,0))),""))</f>
        <v/>
      </c>
      <c r="L313" s="85"/>
      <c r="M313" s="85"/>
    </row>
    <row r="314" ht="15.75" customHeight="1">
      <c r="A314" s="150"/>
      <c r="B314" s="151"/>
      <c r="C314" s="150"/>
      <c r="D314" s="152"/>
      <c r="E314" s="77" t="str">
        <f t="shared" si="1"/>
        <v/>
      </c>
      <c r="F314" s="91" t="str">
        <f t="shared" si="2"/>
        <v/>
      </c>
      <c r="G314" s="69"/>
      <c r="H314" s="69" t="str">
        <f t="array" ref="H314">IF(G314="","",IFERROR(INDEX('Material Master'!$B$2:$B$201,IFERROR(MATCH(G314,'Material Master'!$F$2:$F$201,0),MATCH(G314,'Material Master'!$A$2:$A$201,0))),""))</f>
        <v/>
      </c>
      <c r="I314" s="69" t="str">
        <f t="array" ref="I314">IF(G314="","",IFERROR(INDEX('Material Master'!$C$2:$C$201,IFERROR(MATCH(G314,'Material Master'!$F$2:$F$201,0),MATCH(G314,'Material Master'!$A$2:$A$201,0))),""))</f>
        <v/>
      </c>
      <c r="J314" s="75" t="str">
        <f>IF(E314="","",SUMIFS('Stock Movement'!$F$2:$F$501,'Stock Movement'!$D$2:$D$501,E314,'Stock Movement'!$E$2:$E$501,"IN")-SUMIFS('Stock Movement'!$F$2:$F$501,'Stock Movement'!$D$2:$D$501,E314,'Stock Movement'!$E$2:$E$501,"OUT"))</f>
        <v/>
      </c>
      <c r="K314" s="77" t="str">
        <f t="array" ref="K314">IF(G314="","",IFERROR(INDEX('Material Master'!$D$2:$D$201,IFERROR(MATCH(G314,'Material Master'!$F$2:$F$201,0),MATCH(G314,'Material Master'!$A$2:$A$201,0))),""))</f>
        <v/>
      </c>
      <c r="L314" s="69"/>
      <c r="M314" s="69"/>
    </row>
    <row r="315" ht="15.75" customHeight="1">
      <c r="A315" s="147"/>
      <c r="B315" s="148"/>
      <c r="C315" s="147"/>
      <c r="D315" s="149"/>
      <c r="E315" s="87" t="str">
        <f t="shared" si="1"/>
        <v/>
      </c>
      <c r="F315" s="83" t="str">
        <f t="shared" si="2"/>
        <v/>
      </c>
      <c r="G315" s="85"/>
      <c r="H315" s="85" t="str">
        <f t="array" ref="H315">IF(G315="","",IFERROR(INDEX('Material Master'!$B$2:$B$201,IFERROR(MATCH(G315,'Material Master'!$F$2:$F$201,0),MATCH(G315,'Material Master'!$A$2:$A$201,0))),""))</f>
        <v/>
      </c>
      <c r="I315" s="85" t="str">
        <f t="array" ref="I315">IF(G315="","",IFERROR(INDEX('Material Master'!$C$2:$C$201,IFERROR(MATCH(G315,'Material Master'!$F$2:$F$201,0),MATCH(G315,'Material Master'!$A$2:$A$201,0))),""))</f>
        <v/>
      </c>
      <c r="J315" s="86" t="str">
        <f>IF(E315="","",SUMIFS('Stock Movement'!$F$2:$F$501,'Stock Movement'!$D$2:$D$501,E315,'Stock Movement'!$E$2:$E$501,"IN")-SUMIFS('Stock Movement'!$F$2:$F$501,'Stock Movement'!$D$2:$D$501,E315,'Stock Movement'!$E$2:$E$501,"OUT"))</f>
        <v/>
      </c>
      <c r="K315" s="87" t="str">
        <f t="array" ref="K315">IF(G315="","",IFERROR(INDEX('Material Master'!$D$2:$D$201,IFERROR(MATCH(G315,'Material Master'!$F$2:$F$201,0),MATCH(G315,'Material Master'!$A$2:$A$201,0))),""))</f>
        <v/>
      </c>
      <c r="L315" s="85"/>
      <c r="M315" s="85"/>
    </row>
    <row r="316" ht="15.75" customHeight="1">
      <c r="A316" s="150"/>
      <c r="B316" s="151"/>
      <c r="C316" s="150"/>
      <c r="D316" s="152"/>
      <c r="E316" s="77" t="str">
        <f t="shared" si="1"/>
        <v/>
      </c>
      <c r="F316" s="91" t="str">
        <f t="shared" si="2"/>
        <v/>
      </c>
      <c r="G316" s="69"/>
      <c r="H316" s="69" t="str">
        <f t="array" ref="H316">IF(G316="","",IFERROR(INDEX('Material Master'!$B$2:$B$201,IFERROR(MATCH(G316,'Material Master'!$F$2:$F$201,0),MATCH(G316,'Material Master'!$A$2:$A$201,0))),""))</f>
        <v/>
      </c>
      <c r="I316" s="69" t="str">
        <f t="array" ref="I316">IF(G316="","",IFERROR(INDEX('Material Master'!$C$2:$C$201,IFERROR(MATCH(G316,'Material Master'!$F$2:$F$201,0),MATCH(G316,'Material Master'!$A$2:$A$201,0))),""))</f>
        <v/>
      </c>
      <c r="J316" s="75" t="str">
        <f>IF(E316="","",SUMIFS('Stock Movement'!$F$2:$F$501,'Stock Movement'!$D$2:$D$501,E316,'Stock Movement'!$E$2:$E$501,"IN")-SUMIFS('Stock Movement'!$F$2:$F$501,'Stock Movement'!$D$2:$D$501,E316,'Stock Movement'!$E$2:$E$501,"OUT"))</f>
        <v/>
      </c>
      <c r="K316" s="77" t="str">
        <f t="array" ref="K316">IF(G316="","",IFERROR(INDEX('Material Master'!$D$2:$D$201,IFERROR(MATCH(G316,'Material Master'!$F$2:$F$201,0),MATCH(G316,'Material Master'!$A$2:$A$201,0))),""))</f>
        <v/>
      </c>
      <c r="L316" s="69"/>
      <c r="M316" s="69"/>
    </row>
    <row r="317" ht="15.75" customHeight="1">
      <c r="A317" s="147"/>
      <c r="B317" s="148"/>
      <c r="C317" s="147"/>
      <c r="D317" s="149"/>
      <c r="E317" s="87" t="str">
        <f t="shared" si="1"/>
        <v/>
      </c>
      <c r="F317" s="83" t="str">
        <f t="shared" si="2"/>
        <v/>
      </c>
      <c r="G317" s="85"/>
      <c r="H317" s="85" t="str">
        <f t="array" ref="H317">IF(G317="","",IFERROR(INDEX('Material Master'!$B$2:$B$201,IFERROR(MATCH(G317,'Material Master'!$F$2:$F$201,0),MATCH(G317,'Material Master'!$A$2:$A$201,0))),""))</f>
        <v/>
      </c>
      <c r="I317" s="85" t="str">
        <f t="array" ref="I317">IF(G317="","",IFERROR(INDEX('Material Master'!$C$2:$C$201,IFERROR(MATCH(G317,'Material Master'!$F$2:$F$201,0),MATCH(G317,'Material Master'!$A$2:$A$201,0))),""))</f>
        <v/>
      </c>
      <c r="J317" s="86" t="str">
        <f>IF(E317="","",SUMIFS('Stock Movement'!$F$2:$F$501,'Stock Movement'!$D$2:$D$501,E317,'Stock Movement'!$E$2:$E$501,"IN")-SUMIFS('Stock Movement'!$F$2:$F$501,'Stock Movement'!$D$2:$D$501,E317,'Stock Movement'!$E$2:$E$501,"OUT"))</f>
        <v/>
      </c>
      <c r="K317" s="87" t="str">
        <f t="array" ref="K317">IF(G317="","",IFERROR(INDEX('Material Master'!$D$2:$D$201,IFERROR(MATCH(G317,'Material Master'!$F$2:$F$201,0),MATCH(G317,'Material Master'!$A$2:$A$201,0))),""))</f>
        <v/>
      </c>
      <c r="L317" s="85"/>
      <c r="M317" s="85"/>
    </row>
    <row r="318" ht="15.75" customHeight="1">
      <c r="A318" s="150"/>
      <c r="B318" s="151"/>
      <c r="C318" s="150"/>
      <c r="D318" s="152"/>
      <c r="E318" s="77" t="str">
        <f t="shared" si="1"/>
        <v/>
      </c>
      <c r="F318" s="91" t="str">
        <f t="shared" si="2"/>
        <v/>
      </c>
      <c r="G318" s="69"/>
      <c r="H318" s="69" t="str">
        <f t="array" ref="H318">IF(G318="","",IFERROR(INDEX('Material Master'!$B$2:$B$201,IFERROR(MATCH(G318,'Material Master'!$F$2:$F$201,0),MATCH(G318,'Material Master'!$A$2:$A$201,0))),""))</f>
        <v/>
      </c>
      <c r="I318" s="69" t="str">
        <f t="array" ref="I318">IF(G318="","",IFERROR(INDEX('Material Master'!$C$2:$C$201,IFERROR(MATCH(G318,'Material Master'!$F$2:$F$201,0),MATCH(G318,'Material Master'!$A$2:$A$201,0))),""))</f>
        <v/>
      </c>
      <c r="J318" s="75" t="str">
        <f>IF(E318="","",SUMIFS('Stock Movement'!$F$2:$F$501,'Stock Movement'!$D$2:$D$501,E318,'Stock Movement'!$E$2:$E$501,"IN")-SUMIFS('Stock Movement'!$F$2:$F$501,'Stock Movement'!$D$2:$D$501,E318,'Stock Movement'!$E$2:$E$501,"OUT"))</f>
        <v/>
      </c>
      <c r="K318" s="77" t="str">
        <f t="array" ref="K318">IF(G318="","",IFERROR(INDEX('Material Master'!$D$2:$D$201,IFERROR(MATCH(G318,'Material Master'!$F$2:$F$201,0),MATCH(G318,'Material Master'!$A$2:$A$201,0))),""))</f>
        <v/>
      </c>
      <c r="L318" s="69"/>
      <c r="M318" s="69"/>
    </row>
    <row r="319" ht="15.75" customHeight="1">
      <c r="A319" s="147"/>
      <c r="B319" s="148"/>
      <c r="C319" s="147"/>
      <c r="D319" s="149"/>
      <c r="E319" s="87" t="str">
        <f t="shared" si="1"/>
        <v/>
      </c>
      <c r="F319" s="83" t="str">
        <f t="shared" si="2"/>
        <v/>
      </c>
      <c r="G319" s="85"/>
      <c r="H319" s="85" t="str">
        <f t="array" ref="H319">IF(G319="","",IFERROR(INDEX('Material Master'!$B$2:$B$201,IFERROR(MATCH(G319,'Material Master'!$F$2:$F$201,0),MATCH(G319,'Material Master'!$A$2:$A$201,0))),""))</f>
        <v/>
      </c>
      <c r="I319" s="85" t="str">
        <f t="array" ref="I319">IF(G319="","",IFERROR(INDEX('Material Master'!$C$2:$C$201,IFERROR(MATCH(G319,'Material Master'!$F$2:$F$201,0),MATCH(G319,'Material Master'!$A$2:$A$201,0))),""))</f>
        <v/>
      </c>
      <c r="J319" s="86" t="str">
        <f>IF(E319="","",SUMIFS('Stock Movement'!$F$2:$F$501,'Stock Movement'!$D$2:$D$501,E319,'Stock Movement'!$E$2:$E$501,"IN")-SUMIFS('Stock Movement'!$F$2:$F$501,'Stock Movement'!$D$2:$D$501,E319,'Stock Movement'!$E$2:$E$501,"OUT"))</f>
        <v/>
      </c>
      <c r="K319" s="87" t="str">
        <f t="array" ref="K319">IF(G319="","",IFERROR(INDEX('Material Master'!$D$2:$D$201,IFERROR(MATCH(G319,'Material Master'!$F$2:$F$201,0),MATCH(G319,'Material Master'!$A$2:$A$201,0))),""))</f>
        <v/>
      </c>
      <c r="L319" s="85"/>
      <c r="M319" s="85"/>
    </row>
    <row r="320" ht="15.75" customHeight="1">
      <c r="A320" s="150"/>
      <c r="B320" s="151"/>
      <c r="C320" s="150"/>
      <c r="D320" s="152"/>
      <c r="E320" s="77" t="str">
        <f t="shared" si="1"/>
        <v/>
      </c>
      <c r="F320" s="91" t="str">
        <f t="shared" si="2"/>
        <v/>
      </c>
      <c r="G320" s="69"/>
      <c r="H320" s="69" t="str">
        <f t="array" ref="H320">IF(G320="","",IFERROR(INDEX('Material Master'!$B$2:$B$201,IFERROR(MATCH(G320,'Material Master'!$F$2:$F$201,0),MATCH(G320,'Material Master'!$A$2:$A$201,0))),""))</f>
        <v/>
      </c>
      <c r="I320" s="69" t="str">
        <f t="array" ref="I320">IF(G320="","",IFERROR(INDEX('Material Master'!$C$2:$C$201,IFERROR(MATCH(G320,'Material Master'!$F$2:$F$201,0),MATCH(G320,'Material Master'!$A$2:$A$201,0))),""))</f>
        <v/>
      </c>
      <c r="J320" s="75" t="str">
        <f>IF(E320="","",SUMIFS('Stock Movement'!$F$2:$F$501,'Stock Movement'!$D$2:$D$501,E320,'Stock Movement'!$E$2:$E$501,"IN")-SUMIFS('Stock Movement'!$F$2:$F$501,'Stock Movement'!$D$2:$D$501,E320,'Stock Movement'!$E$2:$E$501,"OUT"))</f>
        <v/>
      </c>
      <c r="K320" s="77" t="str">
        <f t="array" ref="K320">IF(G320="","",IFERROR(INDEX('Material Master'!$D$2:$D$201,IFERROR(MATCH(G320,'Material Master'!$F$2:$F$201,0),MATCH(G320,'Material Master'!$A$2:$A$201,0))),""))</f>
        <v/>
      </c>
      <c r="L320" s="69"/>
      <c r="M320" s="69"/>
    </row>
    <row r="321" ht="15.75" customHeight="1">
      <c r="A321" s="147"/>
      <c r="B321" s="148"/>
      <c r="C321" s="147"/>
      <c r="D321" s="149"/>
      <c r="E321" s="87" t="str">
        <f t="shared" si="1"/>
        <v/>
      </c>
      <c r="F321" s="83" t="str">
        <f t="shared" si="2"/>
        <v/>
      </c>
      <c r="G321" s="85"/>
      <c r="H321" s="85" t="str">
        <f t="array" ref="H321">IF(G321="","",IFERROR(INDEX('Material Master'!$B$2:$B$201,IFERROR(MATCH(G321,'Material Master'!$F$2:$F$201,0),MATCH(G321,'Material Master'!$A$2:$A$201,0))),""))</f>
        <v/>
      </c>
      <c r="I321" s="85" t="str">
        <f t="array" ref="I321">IF(G321="","",IFERROR(INDEX('Material Master'!$C$2:$C$201,IFERROR(MATCH(G321,'Material Master'!$F$2:$F$201,0),MATCH(G321,'Material Master'!$A$2:$A$201,0))),""))</f>
        <v/>
      </c>
      <c r="J321" s="86" t="str">
        <f>IF(E321="","",SUMIFS('Stock Movement'!$F$2:$F$501,'Stock Movement'!$D$2:$D$501,E321,'Stock Movement'!$E$2:$E$501,"IN")-SUMIFS('Stock Movement'!$F$2:$F$501,'Stock Movement'!$D$2:$D$501,E321,'Stock Movement'!$E$2:$E$501,"OUT"))</f>
        <v/>
      </c>
      <c r="K321" s="87" t="str">
        <f t="array" ref="K321">IF(G321="","",IFERROR(INDEX('Material Master'!$D$2:$D$201,IFERROR(MATCH(G321,'Material Master'!$F$2:$F$201,0),MATCH(G321,'Material Master'!$A$2:$A$201,0))),""))</f>
        <v/>
      </c>
      <c r="L321" s="85"/>
      <c r="M321" s="85"/>
    </row>
    <row r="322" ht="15.75" customHeight="1">
      <c r="A322" s="150"/>
      <c r="B322" s="151"/>
      <c r="C322" s="150"/>
      <c r="D322" s="152"/>
      <c r="E322" s="77" t="str">
        <f t="shared" si="1"/>
        <v/>
      </c>
      <c r="F322" s="91" t="str">
        <f t="shared" si="2"/>
        <v/>
      </c>
      <c r="G322" s="69"/>
      <c r="H322" s="69" t="str">
        <f t="array" ref="H322">IF(G322="","",IFERROR(INDEX('Material Master'!$B$2:$B$201,IFERROR(MATCH(G322,'Material Master'!$F$2:$F$201,0),MATCH(G322,'Material Master'!$A$2:$A$201,0))),""))</f>
        <v/>
      </c>
      <c r="I322" s="69" t="str">
        <f t="array" ref="I322">IF(G322="","",IFERROR(INDEX('Material Master'!$C$2:$C$201,IFERROR(MATCH(G322,'Material Master'!$F$2:$F$201,0),MATCH(G322,'Material Master'!$A$2:$A$201,0))),""))</f>
        <v/>
      </c>
      <c r="J322" s="75" t="str">
        <f>IF(E322="","",SUMIFS('Stock Movement'!$F$2:$F$501,'Stock Movement'!$D$2:$D$501,E322,'Stock Movement'!$E$2:$E$501,"IN")-SUMIFS('Stock Movement'!$F$2:$F$501,'Stock Movement'!$D$2:$D$501,E322,'Stock Movement'!$E$2:$E$501,"OUT"))</f>
        <v/>
      </c>
      <c r="K322" s="77" t="str">
        <f t="array" ref="K322">IF(G322="","",IFERROR(INDEX('Material Master'!$D$2:$D$201,IFERROR(MATCH(G322,'Material Master'!$F$2:$F$201,0),MATCH(G322,'Material Master'!$A$2:$A$201,0))),""))</f>
        <v/>
      </c>
      <c r="L322" s="69"/>
      <c r="M322" s="69"/>
    </row>
    <row r="323" ht="15.75" customHeight="1">
      <c r="A323" s="147"/>
      <c r="B323" s="148"/>
      <c r="C323" s="147"/>
      <c r="D323" s="149"/>
      <c r="E323" s="87" t="str">
        <f t="shared" si="1"/>
        <v/>
      </c>
      <c r="F323" s="83" t="str">
        <f t="shared" si="2"/>
        <v/>
      </c>
      <c r="G323" s="85"/>
      <c r="H323" s="85" t="str">
        <f t="array" ref="H323">IF(G323="","",IFERROR(INDEX('Material Master'!$B$2:$B$201,IFERROR(MATCH(G323,'Material Master'!$F$2:$F$201,0),MATCH(G323,'Material Master'!$A$2:$A$201,0))),""))</f>
        <v/>
      </c>
      <c r="I323" s="85" t="str">
        <f t="array" ref="I323">IF(G323="","",IFERROR(INDEX('Material Master'!$C$2:$C$201,IFERROR(MATCH(G323,'Material Master'!$F$2:$F$201,0),MATCH(G323,'Material Master'!$A$2:$A$201,0))),""))</f>
        <v/>
      </c>
      <c r="J323" s="86" t="str">
        <f>IF(E323="","",SUMIFS('Stock Movement'!$F$2:$F$501,'Stock Movement'!$D$2:$D$501,E323,'Stock Movement'!$E$2:$E$501,"IN")-SUMIFS('Stock Movement'!$F$2:$F$501,'Stock Movement'!$D$2:$D$501,E323,'Stock Movement'!$E$2:$E$501,"OUT"))</f>
        <v/>
      </c>
      <c r="K323" s="87" t="str">
        <f t="array" ref="K323">IF(G323="","",IFERROR(INDEX('Material Master'!$D$2:$D$201,IFERROR(MATCH(G323,'Material Master'!$F$2:$F$201,0),MATCH(G323,'Material Master'!$A$2:$A$201,0))),""))</f>
        <v/>
      </c>
      <c r="L323" s="85"/>
      <c r="M323" s="85"/>
    </row>
    <row r="324" ht="15.75" customHeight="1">
      <c r="A324" s="150"/>
      <c r="B324" s="151"/>
      <c r="C324" s="150"/>
      <c r="D324" s="152"/>
      <c r="E324" s="77" t="str">
        <f t="shared" si="1"/>
        <v/>
      </c>
      <c r="F324" s="91" t="str">
        <f t="shared" si="2"/>
        <v/>
      </c>
      <c r="G324" s="69"/>
      <c r="H324" s="69" t="str">
        <f t="array" ref="H324">IF(G324="","",IFERROR(INDEX('Material Master'!$B$2:$B$201,IFERROR(MATCH(G324,'Material Master'!$F$2:$F$201,0),MATCH(G324,'Material Master'!$A$2:$A$201,0))),""))</f>
        <v/>
      </c>
      <c r="I324" s="69" t="str">
        <f t="array" ref="I324">IF(G324="","",IFERROR(INDEX('Material Master'!$C$2:$C$201,IFERROR(MATCH(G324,'Material Master'!$F$2:$F$201,0),MATCH(G324,'Material Master'!$A$2:$A$201,0))),""))</f>
        <v/>
      </c>
      <c r="J324" s="75" t="str">
        <f>IF(E324="","",SUMIFS('Stock Movement'!$F$2:$F$501,'Stock Movement'!$D$2:$D$501,E324,'Stock Movement'!$E$2:$E$501,"IN")-SUMIFS('Stock Movement'!$F$2:$F$501,'Stock Movement'!$D$2:$D$501,E324,'Stock Movement'!$E$2:$E$501,"OUT"))</f>
        <v/>
      </c>
      <c r="K324" s="77" t="str">
        <f t="array" ref="K324">IF(G324="","",IFERROR(INDEX('Material Master'!$D$2:$D$201,IFERROR(MATCH(G324,'Material Master'!$F$2:$F$201,0),MATCH(G324,'Material Master'!$A$2:$A$201,0))),""))</f>
        <v/>
      </c>
      <c r="L324" s="69"/>
      <c r="M324" s="69"/>
    </row>
    <row r="325" ht="15.75" customHeight="1">
      <c r="A325" s="147"/>
      <c r="B325" s="148"/>
      <c r="C325" s="147"/>
      <c r="D325" s="149"/>
      <c r="E325" s="87" t="str">
        <f t="shared" si="1"/>
        <v/>
      </c>
      <c r="F325" s="83" t="str">
        <f t="shared" si="2"/>
        <v/>
      </c>
      <c r="G325" s="85"/>
      <c r="H325" s="85" t="str">
        <f t="array" ref="H325">IF(G325="","",IFERROR(INDEX('Material Master'!$B$2:$B$201,IFERROR(MATCH(G325,'Material Master'!$F$2:$F$201,0),MATCH(G325,'Material Master'!$A$2:$A$201,0))),""))</f>
        <v/>
      </c>
      <c r="I325" s="85" t="str">
        <f t="array" ref="I325">IF(G325="","",IFERROR(INDEX('Material Master'!$C$2:$C$201,IFERROR(MATCH(G325,'Material Master'!$F$2:$F$201,0),MATCH(G325,'Material Master'!$A$2:$A$201,0))),""))</f>
        <v/>
      </c>
      <c r="J325" s="86" t="str">
        <f>IF(E325="","",SUMIFS('Stock Movement'!$F$2:$F$501,'Stock Movement'!$D$2:$D$501,E325,'Stock Movement'!$E$2:$E$501,"IN")-SUMIFS('Stock Movement'!$F$2:$F$501,'Stock Movement'!$D$2:$D$501,E325,'Stock Movement'!$E$2:$E$501,"OUT"))</f>
        <v/>
      </c>
      <c r="K325" s="87" t="str">
        <f t="array" ref="K325">IF(G325="","",IFERROR(INDEX('Material Master'!$D$2:$D$201,IFERROR(MATCH(G325,'Material Master'!$F$2:$F$201,0),MATCH(G325,'Material Master'!$A$2:$A$201,0))),""))</f>
        <v/>
      </c>
      <c r="L325" s="85"/>
      <c r="M325" s="85"/>
    </row>
    <row r="326" ht="15.75" customHeight="1">
      <c r="A326" s="150"/>
      <c r="B326" s="151"/>
      <c r="C326" s="150"/>
      <c r="D326" s="152"/>
      <c r="E326" s="77" t="str">
        <f t="shared" si="1"/>
        <v/>
      </c>
      <c r="F326" s="91" t="str">
        <f t="shared" si="2"/>
        <v/>
      </c>
      <c r="G326" s="69"/>
      <c r="H326" s="69" t="str">
        <f t="array" ref="H326">IF(G326="","",IFERROR(INDEX('Material Master'!$B$2:$B$201,IFERROR(MATCH(G326,'Material Master'!$F$2:$F$201,0),MATCH(G326,'Material Master'!$A$2:$A$201,0))),""))</f>
        <v/>
      </c>
      <c r="I326" s="69" t="str">
        <f t="array" ref="I326">IF(G326="","",IFERROR(INDEX('Material Master'!$C$2:$C$201,IFERROR(MATCH(G326,'Material Master'!$F$2:$F$201,0),MATCH(G326,'Material Master'!$A$2:$A$201,0))),""))</f>
        <v/>
      </c>
      <c r="J326" s="75" t="str">
        <f>IF(E326="","",SUMIFS('Stock Movement'!$F$2:$F$501,'Stock Movement'!$D$2:$D$501,E326,'Stock Movement'!$E$2:$E$501,"IN")-SUMIFS('Stock Movement'!$F$2:$F$501,'Stock Movement'!$D$2:$D$501,E326,'Stock Movement'!$E$2:$E$501,"OUT"))</f>
        <v/>
      </c>
      <c r="K326" s="77" t="str">
        <f t="array" ref="K326">IF(G326="","",IFERROR(INDEX('Material Master'!$D$2:$D$201,IFERROR(MATCH(G326,'Material Master'!$F$2:$F$201,0),MATCH(G326,'Material Master'!$A$2:$A$201,0))),""))</f>
        <v/>
      </c>
      <c r="L326" s="69"/>
      <c r="M326" s="69"/>
    </row>
    <row r="327" ht="15.75" customHeight="1">
      <c r="A327" s="147"/>
      <c r="B327" s="148"/>
      <c r="C327" s="147"/>
      <c r="D327" s="149"/>
      <c r="E327" s="87" t="str">
        <f t="shared" si="1"/>
        <v/>
      </c>
      <c r="F327" s="83" t="str">
        <f t="shared" si="2"/>
        <v/>
      </c>
      <c r="G327" s="85"/>
      <c r="H327" s="85" t="str">
        <f t="array" ref="H327">IF(G327="","",IFERROR(INDEX('Material Master'!$B$2:$B$201,IFERROR(MATCH(G327,'Material Master'!$F$2:$F$201,0),MATCH(G327,'Material Master'!$A$2:$A$201,0))),""))</f>
        <v/>
      </c>
      <c r="I327" s="85" t="str">
        <f t="array" ref="I327">IF(G327="","",IFERROR(INDEX('Material Master'!$C$2:$C$201,IFERROR(MATCH(G327,'Material Master'!$F$2:$F$201,0),MATCH(G327,'Material Master'!$A$2:$A$201,0))),""))</f>
        <v/>
      </c>
      <c r="J327" s="86" t="str">
        <f>IF(E327="","",SUMIFS('Stock Movement'!$F$2:$F$501,'Stock Movement'!$D$2:$D$501,E327,'Stock Movement'!$E$2:$E$501,"IN")-SUMIFS('Stock Movement'!$F$2:$F$501,'Stock Movement'!$D$2:$D$501,E327,'Stock Movement'!$E$2:$E$501,"OUT"))</f>
        <v/>
      </c>
      <c r="K327" s="87" t="str">
        <f t="array" ref="K327">IF(G327="","",IFERROR(INDEX('Material Master'!$D$2:$D$201,IFERROR(MATCH(G327,'Material Master'!$F$2:$F$201,0),MATCH(G327,'Material Master'!$A$2:$A$201,0))),""))</f>
        <v/>
      </c>
      <c r="L327" s="85"/>
      <c r="M327" s="85"/>
    </row>
    <row r="328" ht="15.75" customHeight="1">
      <c r="A328" s="150"/>
      <c r="B328" s="151"/>
      <c r="C328" s="150"/>
      <c r="D328" s="152"/>
      <c r="E328" s="77" t="str">
        <f t="shared" si="1"/>
        <v/>
      </c>
      <c r="F328" s="91" t="str">
        <f t="shared" si="2"/>
        <v/>
      </c>
      <c r="G328" s="69"/>
      <c r="H328" s="69" t="str">
        <f t="array" ref="H328">IF(G328="","",IFERROR(INDEX('Material Master'!$B$2:$B$201,IFERROR(MATCH(G328,'Material Master'!$F$2:$F$201,0),MATCH(G328,'Material Master'!$A$2:$A$201,0))),""))</f>
        <v/>
      </c>
      <c r="I328" s="69" t="str">
        <f t="array" ref="I328">IF(G328="","",IFERROR(INDEX('Material Master'!$C$2:$C$201,IFERROR(MATCH(G328,'Material Master'!$F$2:$F$201,0),MATCH(G328,'Material Master'!$A$2:$A$201,0))),""))</f>
        <v/>
      </c>
      <c r="J328" s="75" t="str">
        <f>IF(E328="","",SUMIFS('Stock Movement'!$F$2:$F$501,'Stock Movement'!$D$2:$D$501,E328,'Stock Movement'!$E$2:$E$501,"IN")-SUMIFS('Stock Movement'!$F$2:$F$501,'Stock Movement'!$D$2:$D$501,E328,'Stock Movement'!$E$2:$E$501,"OUT"))</f>
        <v/>
      </c>
      <c r="K328" s="77" t="str">
        <f t="array" ref="K328">IF(G328="","",IFERROR(INDEX('Material Master'!$D$2:$D$201,IFERROR(MATCH(G328,'Material Master'!$F$2:$F$201,0),MATCH(G328,'Material Master'!$A$2:$A$201,0))),""))</f>
        <v/>
      </c>
      <c r="L328" s="69"/>
      <c r="M328" s="69"/>
    </row>
    <row r="329" ht="15.75" customHeight="1">
      <c r="A329" s="147"/>
      <c r="B329" s="148"/>
      <c r="C329" s="147"/>
      <c r="D329" s="149"/>
      <c r="E329" s="87" t="str">
        <f t="shared" si="1"/>
        <v/>
      </c>
      <c r="F329" s="83" t="str">
        <f t="shared" si="2"/>
        <v/>
      </c>
      <c r="G329" s="85"/>
      <c r="H329" s="85" t="str">
        <f t="array" ref="H329">IF(G329="","",IFERROR(INDEX('Material Master'!$B$2:$B$201,IFERROR(MATCH(G329,'Material Master'!$F$2:$F$201,0),MATCH(G329,'Material Master'!$A$2:$A$201,0))),""))</f>
        <v/>
      </c>
      <c r="I329" s="85" t="str">
        <f t="array" ref="I329">IF(G329="","",IFERROR(INDEX('Material Master'!$C$2:$C$201,IFERROR(MATCH(G329,'Material Master'!$F$2:$F$201,0),MATCH(G329,'Material Master'!$A$2:$A$201,0))),""))</f>
        <v/>
      </c>
      <c r="J329" s="86" t="str">
        <f>IF(E329="","",SUMIFS('Stock Movement'!$F$2:$F$501,'Stock Movement'!$D$2:$D$501,E329,'Stock Movement'!$E$2:$E$501,"IN")-SUMIFS('Stock Movement'!$F$2:$F$501,'Stock Movement'!$D$2:$D$501,E329,'Stock Movement'!$E$2:$E$501,"OUT"))</f>
        <v/>
      </c>
      <c r="K329" s="87" t="str">
        <f t="array" ref="K329">IF(G329="","",IFERROR(INDEX('Material Master'!$D$2:$D$201,IFERROR(MATCH(G329,'Material Master'!$F$2:$F$201,0),MATCH(G329,'Material Master'!$A$2:$A$201,0))),""))</f>
        <v/>
      </c>
      <c r="L329" s="85"/>
      <c r="M329" s="85"/>
    </row>
    <row r="330" ht="15.75" customHeight="1">
      <c r="A330" s="150"/>
      <c r="B330" s="151"/>
      <c r="C330" s="150"/>
      <c r="D330" s="152"/>
      <c r="E330" s="77" t="str">
        <f t="shared" si="1"/>
        <v/>
      </c>
      <c r="F330" s="91" t="str">
        <f t="shared" si="2"/>
        <v/>
      </c>
      <c r="G330" s="69"/>
      <c r="H330" s="69" t="str">
        <f t="array" ref="H330">IF(G330="","",IFERROR(INDEX('Material Master'!$B$2:$B$201,IFERROR(MATCH(G330,'Material Master'!$F$2:$F$201,0),MATCH(G330,'Material Master'!$A$2:$A$201,0))),""))</f>
        <v/>
      </c>
      <c r="I330" s="69" t="str">
        <f t="array" ref="I330">IF(G330="","",IFERROR(INDEX('Material Master'!$C$2:$C$201,IFERROR(MATCH(G330,'Material Master'!$F$2:$F$201,0),MATCH(G330,'Material Master'!$A$2:$A$201,0))),""))</f>
        <v/>
      </c>
      <c r="J330" s="75" t="str">
        <f>IF(E330="","",SUMIFS('Stock Movement'!$F$2:$F$501,'Stock Movement'!$D$2:$D$501,E330,'Stock Movement'!$E$2:$E$501,"IN")-SUMIFS('Stock Movement'!$F$2:$F$501,'Stock Movement'!$D$2:$D$501,E330,'Stock Movement'!$E$2:$E$501,"OUT"))</f>
        <v/>
      </c>
      <c r="K330" s="77" t="str">
        <f t="array" ref="K330">IF(G330="","",IFERROR(INDEX('Material Master'!$D$2:$D$201,IFERROR(MATCH(G330,'Material Master'!$F$2:$F$201,0),MATCH(G330,'Material Master'!$A$2:$A$201,0))),""))</f>
        <v/>
      </c>
      <c r="L330" s="69"/>
      <c r="M330" s="69"/>
    </row>
    <row r="331" ht="15.75" customHeight="1">
      <c r="A331" s="147"/>
      <c r="B331" s="148"/>
      <c r="C331" s="147"/>
      <c r="D331" s="149"/>
      <c r="E331" s="87" t="str">
        <f t="shared" si="1"/>
        <v/>
      </c>
      <c r="F331" s="83" t="str">
        <f t="shared" si="2"/>
        <v/>
      </c>
      <c r="G331" s="85"/>
      <c r="H331" s="85" t="str">
        <f t="array" ref="H331">IF(G331="","",IFERROR(INDEX('Material Master'!$B$2:$B$201,IFERROR(MATCH(G331,'Material Master'!$F$2:$F$201,0),MATCH(G331,'Material Master'!$A$2:$A$201,0))),""))</f>
        <v/>
      </c>
      <c r="I331" s="85" t="str">
        <f t="array" ref="I331">IF(G331="","",IFERROR(INDEX('Material Master'!$C$2:$C$201,IFERROR(MATCH(G331,'Material Master'!$F$2:$F$201,0),MATCH(G331,'Material Master'!$A$2:$A$201,0))),""))</f>
        <v/>
      </c>
      <c r="J331" s="86" t="str">
        <f>IF(E331="","",SUMIFS('Stock Movement'!$F$2:$F$501,'Stock Movement'!$D$2:$D$501,E331,'Stock Movement'!$E$2:$E$501,"IN")-SUMIFS('Stock Movement'!$F$2:$F$501,'Stock Movement'!$D$2:$D$501,E331,'Stock Movement'!$E$2:$E$501,"OUT"))</f>
        <v/>
      </c>
      <c r="K331" s="87" t="str">
        <f t="array" ref="K331">IF(G331="","",IFERROR(INDEX('Material Master'!$D$2:$D$201,IFERROR(MATCH(G331,'Material Master'!$F$2:$F$201,0),MATCH(G331,'Material Master'!$A$2:$A$201,0))),""))</f>
        <v/>
      </c>
      <c r="L331" s="85"/>
      <c r="M331" s="85"/>
    </row>
    <row r="332" ht="15.75" customHeight="1">
      <c r="A332" s="150"/>
      <c r="B332" s="151"/>
      <c r="C332" s="150"/>
      <c r="D332" s="152"/>
      <c r="E332" s="77" t="str">
        <f t="shared" si="1"/>
        <v/>
      </c>
      <c r="F332" s="91" t="str">
        <f t="shared" si="2"/>
        <v/>
      </c>
      <c r="G332" s="69"/>
      <c r="H332" s="69" t="str">
        <f t="array" ref="H332">IF(G332="","",IFERROR(INDEX('Material Master'!$B$2:$B$201,IFERROR(MATCH(G332,'Material Master'!$F$2:$F$201,0),MATCH(G332,'Material Master'!$A$2:$A$201,0))),""))</f>
        <v/>
      </c>
      <c r="I332" s="69" t="str">
        <f t="array" ref="I332">IF(G332="","",IFERROR(INDEX('Material Master'!$C$2:$C$201,IFERROR(MATCH(G332,'Material Master'!$F$2:$F$201,0),MATCH(G332,'Material Master'!$A$2:$A$201,0))),""))</f>
        <v/>
      </c>
      <c r="J332" s="75" t="str">
        <f>IF(E332="","",SUMIFS('Stock Movement'!$F$2:$F$501,'Stock Movement'!$D$2:$D$501,E332,'Stock Movement'!$E$2:$E$501,"IN")-SUMIFS('Stock Movement'!$F$2:$F$501,'Stock Movement'!$D$2:$D$501,E332,'Stock Movement'!$E$2:$E$501,"OUT"))</f>
        <v/>
      </c>
      <c r="K332" s="77" t="str">
        <f t="array" ref="K332">IF(G332="","",IFERROR(INDEX('Material Master'!$D$2:$D$201,IFERROR(MATCH(G332,'Material Master'!$F$2:$F$201,0),MATCH(G332,'Material Master'!$A$2:$A$201,0))),""))</f>
        <v/>
      </c>
      <c r="L332" s="69"/>
      <c r="M332" s="69"/>
    </row>
    <row r="333" ht="15.75" customHeight="1">
      <c r="A333" s="147"/>
      <c r="B333" s="148"/>
      <c r="C333" s="147"/>
      <c r="D333" s="149"/>
      <c r="E333" s="87" t="str">
        <f t="shared" si="1"/>
        <v/>
      </c>
      <c r="F333" s="83" t="str">
        <f t="shared" si="2"/>
        <v/>
      </c>
      <c r="G333" s="85"/>
      <c r="H333" s="85" t="str">
        <f t="array" ref="H333">IF(G333="","",IFERROR(INDEX('Material Master'!$B$2:$B$201,IFERROR(MATCH(G333,'Material Master'!$F$2:$F$201,0),MATCH(G333,'Material Master'!$A$2:$A$201,0))),""))</f>
        <v/>
      </c>
      <c r="I333" s="85" t="str">
        <f t="array" ref="I333">IF(G333="","",IFERROR(INDEX('Material Master'!$C$2:$C$201,IFERROR(MATCH(G333,'Material Master'!$F$2:$F$201,0),MATCH(G333,'Material Master'!$A$2:$A$201,0))),""))</f>
        <v/>
      </c>
      <c r="J333" s="86" t="str">
        <f>IF(E333="","",SUMIFS('Stock Movement'!$F$2:$F$501,'Stock Movement'!$D$2:$D$501,E333,'Stock Movement'!$E$2:$E$501,"IN")-SUMIFS('Stock Movement'!$F$2:$F$501,'Stock Movement'!$D$2:$D$501,E333,'Stock Movement'!$E$2:$E$501,"OUT"))</f>
        <v/>
      </c>
      <c r="K333" s="87" t="str">
        <f t="array" ref="K333">IF(G333="","",IFERROR(INDEX('Material Master'!$D$2:$D$201,IFERROR(MATCH(G333,'Material Master'!$F$2:$F$201,0),MATCH(G333,'Material Master'!$A$2:$A$201,0))),""))</f>
        <v/>
      </c>
      <c r="L333" s="85"/>
      <c r="M333" s="85"/>
    </row>
    <row r="334" ht="15.75" customHeight="1">
      <c r="A334" s="150"/>
      <c r="B334" s="151"/>
      <c r="C334" s="150"/>
      <c r="D334" s="152"/>
      <c r="E334" s="77" t="str">
        <f t="shared" si="1"/>
        <v/>
      </c>
      <c r="F334" s="91" t="str">
        <f t="shared" si="2"/>
        <v/>
      </c>
      <c r="G334" s="69"/>
      <c r="H334" s="69" t="str">
        <f t="array" ref="H334">IF(G334="","",IFERROR(INDEX('Material Master'!$B$2:$B$201,IFERROR(MATCH(G334,'Material Master'!$F$2:$F$201,0),MATCH(G334,'Material Master'!$A$2:$A$201,0))),""))</f>
        <v/>
      </c>
      <c r="I334" s="69" t="str">
        <f t="array" ref="I334">IF(G334="","",IFERROR(INDEX('Material Master'!$C$2:$C$201,IFERROR(MATCH(G334,'Material Master'!$F$2:$F$201,0),MATCH(G334,'Material Master'!$A$2:$A$201,0))),""))</f>
        <v/>
      </c>
      <c r="J334" s="75" t="str">
        <f>IF(E334="","",SUMIFS('Stock Movement'!$F$2:$F$501,'Stock Movement'!$D$2:$D$501,E334,'Stock Movement'!$E$2:$E$501,"IN")-SUMIFS('Stock Movement'!$F$2:$F$501,'Stock Movement'!$D$2:$D$501,E334,'Stock Movement'!$E$2:$E$501,"OUT"))</f>
        <v/>
      </c>
      <c r="K334" s="77" t="str">
        <f t="array" ref="K334">IF(G334="","",IFERROR(INDEX('Material Master'!$D$2:$D$201,IFERROR(MATCH(G334,'Material Master'!$F$2:$F$201,0),MATCH(G334,'Material Master'!$A$2:$A$201,0))),""))</f>
        <v/>
      </c>
      <c r="L334" s="69"/>
      <c r="M334" s="69"/>
    </row>
    <row r="335" ht="15.75" customHeight="1">
      <c r="A335" s="147"/>
      <c r="B335" s="148"/>
      <c r="C335" s="147"/>
      <c r="D335" s="149"/>
      <c r="E335" s="87" t="str">
        <f t="shared" si="1"/>
        <v/>
      </c>
      <c r="F335" s="83" t="str">
        <f t="shared" si="2"/>
        <v/>
      </c>
      <c r="G335" s="85"/>
      <c r="H335" s="85" t="str">
        <f t="array" ref="H335">IF(G335="","",IFERROR(INDEX('Material Master'!$B$2:$B$201,IFERROR(MATCH(G335,'Material Master'!$F$2:$F$201,0),MATCH(G335,'Material Master'!$A$2:$A$201,0))),""))</f>
        <v/>
      </c>
      <c r="I335" s="85" t="str">
        <f t="array" ref="I335">IF(G335="","",IFERROR(INDEX('Material Master'!$C$2:$C$201,IFERROR(MATCH(G335,'Material Master'!$F$2:$F$201,0),MATCH(G335,'Material Master'!$A$2:$A$201,0))),""))</f>
        <v/>
      </c>
      <c r="J335" s="86" t="str">
        <f>IF(E335="","",SUMIFS('Stock Movement'!$F$2:$F$501,'Stock Movement'!$D$2:$D$501,E335,'Stock Movement'!$E$2:$E$501,"IN")-SUMIFS('Stock Movement'!$F$2:$F$501,'Stock Movement'!$D$2:$D$501,E335,'Stock Movement'!$E$2:$E$501,"OUT"))</f>
        <v/>
      </c>
      <c r="K335" s="87" t="str">
        <f t="array" ref="K335">IF(G335="","",IFERROR(INDEX('Material Master'!$D$2:$D$201,IFERROR(MATCH(G335,'Material Master'!$F$2:$F$201,0),MATCH(G335,'Material Master'!$A$2:$A$201,0))),""))</f>
        <v/>
      </c>
      <c r="L335" s="85"/>
      <c r="M335" s="85"/>
    </row>
    <row r="336" ht="15.75" customHeight="1">
      <c r="A336" s="150"/>
      <c r="B336" s="151"/>
      <c r="C336" s="150"/>
      <c r="D336" s="152"/>
      <c r="E336" s="77" t="str">
        <f t="shared" si="1"/>
        <v/>
      </c>
      <c r="F336" s="91" t="str">
        <f t="shared" si="2"/>
        <v/>
      </c>
      <c r="G336" s="69"/>
      <c r="H336" s="69" t="str">
        <f t="array" ref="H336">IF(G336="","",IFERROR(INDEX('Material Master'!$B$2:$B$201,IFERROR(MATCH(G336,'Material Master'!$F$2:$F$201,0),MATCH(G336,'Material Master'!$A$2:$A$201,0))),""))</f>
        <v/>
      </c>
      <c r="I336" s="69" t="str">
        <f t="array" ref="I336">IF(G336="","",IFERROR(INDEX('Material Master'!$C$2:$C$201,IFERROR(MATCH(G336,'Material Master'!$F$2:$F$201,0),MATCH(G336,'Material Master'!$A$2:$A$201,0))),""))</f>
        <v/>
      </c>
      <c r="J336" s="75" t="str">
        <f>IF(E336="","",SUMIFS('Stock Movement'!$F$2:$F$501,'Stock Movement'!$D$2:$D$501,E336,'Stock Movement'!$E$2:$E$501,"IN")-SUMIFS('Stock Movement'!$F$2:$F$501,'Stock Movement'!$D$2:$D$501,E336,'Stock Movement'!$E$2:$E$501,"OUT"))</f>
        <v/>
      </c>
      <c r="K336" s="77" t="str">
        <f t="array" ref="K336">IF(G336="","",IFERROR(INDEX('Material Master'!$D$2:$D$201,IFERROR(MATCH(G336,'Material Master'!$F$2:$F$201,0),MATCH(G336,'Material Master'!$A$2:$A$201,0))),""))</f>
        <v/>
      </c>
      <c r="L336" s="69"/>
      <c r="M336" s="69"/>
    </row>
    <row r="337" ht="15.75" customHeight="1">
      <c r="A337" s="147"/>
      <c r="B337" s="148"/>
      <c r="C337" s="147"/>
      <c r="D337" s="149"/>
      <c r="E337" s="87" t="str">
        <f t="shared" si="1"/>
        <v/>
      </c>
      <c r="F337" s="83" t="str">
        <f t="shared" si="2"/>
        <v/>
      </c>
      <c r="G337" s="85"/>
      <c r="H337" s="85" t="str">
        <f t="array" ref="H337">IF(G337="","",IFERROR(INDEX('Material Master'!$B$2:$B$201,IFERROR(MATCH(G337,'Material Master'!$F$2:$F$201,0),MATCH(G337,'Material Master'!$A$2:$A$201,0))),""))</f>
        <v/>
      </c>
      <c r="I337" s="85" t="str">
        <f t="array" ref="I337">IF(G337="","",IFERROR(INDEX('Material Master'!$C$2:$C$201,IFERROR(MATCH(G337,'Material Master'!$F$2:$F$201,0),MATCH(G337,'Material Master'!$A$2:$A$201,0))),""))</f>
        <v/>
      </c>
      <c r="J337" s="86" t="str">
        <f>IF(E337="","",SUMIFS('Stock Movement'!$F$2:$F$501,'Stock Movement'!$D$2:$D$501,E337,'Stock Movement'!$E$2:$E$501,"IN")-SUMIFS('Stock Movement'!$F$2:$F$501,'Stock Movement'!$D$2:$D$501,E337,'Stock Movement'!$E$2:$E$501,"OUT"))</f>
        <v/>
      </c>
      <c r="K337" s="87" t="str">
        <f t="array" ref="K337">IF(G337="","",IFERROR(INDEX('Material Master'!$D$2:$D$201,IFERROR(MATCH(G337,'Material Master'!$F$2:$F$201,0),MATCH(G337,'Material Master'!$A$2:$A$201,0))),""))</f>
        <v/>
      </c>
      <c r="L337" s="85"/>
      <c r="M337" s="85"/>
    </row>
    <row r="338" ht="15.75" customHeight="1">
      <c r="A338" s="150"/>
      <c r="B338" s="151"/>
      <c r="C338" s="150"/>
      <c r="D338" s="152"/>
      <c r="E338" s="77" t="str">
        <f t="shared" si="1"/>
        <v/>
      </c>
      <c r="F338" s="91" t="str">
        <f t="shared" si="2"/>
        <v/>
      </c>
      <c r="G338" s="69"/>
      <c r="H338" s="69" t="str">
        <f t="array" ref="H338">IF(G338="","",IFERROR(INDEX('Material Master'!$B$2:$B$201,IFERROR(MATCH(G338,'Material Master'!$F$2:$F$201,0),MATCH(G338,'Material Master'!$A$2:$A$201,0))),""))</f>
        <v/>
      </c>
      <c r="I338" s="69" t="str">
        <f t="array" ref="I338">IF(G338="","",IFERROR(INDEX('Material Master'!$C$2:$C$201,IFERROR(MATCH(G338,'Material Master'!$F$2:$F$201,0),MATCH(G338,'Material Master'!$A$2:$A$201,0))),""))</f>
        <v/>
      </c>
      <c r="J338" s="75" t="str">
        <f>IF(E338="","",SUMIFS('Stock Movement'!$F$2:$F$501,'Stock Movement'!$D$2:$D$501,E338,'Stock Movement'!$E$2:$E$501,"IN")-SUMIFS('Stock Movement'!$F$2:$F$501,'Stock Movement'!$D$2:$D$501,E338,'Stock Movement'!$E$2:$E$501,"OUT"))</f>
        <v/>
      </c>
      <c r="K338" s="77" t="str">
        <f t="array" ref="K338">IF(G338="","",IFERROR(INDEX('Material Master'!$D$2:$D$201,IFERROR(MATCH(G338,'Material Master'!$F$2:$F$201,0),MATCH(G338,'Material Master'!$A$2:$A$201,0))),""))</f>
        <v/>
      </c>
      <c r="L338" s="69"/>
      <c r="M338" s="69"/>
    </row>
    <row r="339" ht="15.75" customHeight="1">
      <c r="A339" s="147"/>
      <c r="B339" s="148"/>
      <c r="C339" s="147"/>
      <c r="D339" s="149"/>
      <c r="E339" s="87" t="str">
        <f t="shared" si="1"/>
        <v/>
      </c>
      <c r="F339" s="83" t="str">
        <f t="shared" si="2"/>
        <v/>
      </c>
      <c r="G339" s="85"/>
      <c r="H339" s="85" t="str">
        <f t="array" ref="H339">IF(G339="","",IFERROR(INDEX('Material Master'!$B$2:$B$201,IFERROR(MATCH(G339,'Material Master'!$F$2:$F$201,0),MATCH(G339,'Material Master'!$A$2:$A$201,0))),""))</f>
        <v/>
      </c>
      <c r="I339" s="85" t="str">
        <f t="array" ref="I339">IF(G339="","",IFERROR(INDEX('Material Master'!$C$2:$C$201,IFERROR(MATCH(G339,'Material Master'!$F$2:$F$201,0),MATCH(G339,'Material Master'!$A$2:$A$201,0))),""))</f>
        <v/>
      </c>
      <c r="J339" s="86" t="str">
        <f>IF(E339="","",SUMIFS('Stock Movement'!$F$2:$F$501,'Stock Movement'!$D$2:$D$501,E339,'Stock Movement'!$E$2:$E$501,"IN")-SUMIFS('Stock Movement'!$F$2:$F$501,'Stock Movement'!$D$2:$D$501,E339,'Stock Movement'!$E$2:$E$501,"OUT"))</f>
        <v/>
      </c>
      <c r="K339" s="87" t="str">
        <f t="array" ref="K339">IF(G339="","",IFERROR(INDEX('Material Master'!$D$2:$D$201,IFERROR(MATCH(G339,'Material Master'!$F$2:$F$201,0),MATCH(G339,'Material Master'!$A$2:$A$201,0))),""))</f>
        <v/>
      </c>
      <c r="L339" s="85"/>
      <c r="M339" s="85"/>
    </row>
    <row r="340" ht="15.75" customHeight="1">
      <c r="A340" s="150"/>
      <c r="B340" s="151"/>
      <c r="C340" s="150"/>
      <c r="D340" s="152"/>
      <c r="E340" s="77" t="str">
        <f t="shared" si="1"/>
        <v/>
      </c>
      <c r="F340" s="91" t="str">
        <f t="shared" si="2"/>
        <v/>
      </c>
      <c r="G340" s="69"/>
      <c r="H340" s="69" t="str">
        <f t="array" ref="H340">IF(G340="","",IFERROR(INDEX('Material Master'!$B$2:$B$201,IFERROR(MATCH(G340,'Material Master'!$F$2:$F$201,0),MATCH(G340,'Material Master'!$A$2:$A$201,0))),""))</f>
        <v/>
      </c>
      <c r="I340" s="69" t="str">
        <f t="array" ref="I340">IF(G340="","",IFERROR(INDEX('Material Master'!$C$2:$C$201,IFERROR(MATCH(G340,'Material Master'!$F$2:$F$201,0),MATCH(G340,'Material Master'!$A$2:$A$201,0))),""))</f>
        <v/>
      </c>
      <c r="J340" s="75" t="str">
        <f>IF(E340="","",SUMIFS('Stock Movement'!$F$2:$F$501,'Stock Movement'!$D$2:$D$501,E340,'Stock Movement'!$E$2:$E$501,"IN")-SUMIFS('Stock Movement'!$F$2:$F$501,'Stock Movement'!$D$2:$D$501,E340,'Stock Movement'!$E$2:$E$501,"OUT"))</f>
        <v/>
      </c>
      <c r="K340" s="77" t="str">
        <f t="array" ref="K340">IF(G340="","",IFERROR(INDEX('Material Master'!$D$2:$D$201,IFERROR(MATCH(G340,'Material Master'!$F$2:$F$201,0),MATCH(G340,'Material Master'!$A$2:$A$201,0))),""))</f>
        <v/>
      </c>
      <c r="L340" s="69"/>
      <c r="M340" s="69"/>
    </row>
    <row r="341" ht="15.75" customHeight="1">
      <c r="A341" s="147"/>
      <c r="B341" s="148"/>
      <c r="C341" s="147"/>
      <c r="D341" s="149"/>
      <c r="E341" s="87" t="str">
        <f t="shared" si="1"/>
        <v/>
      </c>
      <c r="F341" s="83" t="str">
        <f t="shared" si="2"/>
        <v/>
      </c>
      <c r="G341" s="85"/>
      <c r="H341" s="85" t="str">
        <f t="array" ref="H341">IF(G341="","",IFERROR(INDEX('Material Master'!$B$2:$B$201,IFERROR(MATCH(G341,'Material Master'!$F$2:$F$201,0),MATCH(G341,'Material Master'!$A$2:$A$201,0))),""))</f>
        <v/>
      </c>
      <c r="I341" s="85" t="str">
        <f t="array" ref="I341">IF(G341="","",IFERROR(INDEX('Material Master'!$C$2:$C$201,IFERROR(MATCH(G341,'Material Master'!$F$2:$F$201,0),MATCH(G341,'Material Master'!$A$2:$A$201,0))),""))</f>
        <v/>
      </c>
      <c r="J341" s="86" t="str">
        <f>IF(E341="","",SUMIFS('Stock Movement'!$F$2:$F$501,'Stock Movement'!$D$2:$D$501,E341,'Stock Movement'!$E$2:$E$501,"IN")-SUMIFS('Stock Movement'!$F$2:$F$501,'Stock Movement'!$D$2:$D$501,E341,'Stock Movement'!$E$2:$E$501,"OUT"))</f>
        <v/>
      </c>
      <c r="K341" s="87" t="str">
        <f t="array" ref="K341">IF(G341="","",IFERROR(INDEX('Material Master'!$D$2:$D$201,IFERROR(MATCH(G341,'Material Master'!$F$2:$F$201,0),MATCH(G341,'Material Master'!$A$2:$A$201,0))),""))</f>
        <v/>
      </c>
      <c r="L341" s="85"/>
      <c r="M341" s="85"/>
    </row>
    <row r="342" ht="15.75" customHeight="1">
      <c r="A342" s="150"/>
      <c r="B342" s="151"/>
      <c r="C342" s="150"/>
      <c r="D342" s="152"/>
      <c r="E342" s="77" t="str">
        <f t="shared" si="1"/>
        <v/>
      </c>
      <c r="F342" s="91" t="str">
        <f t="shared" si="2"/>
        <v/>
      </c>
      <c r="G342" s="69"/>
      <c r="H342" s="69" t="str">
        <f t="array" ref="H342">IF(G342="","",IFERROR(INDEX('Material Master'!$B$2:$B$201,IFERROR(MATCH(G342,'Material Master'!$F$2:$F$201,0),MATCH(G342,'Material Master'!$A$2:$A$201,0))),""))</f>
        <v/>
      </c>
      <c r="I342" s="69" t="str">
        <f t="array" ref="I342">IF(G342="","",IFERROR(INDEX('Material Master'!$C$2:$C$201,IFERROR(MATCH(G342,'Material Master'!$F$2:$F$201,0),MATCH(G342,'Material Master'!$A$2:$A$201,0))),""))</f>
        <v/>
      </c>
      <c r="J342" s="75" t="str">
        <f>IF(E342="","",SUMIFS('Stock Movement'!$F$2:$F$501,'Stock Movement'!$D$2:$D$501,E342,'Stock Movement'!$E$2:$E$501,"IN")-SUMIFS('Stock Movement'!$F$2:$F$501,'Stock Movement'!$D$2:$D$501,E342,'Stock Movement'!$E$2:$E$501,"OUT"))</f>
        <v/>
      </c>
      <c r="K342" s="77" t="str">
        <f t="array" ref="K342">IF(G342="","",IFERROR(INDEX('Material Master'!$D$2:$D$201,IFERROR(MATCH(G342,'Material Master'!$F$2:$F$201,0),MATCH(G342,'Material Master'!$A$2:$A$201,0))),""))</f>
        <v/>
      </c>
      <c r="L342" s="69"/>
      <c r="M342" s="69"/>
    </row>
    <row r="343" ht="15.75" customHeight="1">
      <c r="A343" s="147"/>
      <c r="B343" s="148"/>
      <c r="C343" s="147"/>
      <c r="D343" s="149"/>
      <c r="E343" s="87" t="str">
        <f t="shared" si="1"/>
        <v/>
      </c>
      <c r="F343" s="83" t="str">
        <f t="shared" si="2"/>
        <v/>
      </c>
      <c r="G343" s="85"/>
      <c r="H343" s="85" t="str">
        <f t="array" ref="H343">IF(G343="","",IFERROR(INDEX('Material Master'!$B$2:$B$201,IFERROR(MATCH(G343,'Material Master'!$F$2:$F$201,0),MATCH(G343,'Material Master'!$A$2:$A$201,0))),""))</f>
        <v/>
      </c>
      <c r="I343" s="85" t="str">
        <f t="array" ref="I343">IF(G343="","",IFERROR(INDEX('Material Master'!$C$2:$C$201,IFERROR(MATCH(G343,'Material Master'!$F$2:$F$201,0),MATCH(G343,'Material Master'!$A$2:$A$201,0))),""))</f>
        <v/>
      </c>
      <c r="J343" s="86" t="str">
        <f>IF(E343="","",SUMIFS('Stock Movement'!$F$2:$F$501,'Stock Movement'!$D$2:$D$501,E343,'Stock Movement'!$E$2:$E$501,"IN")-SUMIFS('Stock Movement'!$F$2:$F$501,'Stock Movement'!$D$2:$D$501,E343,'Stock Movement'!$E$2:$E$501,"OUT"))</f>
        <v/>
      </c>
      <c r="K343" s="87" t="str">
        <f t="array" ref="K343">IF(G343="","",IFERROR(INDEX('Material Master'!$D$2:$D$201,IFERROR(MATCH(G343,'Material Master'!$F$2:$F$201,0),MATCH(G343,'Material Master'!$A$2:$A$201,0))),""))</f>
        <v/>
      </c>
      <c r="L343" s="85"/>
      <c r="M343" s="85"/>
    </row>
    <row r="344" ht="15.75" customHeight="1">
      <c r="A344" s="150"/>
      <c r="B344" s="151"/>
      <c r="C344" s="150"/>
      <c r="D344" s="152"/>
      <c r="E344" s="77" t="str">
        <f t="shared" si="1"/>
        <v/>
      </c>
      <c r="F344" s="91" t="str">
        <f t="shared" si="2"/>
        <v/>
      </c>
      <c r="G344" s="69"/>
      <c r="H344" s="69" t="str">
        <f t="array" ref="H344">IF(G344="","",IFERROR(INDEX('Material Master'!$B$2:$B$201,IFERROR(MATCH(G344,'Material Master'!$F$2:$F$201,0),MATCH(G344,'Material Master'!$A$2:$A$201,0))),""))</f>
        <v/>
      </c>
      <c r="I344" s="69" t="str">
        <f t="array" ref="I344">IF(G344="","",IFERROR(INDEX('Material Master'!$C$2:$C$201,IFERROR(MATCH(G344,'Material Master'!$F$2:$F$201,0),MATCH(G344,'Material Master'!$A$2:$A$201,0))),""))</f>
        <v/>
      </c>
      <c r="J344" s="75" t="str">
        <f>IF(E344="","",SUMIFS('Stock Movement'!$F$2:$F$501,'Stock Movement'!$D$2:$D$501,E344,'Stock Movement'!$E$2:$E$501,"IN")-SUMIFS('Stock Movement'!$F$2:$F$501,'Stock Movement'!$D$2:$D$501,E344,'Stock Movement'!$E$2:$E$501,"OUT"))</f>
        <v/>
      </c>
      <c r="K344" s="77" t="str">
        <f t="array" ref="K344">IF(G344="","",IFERROR(INDEX('Material Master'!$D$2:$D$201,IFERROR(MATCH(G344,'Material Master'!$F$2:$F$201,0),MATCH(G344,'Material Master'!$A$2:$A$201,0))),""))</f>
        <v/>
      </c>
      <c r="L344" s="69"/>
      <c r="M344" s="69"/>
    </row>
    <row r="345" ht="15.75" customHeight="1">
      <c r="A345" s="147"/>
      <c r="B345" s="148"/>
      <c r="C345" s="147"/>
      <c r="D345" s="149"/>
      <c r="E345" s="87" t="str">
        <f t="shared" si="1"/>
        <v/>
      </c>
      <c r="F345" s="83" t="str">
        <f t="shared" si="2"/>
        <v/>
      </c>
      <c r="G345" s="85"/>
      <c r="H345" s="85" t="str">
        <f t="array" ref="H345">IF(G345="","",IFERROR(INDEX('Material Master'!$B$2:$B$201,IFERROR(MATCH(G345,'Material Master'!$F$2:$F$201,0),MATCH(G345,'Material Master'!$A$2:$A$201,0))),""))</f>
        <v/>
      </c>
      <c r="I345" s="85" t="str">
        <f t="array" ref="I345">IF(G345="","",IFERROR(INDEX('Material Master'!$C$2:$C$201,IFERROR(MATCH(G345,'Material Master'!$F$2:$F$201,0),MATCH(G345,'Material Master'!$A$2:$A$201,0))),""))</f>
        <v/>
      </c>
      <c r="J345" s="86" t="str">
        <f>IF(E345="","",SUMIFS('Stock Movement'!$F$2:$F$501,'Stock Movement'!$D$2:$D$501,E345,'Stock Movement'!$E$2:$E$501,"IN")-SUMIFS('Stock Movement'!$F$2:$F$501,'Stock Movement'!$D$2:$D$501,E345,'Stock Movement'!$E$2:$E$501,"OUT"))</f>
        <v/>
      </c>
      <c r="K345" s="87" t="str">
        <f t="array" ref="K345">IF(G345="","",IFERROR(INDEX('Material Master'!$D$2:$D$201,IFERROR(MATCH(G345,'Material Master'!$F$2:$F$201,0),MATCH(G345,'Material Master'!$A$2:$A$201,0))),""))</f>
        <v/>
      </c>
      <c r="L345" s="85"/>
      <c r="M345" s="85"/>
    </row>
    <row r="346" ht="15.75" customHeight="1">
      <c r="A346" s="150"/>
      <c r="B346" s="151"/>
      <c r="C346" s="150"/>
      <c r="D346" s="152"/>
      <c r="E346" s="77" t="str">
        <f t="shared" si="1"/>
        <v/>
      </c>
      <c r="F346" s="91" t="str">
        <f t="shared" si="2"/>
        <v/>
      </c>
      <c r="G346" s="69"/>
      <c r="H346" s="69" t="str">
        <f t="array" ref="H346">IF(G346="","",IFERROR(INDEX('Material Master'!$B$2:$B$201,IFERROR(MATCH(G346,'Material Master'!$F$2:$F$201,0),MATCH(G346,'Material Master'!$A$2:$A$201,0))),""))</f>
        <v/>
      </c>
      <c r="I346" s="69" t="str">
        <f t="array" ref="I346">IF(G346="","",IFERROR(INDEX('Material Master'!$C$2:$C$201,IFERROR(MATCH(G346,'Material Master'!$F$2:$F$201,0),MATCH(G346,'Material Master'!$A$2:$A$201,0))),""))</f>
        <v/>
      </c>
      <c r="J346" s="75" t="str">
        <f>IF(E346="","",SUMIFS('Stock Movement'!$F$2:$F$501,'Stock Movement'!$D$2:$D$501,E346,'Stock Movement'!$E$2:$E$501,"IN")-SUMIFS('Stock Movement'!$F$2:$F$501,'Stock Movement'!$D$2:$D$501,E346,'Stock Movement'!$E$2:$E$501,"OUT"))</f>
        <v/>
      </c>
      <c r="K346" s="77" t="str">
        <f t="array" ref="K346">IF(G346="","",IFERROR(INDEX('Material Master'!$D$2:$D$201,IFERROR(MATCH(G346,'Material Master'!$F$2:$F$201,0),MATCH(G346,'Material Master'!$A$2:$A$201,0))),""))</f>
        <v/>
      </c>
      <c r="L346" s="69"/>
      <c r="M346" s="69"/>
    </row>
    <row r="347" ht="15.75" customHeight="1">
      <c r="A347" s="147"/>
      <c r="B347" s="148"/>
      <c r="C347" s="147"/>
      <c r="D347" s="149"/>
      <c r="E347" s="87" t="str">
        <f t="shared" si="1"/>
        <v/>
      </c>
      <c r="F347" s="83" t="str">
        <f t="shared" si="2"/>
        <v/>
      </c>
      <c r="G347" s="85"/>
      <c r="H347" s="85" t="str">
        <f t="array" ref="H347">IF(G347="","",IFERROR(INDEX('Material Master'!$B$2:$B$201,IFERROR(MATCH(G347,'Material Master'!$F$2:$F$201,0),MATCH(G347,'Material Master'!$A$2:$A$201,0))),""))</f>
        <v/>
      </c>
      <c r="I347" s="85" t="str">
        <f t="array" ref="I347">IF(G347="","",IFERROR(INDEX('Material Master'!$C$2:$C$201,IFERROR(MATCH(G347,'Material Master'!$F$2:$F$201,0),MATCH(G347,'Material Master'!$A$2:$A$201,0))),""))</f>
        <v/>
      </c>
      <c r="J347" s="86" t="str">
        <f>IF(E347="","",SUMIFS('Stock Movement'!$F$2:$F$501,'Stock Movement'!$D$2:$D$501,E347,'Stock Movement'!$E$2:$E$501,"IN")-SUMIFS('Stock Movement'!$F$2:$F$501,'Stock Movement'!$D$2:$D$501,E347,'Stock Movement'!$E$2:$E$501,"OUT"))</f>
        <v/>
      </c>
      <c r="K347" s="87" t="str">
        <f t="array" ref="K347">IF(G347="","",IFERROR(INDEX('Material Master'!$D$2:$D$201,IFERROR(MATCH(G347,'Material Master'!$F$2:$F$201,0),MATCH(G347,'Material Master'!$A$2:$A$201,0))),""))</f>
        <v/>
      </c>
      <c r="L347" s="85"/>
      <c r="M347" s="85"/>
    </row>
    <row r="348" ht="15.75" customHeight="1">
      <c r="A348" s="150"/>
      <c r="B348" s="151"/>
      <c r="C348" s="150"/>
      <c r="D348" s="152"/>
      <c r="E348" s="77" t="str">
        <f t="shared" si="1"/>
        <v/>
      </c>
      <c r="F348" s="91" t="str">
        <f t="shared" si="2"/>
        <v/>
      </c>
      <c r="G348" s="69"/>
      <c r="H348" s="69" t="str">
        <f t="array" ref="H348">IF(G348="","",IFERROR(INDEX('Material Master'!$B$2:$B$201,IFERROR(MATCH(G348,'Material Master'!$F$2:$F$201,0),MATCH(G348,'Material Master'!$A$2:$A$201,0))),""))</f>
        <v/>
      </c>
      <c r="I348" s="69" t="str">
        <f t="array" ref="I348">IF(G348="","",IFERROR(INDEX('Material Master'!$C$2:$C$201,IFERROR(MATCH(G348,'Material Master'!$F$2:$F$201,0),MATCH(G348,'Material Master'!$A$2:$A$201,0))),""))</f>
        <v/>
      </c>
      <c r="J348" s="75" t="str">
        <f>IF(E348="","",SUMIFS('Stock Movement'!$F$2:$F$501,'Stock Movement'!$D$2:$D$501,E348,'Stock Movement'!$E$2:$E$501,"IN")-SUMIFS('Stock Movement'!$F$2:$F$501,'Stock Movement'!$D$2:$D$501,E348,'Stock Movement'!$E$2:$E$501,"OUT"))</f>
        <v/>
      </c>
      <c r="K348" s="77" t="str">
        <f t="array" ref="K348">IF(G348="","",IFERROR(INDEX('Material Master'!$D$2:$D$201,IFERROR(MATCH(G348,'Material Master'!$F$2:$F$201,0),MATCH(G348,'Material Master'!$A$2:$A$201,0))),""))</f>
        <v/>
      </c>
      <c r="L348" s="69"/>
      <c r="M348" s="69"/>
    </row>
    <row r="349" ht="15.75" customHeight="1">
      <c r="A349" s="147"/>
      <c r="B349" s="148"/>
      <c r="C349" s="147"/>
      <c r="D349" s="149"/>
      <c r="E349" s="87" t="str">
        <f t="shared" si="1"/>
        <v/>
      </c>
      <c r="F349" s="83" t="str">
        <f t="shared" si="2"/>
        <v/>
      </c>
      <c r="G349" s="85"/>
      <c r="H349" s="85" t="str">
        <f t="array" ref="H349">IF(G349="","",IFERROR(INDEX('Material Master'!$B$2:$B$201,IFERROR(MATCH(G349,'Material Master'!$F$2:$F$201,0),MATCH(G349,'Material Master'!$A$2:$A$201,0))),""))</f>
        <v/>
      </c>
      <c r="I349" s="85" t="str">
        <f t="array" ref="I349">IF(G349="","",IFERROR(INDEX('Material Master'!$C$2:$C$201,IFERROR(MATCH(G349,'Material Master'!$F$2:$F$201,0),MATCH(G349,'Material Master'!$A$2:$A$201,0))),""))</f>
        <v/>
      </c>
      <c r="J349" s="86" t="str">
        <f>IF(E349="","",SUMIFS('Stock Movement'!$F$2:$F$501,'Stock Movement'!$D$2:$D$501,E349,'Stock Movement'!$E$2:$E$501,"IN")-SUMIFS('Stock Movement'!$F$2:$F$501,'Stock Movement'!$D$2:$D$501,E349,'Stock Movement'!$E$2:$E$501,"OUT"))</f>
        <v/>
      </c>
      <c r="K349" s="87" t="str">
        <f t="array" ref="K349">IF(G349="","",IFERROR(INDEX('Material Master'!$D$2:$D$201,IFERROR(MATCH(G349,'Material Master'!$F$2:$F$201,0),MATCH(G349,'Material Master'!$A$2:$A$201,0))),""))</f>
        <v/>
      </c>
      <c r="L349" s="85"/>
      <c r="M349" s="85"/>
    </row>
    <row r="350" ht="15.75" customHeight="1">
      <c r="A350" s="150"/>
      <c r="B350" s="151"/>
      <c r="C350" s="150"/>
      <c r="D350" s="152"/>
      <c r="E350" s="77" t="str">
        <f t="shared" si="1"/>
        <v/>
      </c>
      <c r="F350" s="91" t="str">
        <f t="shared" si="2"/>
        <v/>
      </c>
      <c r="G350" s="69"/>
      <c r="H350" s="69" t="str">
        <f t="array" ref="H350">IF(G350="","",IFERROR(INDEX('Material Master'!$B$2:$B$201,IFERROR(MATCH(G350,'Material Master'!$F$2:$F$201,0),MATCH(G350,'Material Master'!$A$2:$A$201,0))),""))</f>
        <v/>
      </c>
      <c r="I350" s="69" t="str">
        <f t="array" ref="I350">IF(G350="","",IFERROR(INDEX('Material Master'!$C$2:$C$201,IFERROR(MATCH(G350,'Material Master'!$F$2:$F$201,0),MATCH(G350,'Material Master'!$A$2:$A$201,0))),""))</f>
        <v/>
      </c>
      <c r="J350" s="75" t="str">
        <f>IF(E350="","",SUMIFS('Stock Movement'!$F$2:$F$501,'Stock Movement'!$D$2:$D$501,E350,'Stock Movement'!$E$2:$E$501,"IN")-SUMIFS('Stock Movement'!$F$2:$F$501,'Stock Movement'!$D$2:$D$501,E350,'Stock Movement'!$E$2:$E$501,"OUT"))</f>
        <v/>
      </c>
      <c r="K350" s="77" t="str">
        <f t="array" ref="K350">IF(G350="","",IFERROR(INDEX('Material Master'!$D$2:$D$201,IFERROR(MATCH(G350,'Material Master'!$F$2:$F$201,0),MATCH(G350,'Material Master'!$A$2:$A$201,0))),""))</f>
        <v/>
      </c>
      <c r="L350" s="69"/>
      <c r="M350" s="69"/>
    </row>
    <row r="351" ht="15.75" customHeight="1">
      <c r="A351" s="147"/>
      <c r="B351" s="148"/>
      <c r="C351" s="147"/>
      <c r="D351" s="149"/>
      <c r="E351" s="87" t="str">
        <f t="shared" si="1"/>
        <v/>
      </c>
      <c r="F351" s="83" t="str">
        <f t="shared" si="2"/>
        <v/>
      </c>
      <c r="G351" s="85"/>
      <c r="H351" s="85" t="str">
        <f t="array" ref="H351">IF(G351="","",IFERROR(INDEX('Material Master'!$B$2:$B$201,IFERROR(MATCH(G351,'Material Master'!$F$2:$F$201,0),MATCH(G351,'Material Master'!$A$2:$A$201,0))),""))</f>
        <v/>
      </c>
      <c r="I351" s="85" t="str">
        <f t="array" ref="I351">IF(G351="","",IFERROR(INDEX('Material Master'!$C$2:$C$201,IFERROR(MATCH(G351,'Material Master'!$F$2:$F$201,0),MATCH(G351,'Material Master'!$A$2:$A$201,0))),""))</f>
        <v/>
      </c>
      <c r="J351" s="86" t="str">
        <f>IF(E351="","",SUMIFS('Stock Movement'!$F$2:$F$501,'Stock Movement'!$D$2:$D$501,E351,'Stock Movement'!$E$2:$E$501,"IN")-SUMIFS('Stock Movement'!$F$2:$F$501,'Stock Movement'!$D$2:$D$501,E351,'Stock Movement'!$E$2:$E$501,"OUT"))</f>
        <v/>
      </c>
      <c r="K351" s="87" t="str">
        <f t="array" ref="K351">IF(G351="","",IFERROR(INDEX('Material Master'!$D$2:$D$201,IFERROR(MATCH(G351,'Material Master'!$F$2:$F$201,0),MATCH(G351,'Material Master'!$A$2:$A$201,0))),""))</f>
        <v/>
      </c>
      <c r="L351" s="85"/>
      <c r="M351" s="85"/>
    </row>
    <row r="352" ht="15.75" customHeight="1">
      <c r="A352" s="150"/>
      <c r="B352" s="151"/>
      <c r="C352" s="150"/>
      <c r="D352" s="152"/>
      <c r="E352" s="77" t="str">
        <f t="shared" si="1"/>
        <v/>
      </c>
      <c r="F352" s="91" t="str">
        <f t="shared" si="2"/>
        <v/>
      </c>
      <c r="G352" s="69"/>
      <c r="H352" s="69" t="str">
        <f t="array" ref="H352">IF(G352="","",IFERROR(INDEX('Material Master'!$B$2:$B$201,IFERROR(MATCH(G352,'Material Master'!$F$2:$F$201,0),MATCH(G352,'Material Master'!$A$2:$A$201,0))),""))</f>
        <v/>
      </c>
      <c r="I352" s="69" t="str">
        <f t="array" ref="I352">IF(G352="","",IFERROR(INDEX('Material Master'!$C$2:$C$201,IFERROR(MATCH(G352,'Material Master'!$F$2:$F$201,0),MATCH(G352,'Material Master'!$A$2:$A$201,0))),""))</f>
        <v/>
      </c>
      <c r="J352" s="75" t="str">
        <f>IF(E352="","",SUMIFS('Stock Movement'!$F$2:$F$501,'Stock Movement'!$D$2:$D$501,E352,'Stock Movement'!$E$2:$E$501,"IN")-SUMIFS('Stock Movement'!$F$2:$F$501,'Stock Movement'!$D$2:$D$501,E352,'Stock Movement'!$E$2:$E$501,"OUT"))</f>
        <v/>
      </c>
      <c r="K352" s="77" t="str">
        <f t="array" ref="K352">IF(G352="","",IFERROR(INDEX('Material Master'!$D$2:$D$201,IFERROR(MATCH(G352,'Material Master'!$F$2:$F$201,0),MATCH(G352,'Material Master'!$A$2:$A$201,0))),""))</f>
        <v/>
      </c>
      <c r="L352" s="69"/>
      <c r="M352" s="69"/>
    </row>
    <row r="353" ht="15.75" customHeight="1">
      <c r="A353" s="147"/>
      <c r="B353" s="148"/>
      <c r="C353" s="147"/>
      <c r="D353" s="149"/>
      <c r="E353" s="87" t="str">
        <f t="shared" si="1"/>
        <v/>
      </c>
      <c r="F353" s="83" t="str">
        <f t="shared" si="2"/>
        <v/>
      </c>
      <c r="G353" s="85"/>
      <c r="H353" s="85" t="str">
        <f t="array" ref="H353">IF(G353="","",IFERROR(INDEX('Material Master'!$B$2:$B$201,IFERROR(MATCH(G353,'Material Master'!$F$2:$F$201,0),MATCH(G353,'Material Master'!$A$2:$A$201,0))),""))</f>
        <v/>
      </c>
      <c r="I353" s="85" t="str">
        <f t="array" ref="I353">IF(G353="","",IFERROR(INDEX('Material Master'!$C$2:$C$201,IFERROR(MATCH(G353,'Material Master'!$F$2:$F$201,0),MATCH(G353,'Material Master'!$A$2:$A$201,0))),""))</f>
        <v/>
      </c>
      <c r="J353" s="86" t="str">
        <f>IF(E353="","",SUMIFS('Stock Movement'!$F$2:$F$501,'Stock Movement'!$D$2:$D$501,E353,'Stock Movement'!$E$2:$E$501,"IN")-SUMIFS('Stock Movement'!$F$2:$F$501,'Stock Movement'!$D$2:$D$501,E353,'Stock Movement'!$E$2:$E$501,"OUT"))</f>
        <v/>
      </c>
      <c r="K353" s="87" t="str">
        <f t="array" ref="K353">IF(G353="","",IFERROR(INDEX('Material Master'!$D$2:$D$201,IFERROR(MATCH(G353,'Material Master'!$F$2:$F$201,0),MATCH(G353,'Material Master'!$A$2:$A$201,0))),""))</f>
        <v/>
      </c>
      <c r="L353" s="85"/>
      <c r="M353" s="85"/>
    </row>
    <row r="354" ht="15.75" customHeight="1">
      <c r="A354" s="150"/>
      <c r="B354" s="151"/>
      <c r="C354" s="150"/>
      <c r="D354" s="152"/>
      <c r="E354" s="77" t="str">
        <f t="shared" si="1"/>
        <v/>
      </c>
      <c r="F354" s="91" t="str">
        <f t="shared" si="2"/>
        <v/>
      </c>
      <c r="G354" s="69"/>
      <c r="H354" s="69" t="str">
        <f t="array" ref="H354">IF(G354="","",IFERROR(INDEX('Material Master'!$B$2:$B$201,IFERROR(MATCH(G354,'Material Master'!$F$2:$F$201,0),MATCH(G354,'Material Master'!$A$2:$A$201,0))),""))</f>
        <v/>
      </c>
      <c r="I354" s="69" t="str">
        <f t="array" ref="I354">IF(G354="","",IFERROR(INDEX('Material Master'!$C$2:$C$201,IFERROR(MATCH(G354,'Material Master'!$F$2:$F$201,0),MATCH(G354,'Material Master'!$A$2:$A$201,0))),""))</f>
        <v/>
      </c>
      <c r="J354" s="75" t="str">
        <f>IF(E354="","",SUMIFS('Stock Movement'!$F$2:$F$501,'Stock Movement'!$D$2:$D$501,E354,'Stock Movement'!$E$2:$E$501,"IN")-SUMIFS('Stock Movement'!$F$2:$F$501,'Stock Movement'!$D$2:$D$501,E354,'Stock Movement'!$E$2:$E$501,"OUT"))</f>
        <v/>
      </c>
      <c r="K354" s="77" t="str">
        <f t="array" ref="K354">IF(G354="","",IFERROR(INDEX('Material Master'!$D$2:$D$201,IFERROR(MATCH(G354,'Material Master'!$F$2:$F$201,0),MATCH(G354,'Material Master'!$A$2:$A$201,0))),""))</f>
        <v/>
      </c>
      <c r="L354" s="69"/>
      <c r="M354" s="69"/>
    </row>
    <row r="355" ht="15.75" customHeight="1">
      <c r="A355" s="147"/>
      <c r="B355" s="148"/>
      <c r="C355" s="147"/>
      <c r="D355" s="149"/>
      <c r="E355" s="87" t="str">
        <f t="shared" si="1"/>
        <v/>
      </c>
      <c r="F355" s="83" t="str">
        <f t="shared" si="2"/>
        <v/>
      </c>
      <c r="G355" s="85"/>
      <c r="H355" s="85" t="str">
        <f t="array" ref="H355">IF(G355="","",IFERROR(INDEX('Material Master'!$B$2:$B$201,IFERROR(MATCH(G355,'Material Master'!$F$2:$F$201,0),MATCH(G355,'Material Master'!$A$2:$A$201,0))),""))</f>
        <v/>
      </c>
      <c r="I355" s="85" t="str">
        <f t="array" ref="I355">IF(G355="","",IFERROR(INDEX('Material Master'!$C$2:$C$201,IFERROR(MATCH(G355,'Material Master'!$F$2:$F$201,0),MATCH(G355,'Material Master'!$A$2:$A$201,0))),""))</f>
        <v/>
      </c>
      <c r="J355" s="86" t="str">
        <f>IF(E355="","",SUMIFS('Stock Movement'!$F$2:$F$501,'Stock Movement'!$D$2:$D$501,E355,'Stock Movement'!$E$2:$E$501,"IN")-SUMIFS('Stock Movement'!$F$2:$F$501,'Stock Movement'!$D$2:$D$501,E355,'Stock Movement'!$E$2:$E$501,"OUT"))</f>
        <v/>
      </c>
      <c r="K355" s="87" t="str">
        <f t="array" ref="K355">IF(G355="","",IFERROR(INDEX('Material Master'!$D$2:$D$201,IFERROR(MATCH(G355,'Material Master'!$F$2:$F$201,0),MATCH(G355,'Material Master'!$A$2:$A$201,0))),""))</f>
        <v/>
      </c>
      <c r="L355" s="85"/>
      <c r="M355" s="85"/>
    </row>
    <row r="356" ht="15.75" customHeight="1">
      <c r="A356" s="150"/>
      <c r="B356" s="151"/>
      <c r="C356" s="150"/>
      <c r="D356" s="152"/>
      <c r="E356" s="77" t="str">
        <f t="shared" si="1"/>
        <v/>
      </c>
      <c r="F356" s="91" t="str">
        <f t="shared" si="2"/>
        <v/>
      </c>
      <c r="G356" s="69"/>
      <c r="H356" s="69" t="str">
        <f t="array" ref="H356">IF(G356="","",IFERROR(INDEX('Material Master'!$B$2:$B$201,IFERROR(MATCH(G356,'Material Master'!$F$2:$F$201,0),MATCH(G356,'Material Master'!$A$2:$A$201,0))),""))</f>
        <v/>
      </c>
      <c r="I356" s="69" t="str">
        <f t="array" ref="I356">IF(G356="","",IFERROR(INDEX('Material Master'!$C$2:$C$201,IFERROR(MATCH(G356,'Material Master'!$F$2:$F$201,0),MATCH(G356,'Material Master'!$A$2:$A$201,0))),""))</f>
        <v/>
      </c>
      <c r="J356" s="75" t="str">
        <f>IF(E356="","",SUMIFS('Stock Movement'!$F$2:$F$501,'Stock Movement'!$D$2:$D$501,E356,'Stock Movement'!$E$2:$E$501,"IN")-SUMIFS('Stock Movement'!$F$2:$F$501,'Stock Movement'!$D$2:$D$501,E356,'Stock Movement'!$E$2:$E$501,"OUT"))</f>
        <v/>
      </c>
      <c r="K356" s="77" t="str">
        <f t="array" ref="K356">IF(G356="","",IFERROR(INDEX('Material Master'!$D$2:$D$201,IFERROR(MATCH(G356,'Material Master'!$F$2:$F$201,0),MATCH(G356,'Material Master'!$A$2:$A$201,0))),""))</f>
        <v/>
      </c>
      <c r="L356" s="69"/>
      <c r="M356" s="69"/>
    </row>
    <row r="357" ht="15.75" customHeight="1">
      <c r="A357" s="147"/>
      <c r="B357" s="148"/>
      <c r="C357" s="147"/>
      <c r="D357" s="149"/>
      <c r="E357" s="87" t="str">
        <f t="shared" si="1"/>
        <v/>
      </c>
      <c r="F357" s="83" t="str">
        <f t="shared" si="2"/>
        <v/>
      </c>
      <c r="G357" s="85"/>
      <c r="H357" s="85" t="str">
        <f t="array" ref="H357">IF(G357="","",IFERROR(INDEX('Material Master'!$B$2:$B$201,IFERROR(MATCH(G357,'Material Master'!$F$2:$F$201,0),MATCH(G357,'Material Master'!$A$2:$A$201,0))),""))</f>
        <v/>
      </c>
      <c r="I357" s="85" t="str">
        <f t="array" ref="I357">IF(G357="","",IFERROR(INDEX('Material Master'!$C$2:$C$201,IFERROR(MATCH(G357,'Material Master'!$F$2:$F$201,0),MATCH(G357,'Material Master'!$A$2:$A$201,0))),""))</f>
        <v/>
      </c>
      <c r="J357" s="86" t="str">
        <f>IF(E357="","",SUMIFS('Stock Movement'!$F$2:$F$501,'Stock Movement'!$D$2:$D$501,E357,'Stock Movement'!$E$2:$E$501,"IN")-SUMIFS('Stock Movement'!$F$2:$F$501,'Stock Movement'!$D$2:$D$501,E357,'Stock Movement'!$E$2:$E$501,"OUT"))</f>
        <v/>
      </c>
      <c r="K357" s="87" t="str">
        <f t="array" ref="K357">IF(G357="","",IFERROR(INDEX('Material Master'!$D$2:$D$201,IFERROR(MATCH(G357,'Material Master'!$F$2:$F$201,0),MATCH(G357,'Material Master'!$A$2:$A$201,0))),""))</f>
        <v/>
      </c>
      <c r="L357" s="85"/>
      <c r="M357" s="85"/>
    </row>
    <row r="358" ht="15.75" customHeight="1">
      <c r="A358" s="150"/>
      <c r="B358" s="151"/>
      <c r="C358" s="150"/>
      <c r="D358" s="152"/>
      <c r="E358" s="77" t="str">
        <f t="shared" si="1"/>
        <v/>
      </c>
      <c r="F358" s="91" t="str">
        <f t="shared" si="2"/>
        <v/>
      </c>
      <c r="G358" s="69"/>
      <c r="H358" s="69" t="str">
        <f t="array" ref="H358">IF(G358="","",IFERROR(INDEX('Material Master'!$B$2:$B$201,IFERROR(MATCH(G358,'Material Master'!$F$2:$F$201,0),MATCH(G358,'Material Master'!$A$2:$A$201,0))),""))</f>
        <v/>
      </c>
      <c r="I358" s="69" t="str">
        <f t="array" ref="I358">IF(G358="","",IFERROR(INDEX('Material Master'!$C$2:$C$201,IFERROR(MATCH(G358,'Material Master'!$F$2:$F$201,0),MATCH(G358,'Material Master'!$A$2:$A$201,0))),""))</f>
        <v/>
      </c>
      <c r="J358" s="75" t="str">
        <f>IF(E358="","",SUMIFS('Stock Movement'!$F$2:$F$501,'Stock Movement'!$D$2:$D$501,E358,'Stock Movement'!$E$2:$E$501,"IN")-SUMIFS('Stock Movement'!$F$2:$F$501,'Stock Movement'!$D$2:$D$501,E358,'Stock Movement'!$E$2:$E$501,"OUT"))</f>
        <v/>
      </c>
      <c r="K358" s="77" t="str">
        <f t="array" ref="K358">IF(G358="","",IFERROR(INDEX('Material Master'!$D$2:$D$201,IFERROR(MATCH(G358,'Material Master'!$F$2:$F$201,0),MATCH(G358,'Material Master'!$A$2:$A$201,0))),""))</f>
        <v/>
      </c>
      <c r="L358" s="69"/>
      <c r="M358" s="69"/>
    </row>
    <row r="359" ht="15.75" customHeight="1">
      <c r="A359" s="147"/>
      <c r="B359" s="148"/>
      <c r="C359" s="147"/>
      <c r="D359" s="149"/>
      <c r="E359" s="87" t="str">
        <f t="shared" si="1"/>
        <v/>
      </c>
      <c r="F359" s="83" t="str">
        <f t="shared" si="2"/>
        <v/>
      </c>
      <c r="G359" s="85"/>
      <c r="H359" s="85" t="str">
        <f t="array" ref="H359">IF(G359="","",IFERROR(INDEX('Material Master'!$B$2:$B$201,IFERROR(MATCH(G359,'Material Master'!$F$2:$F$201,0),MATCH(G359,'Material Master'!$A$2:$A$201,0))),""))</f>
        <v/>
      </c>
      <c r="I359" s="85" t="str">
        <f t="array" ref="I359">IF(G359="","",IFERROR(INDEX('Material Master'!$C$2:$C$201,IFERROR(MATCH(G359,'Material Master'!$F$2:$F$201,0),MATCH(G359,'Material Master'!$A$2:$A$201,0))),""))</f>
        <v/>
      </c>
      <c r="J359" s="86" t="str">
        <f>IF(E359="","",SUMIFS('Stock Movement'!$F$2:$F$501,'Stock Movement'!$D$2:$D$501,E359,'Stock Movement'!$E$2:$E$501,"IN")-SUMIFS('Stock Movement'!$F$2:$F$501,'Stock Movement'!$D$2:$D$501,E359,'Stock Movement'!$E$2:$E$501,"OUT"))</f>
        <v/>
      </c>
      <c r="K359" s="87" t="str">
        <f t="array" ref="K359">IF(G359="","",IFERROR(INDEX('Material Master'!$D$2:$D$201,IFERROR(MATCH(G359,'Material Master'!$F$2:$F$201,0),MATCH(G359,'Material Master'!$A$2:$A$201,0))),""))</f>
        <v/>
      </c>
      <c r="L359" s="85"/>
      <c r="M359" s="85"/>
    </row>
    <row r="360" ht="15.75" customHeight="1">
      <c r="A360" s="150"/>
      <c r="B360" s="151"/>
      <c r="C360" s="150"/>
      <c r="D360" s="152"/>
      <c r="E360" s="77" t="str">
        <f t="shared" si="1"/>
        <v/>
      </c>
      <c r="F360" s="91" t="str">
        <f t="shared" si="2"/>
        <v/>
      </c>
      <c r="G360" s="69"/>
      <c r="H360" s="69" t="str">
        <f t="array" ref="H360">IF(G360="","",IFERROR(INDEX('Material Master'!$B$2:$B$201,IFERROR(MATCH(G360,'Material Master'!$F$2:$F$201,0),MATCH(G360,'Material Master'!$A$2:$A$201,0))),""))</f>
        <v/>
      </c>
      <c r="I360" s="69" t="str">
        <f t="array" ref="I360">IF(G360="","",IFERROR(INDEX('Material Master'!$C$2:$C$201,IFERROR(MATCH(G360,'Material Master'!$F$2:$F$201,0),MATCH(G360,'Material Master'!$A$2:$A$201,0))),""))</f>
        <v/>
      </c>
      <c r="J360" s="75" t="str">
        <f>IF(E360="","",SUMIFS('Stock Movement'!$F$2:$F$501,'Stock Movement'!$D$2:$D$501,E360,'Stock Movement'!$E$2:$E$501,"IN")-SUMIFS('Stock Movement'!$F$2:$F$501,'Stock Movement'!$D$2:$D$501,E360,'Stock Movement'!$E$2:$E$501,"OUT"))</f>
        <v/>
      </c>
      <c r="K360" s="77" t="str">
        <f t="array" ref="K360">IF(G360="","",IFERROR(INDEX('Material Master'!$D$2:$D$201,IFERROR(MATCH(G360,'Material Master'!$F$2:$F$201,0),MATCH(G360,'Material Master'!$A$2:$A$201,0))),""))</f>
        <v/>
      </c>
      <c r="L360" s="69"/>
      <c r="M360" s="69"/>
    </row>
    <row r="361" ht="15.75" customHeight="1">
      <c r="A361" s="147"/>
      <c r="B361" s="148"/>
      <c r="C361" s="147"/>
      <c r="D361" s="149"/>
      <c r="E361" s="87" t="str">
        <f t="shared" si="1"/>
        <v/>
      </c>
      <c r="F361" s="83" t="str">
        <f t="shared" si="2"/>
        <v/>
      </c>
      <c r="G361" s="85"/>
      <c r="H361" s="85" t="str">
        <f t="array" ref="H361">IF(G361="","",IFERROR(INDEX('Material Master'!$B$2:$B$201,IFERROR(MATCH(G361,'Material Master'!$F$2:$F$201,0),MATCH(G361,'Material Master'!$A$2:$A$201,0))),""))</f>
        <v/>
      </c>
      <c r="I361" s="85" t="str">
        <f t="array" ref="I361">IF(G361="","",IFERROR(INDEX('Material Master'!$C$2:$C$201,IFERROR(MATCH(G361,'Material Master'!$F$2:$F$201,0),MATCH(G361,'Material Master'!$A$2:$A$201,0))),""))</f>
        <v/>
      </c>
      <c r="J361" s="86" t="str">
        <f>IF(E361="","",SUMIFS('Stock Movement'!$F$2:$F$501,'Stock Movement'!$D$2:$D$501,E361,'Stock Movement'!$E$2:$E$501,"IN")-SUMIFS('Stock Movement'!$F$2:$F$501,'Stock Movement'!$D$2:$D$501,E361,'Stock Movement'!$E$2:$E$501,"OUT"))</f>
        <v/>
      </c>
      <c r="K361" s="87" t="str">
        <f t="array" ref="K361">IF(G361="","",IFERROR(INDEX('Material Master'!$D$2:$D$201,IFERROR(MATCH(G361,'Material Master'!$F$2:$F$201,0),MATCH(G361,'Material Master'!$A$2:$A$201,0))),""))</f>
        <v/>
      </c>
      <c r="L361" s="85"/>
      <c r="M361" s="85"/>
    </row>
    <row r="362" ht="15.75" customHeight="1">
      <c r="A362" s="150"/>
      <c r="B362" s="151"/>
      <c r="C362" s="150"/>
      <c r="D362" s="152"/>
      <c r="E362" s="77" t="str">
        <f t="shared" si="1"/>
        <v/>
      </c>
      <c r="F362" s="91" t="str">
        <f t="shared" si="2"/>
        <v/>
      </c>
      <c r="G362" s="69"/>
      <c r="H362" s="69" t="str">
        <f t="array" ref="H362">IF(G362="","",IFERROR(INDEX('Material Master'!$B$2:$B$201,IFERROR(MATCH(G362,'Material Master'!$F$2:$F$201,0),MATCH(G362,'Material Master'!$A$2:$A$201,0))),""))</f>
        <v/>
      </c>
      <c r="I362" s="69" t="str">
        <f t="array" ref="I362">IF(G362="","",IFERROR(INDEX('Material Master'!$C$2:$C$201,IFERROR(MATCH(G362,'Material Master'!$F$2:$F$201,0),MATCH(G362,'Material Master'!$A$2:$A$201,0))),""))</f>
        <v/>
      </c>
      <c r="J362" s="75" t="str">
        <f>IF(E362="","",SUMIFS('Stock Movement'!$F$2:$F$501,'Stock Movement'!$D$2:$D$501,E362,'Stock Movement'!$E$2:$E$501,"IN")-SUMIFS('Stock Movement'!$F$2:$F$501,'Stock Movement'!$D$2:$D$501,E362,'Stock Movement'!$E$2:$E$501,"OUT"))</f>
        <v/>
      </c>
      <c r="K362" s="77" t="str">
        <f t="array" ref="K362">IF(G362="","",IFERROR(INDEX('Material Master'!$D$2:$D$201,IFERROR(MATCH(G362,'Material Master'!$F$2:$F$201,0),MATCH(G362,'Material Master'!$A$2:$A$201,0))),""))</f>
        <v/>
      </c>
      <c r="L362" s="69"/>
      <c r="M362" s="69"/>
    </row>
    <row r="363" ht="15.75" customHeight="1">
      <c r="A363" s="147"/>
      <c r="B363" s="148"/>
      <c r="C363" s="147"/>
      <c r="D363" s="149"/>
      <c r="E363" s="87" t="str">
        <f t="shared" si="1"/>
        <v/>
      </c>
      <c r="F363" s="83" t="str">
        <f t="shared" si="2"/>
        <v/>
      </c>
      <c r="G363" s="85"/>
      <c r="H363" s="85" t="str">
        <f t="array" ref="H363">IF(G363="","",IFERROR(INDEX('Material Master'!$B$2:$B$201,IFERROR(MATCH(G363,'Material Master'!$F$2:$F$201,0),MATCH(G363,'Material Master'!$A$2:$A$201,0))),""))</f>
        <v/>
      </c>
      <c r="I363" s="85" t="str">
        <f t="array" ref="I363">IF(G363="","",IFERROR(INDEX('Material Master'!$C$2:$C$201,IFERROR(MATCH(G363,'Material Master'!$F$2:$F$201,0),MATCH(G363,'Material Master'!$A$2:$A$201,0))),""))</f>
        <v/>
      </c>
      <c r="J363" s="86" t="str">
        <f>IF(E363="","",SUMIFS('Stock Movement'!$F$2:$F$501,'Stock Movement'!$D$2:$D$501,E363,'Stock Movement'!$E$2:$E$501,"IN")-SUMIFS('Stock Movement'!$F$2:$F$501,'Stock Movement'!$D$2:$D$501,E363,'Stock Movement'!$E$2:$E$501,"OUT"))</f>
        <v/>
      </c>
      <c r="K363" s="87" t="str">
        <f t="array" ref="K363">IF(G363="","",IFERROR(INDEX('Material Master'!$D$2:$D$201,IFERROR(MATCH(G363,'Material Master'!$F$2:$F$201,0),MATCH(G363,'Material Master'!$A$2:$A$201,0))),""))</f>
        <v/>
      </c>
      <c r="L363" s="85"/>
      <c r="M363" s="85"/>
    </row>
    <row r="364" ht="15.75" customHeight="1">
      <c r="A364" s="150"/>
      <c r="B364" s="151"/>
      <c r="C364" s="150"/>
      <c r="D364" s="152"/>
      <c r="E364" s="77" t="str">
        <f t="shared" si="1"/>
        <v/>
      </c>
      <c r="F364" s="91" t="str">
        <f t="shared" si="2"/>
        <v/>
      </c>
      <c r="G364" s="69"/>
      <c r="H364" s="69" t="str">
        <f t="array" ref="H364">IF(G364="","",IFERROR(INDEX('Material Master'!$B$2:$B$201,IFERROR(MATCH(G364,'Material Master'!$F$2:$F$201,0),MATCH(G364,'Material Master'!$A$2:$A$201,0))),""))</f>
        <v/>
      </c>
      <c r="I364" s="69" t="str">
        <f t="array" ref="I364">IF(G364="","",IFERROR(INDEX('Material Master'!$C$2:$C$201,IFERROR(MATCH(G364,'Material Master'!$F$2:$F$201,0),MATCH(G364,'Material Master'!$A$2:$A$201,0))),""))</f>
        <v/>
      </c>
      <c r="J364" s="75" t="str">
        <f>IF(E364="","",SUMIFS('Stock Movement'!$F$2:$F$501,'Stock Movement'!$D$2:$D$501,E364,'Stock Movement'!$E$2:$E$501,"IN")-SUMIFS('Stock Movement'!$F$2:$F$501,'Stock Movement'!$D$2:$D$501,E364,'Stock Movement'!$E$2:$E$501,"OUT"))</f>
        <v/>
      </c>
      <c r="K364" s="77" t="str">
        <f t="array" ref="K364">IF(G364="","",IFERROR(INDEX('Material Master'!$D$2:$D$201,IFERROR(MATCH(G364,'Material Master'!$F$2:$F$201,0),MATCH(G364,'Material Master'!$A$2:$A$201,0))),""))</f>
        <v/>
      </c>
      <c r="L364" s="69"/>
      <c r="M364" s="69"/>
    </row>
    <row r="365" ht="15.75" customHeight="1">
      <c r="A365" s="147"/>
      <c r="B365" s="148"/>
      <c r="C365" s="147"/>
      <c r="D365" s="149"/>
      <c r="E365" s="87" t="str">
        <f t="shared" si="1"/>
        <v/>
      </c>
      <c r="F365" s="83" t="str">
        <f t="shared" si="2"/>
        <v/>
      </c>
      <c r="G365" s="85"/>
      <c r="H365" s="85" t="str">
        <f t="array" ref="H365">IF(G365="","",IFERROR(INDEX('Material Master'!$B$2:$B$201,IFERROR(MATCH(G365,'Material Master'!$F$2:$F$201,0),MATCH(G365,'Material Master'!$A$2:$A$201,0))),""))</f>
        <v/>
      </c>
      <c r="I365" s="85" t="str">
        <f t="array" ref="I365">IF(G365="","",IFERROR(INDEX('Material Master'!$C$2:$C$201,IFERROR(MATCH(G365,'Material Master'!$F$2:$F$201,0),MATCH(G365,'Material Master'!$A$2:$A$201,0))),""))</f>
        <v/>
      </c>
      <c r="J365" s="86" t="str">
        <f>IF(E365="","",SUMIFS('Stock Movement'!$F$2:$F$501,'Stock Movement'!$D$2:$D$501,E365,'Stock Movement'!$E$2:$E$501,"IN")-SUMIFS('Stock Movement'!$F$2:$F$501,'Stock Movement'!$D$2:$D$501,E365,'Stock Movement'!$E$2:$E$501,"OUT"))</f>
        <v/>
      </c>
      <c r="K365" s="87" t="str">
        <f t="array" ref="K365">IF(G365="","",IFERROR(INDEX('Material Master'!$D$2:$D$201,IFERROR(MATCH(G365,'Material Master'!$F$2:$F$201,0),MATCH(G365,'Material Master'!$A$2:$A$201,0))),""))</f>
        <v/>
      </c>
      <c r="L365" s="85"/>
      <c r="M365" s="85"/>
    </row>
    <row r="366" ht="15.75" customHeight="1">
      <c r="A366" s="150"/>
      <c r="B366" s="151"/>
      <c r="C366" s="150"/>
      <c r="D366" s="152"/>
      <c r="E366" s="77" t="str">
        <f t="shared" si="1"/>
        <v/>
      </c>
      <c r="F366" s="91" t="str">
        <f t="shared" si="2"/>
        <v/>
      </c>
      <c r="G366" s="69"/>
      <c r="H366" s="69" t="str">
        <f t="array" ref="H366">IF(G366="","",IFERROR(INDEX('Material Master'!$B$2:$B$201,IFERROR(MATCH(G366,'Material Master'!$F$2:$F$201,0),MATCH(G366,'Material Master'!$A$2:$A$201,0))),""))</f>
        <v/>
      </c>
      <c r="I366" s="69" t="str">
        <f t="array" ref="I366">IF(G366="","",IFERROR(INDEX('Material Master'!$C$2:$C$201,IFERROR(MATCH(G366,'Material Master'!$F$2:$F$201,0),MATCH(G366,'Material Master'!$A$2:$A$201,0))),""))</f>
        <v/>
      </c>
      <c r="J366" s="75" t="str">
        <f>IF(E366="","",SUMIFS('Stock Movement'!$F$2:$F$501,'Stock Movement'!$D$2:$D$501,E366,'Stock Movement'!$E$2:$E$501,"IN")-SUMIFS('Stock Movement'!$F$2:$F$501,'Stock Movement'!$D$2:$D$501,E366,'Stock Movement'!$E$2:$E$501,"OUT"))</f>
        <v/>
      </c>
      <c r="K366" s="77" t="str">
        <f t="array" ref="K366">IF(G366="","",IFERROR(INDEX('Material Master'!$D$2:$D$201,IFERROR(MATCH(G366,'Material Master'!$F$2:$F$201,0),MATCH(G366,'Material Master'!$A$2:$A$201,0))),""))</f>
        <v/>
      </c>
      <c r="L366" s="69"/>
      <c r="M366" s="69"/>
    </row>
    <row r="367" ht="15.75" customHeight="1">
      <c r="A367" s="147"/>
      <c r="B367" s="148"/>
      <c r="C367" s="147"/>
      <c r="D367" s="149"/>
      <c r="E367" s="87" t="str">
        <f t="shared" si="1"/>
        <v/>
      </c>
      <c r="F367" s="83" t="str">
        <f t="shared" si="2"/>
        <v/>
      </c>
      <c r="G367" s="85"/>
      <c r="H367" s="85" t="str">
        <f t="array" ref="H367">IF(G367="","",IFERROR(INDEX('Material Master'!$B$2:$B$201,IFERROR(MATCH(G367,'Material Master'!$F$2:$F$201,0),MATCH(G367,'Material Master'!$A$2:$A$201,0))),""))</f>
        <v/>
      </c>
      <c r="I367" s="85" t="str">
        <f t="array" ref="I367">IF(G367="","",IFERROR(INDEX('Material Master'!$C$2:$C$201,IFERROR(MATCH(G367,'Material Master'!$F$2:$F$201,0),MATCH(G367,'Material Master'!$A$2:$A$201,0))),""))</f>
        <v/>
      </c>
      <c r="J367" s="86" t="str">
        <f>IF(E367="","",SUMIFS('Stock Movement'!$F$2:$F$501,'Stock Movement'!$D$2:$D$501,E367,'Stock Movement'!$E$2:$E$501,"IN")-SUMIFS('Stock Movement'!$F$2:$F$501,'Stock Movement'!$D$2:$D$501,E367,'Stock Movement'!$E$2:$E$501,"OUT"))</f>
        <v/>
      </c>
      <c r="K367" s="87" t="str">
        <f t="array" ref="K367">IF(G367="","",IFERROR(INDEX('Material Master'!$D$2:$D$201,IFERROR(MATCH(G367,'Material Master'!$F$2:$F$201,0),MATCH(G367,'Material Master'!$A$2:$A$201,0))),""))</f>
        <v/>
      </c>
      <c r="L367" s="85"/>
      <c r="M367" s="85"/>
    </row>
    <row r="368" ht="15.75" customHeight="1">
      <c r="A368" s="150"/>
      <c r="B368" s="151"/>
      <c r="C368" s="150"/>
      <c r="D368" s="152"/>
      <c r="E368" s="77" t="str">
        <f t="shared" si="1"/>
        <v/>
      </c>
      <c r="F368" s="91" t="str">
        <f t="shared" si="2"/>
        <v/>
      </c>
      <c r="G368" s="69"/>
      <c r="H368" s="69" t="str">
        <f t="array" ref="H368">IF(G368="","",IFERROR(INDEX('Material Master'!$B$2:$B$201,IFERROR(MATCH(G368,'Material Master'!$F$2:$F$201,0),MATCH(G368,'Material Master'!$A$2:$A$201,0))),""))</f>
        <v/>
      </c>
      <c r="I368" s="69" t="str">
        <f t="array" ref="I368">IF(G368="","",IFERROR(INDEX('Material Master'!$C$2:$C$201,IFERROR(MATCH(G368,'Material Master'!$F$2:$F$201,0),MATCH(G368,'Material Master'!$A$2:$A$201,0))),""))</f>
        <v/>
      </c>
      <c r="J368" s="75" t="str">
        <f>IF(E368="","",SUMIFS('Stock Movement'!$F$2:$F$501,'Stock Movement'!$D$2:$D$501,E368,'Stock Movement'!$E$2:$E$501,"IN")-SUMIFS('Stock Movement'!$F$2:$F$501,'Stock Movement'!$D$2:$D$501,E368,'Stock Movement'!$E$2:$E$501,"OUT"))</f>
        <v/>
      </c>
      <c r="K368" s="77" t="str">
        <f t="array" ref="K368">IF(G368="","",IFERROR(INDEX('Material Master'!$D$2:$D$201,IFERROR(MATCH(G368,'Material Master'!$F$2:$F$201,0),MATCH(G368,'Material Master'!$A$2:$A$201,0))),""))</f>
        <v/>
      </c>
      <c r="L368" s="69"/>
      <c r="M368" s="69"/>
    </row>
    <row r="369" ht="15.75" customHeight="1">
      <c r="A369" s="147"/>
      <c r="B369" s="148"/>
      <c r="C369" s="147"/>
      <c r="D369" s="149"/>
      <c r="E369" s="87" t="str">
        <f t="shared" si="1"/>
        <v/>
      </c>
      <c r="F369" s="83" t="str">
        <f t="shared" si="2"/>
        <v/>
      </c>
      <c r="G369" s="85"/>
      <c r="H369" s="85" t="str">
        <f t="array" ref="H369">IF(G369="","",IFERROR(INDEX('Material Master'!$B$2:$B$201,IFERROR(MATCH(G369,'Material Master'!$F$2:$F$201,0),MATCH(G369,'Material Master'!$A$2:$A$201,0))),""))</f>
        <v/>
      </c>
      <c r="I369" s="85" t="str">
        <f t="array" ref="I369">IF(G369="","",IFERROR(INDEX('Material Master'!$C$2:$C$201,IFERROR(MATCH(G369,'Material Master'!$F$2:$F$201,0),MATCH(G369,'Material Master'!$A$2:$A$201,0))),""))</f>
        <v/>
      </c>
      <c r="J369" s="86" t="str">
        <f>IF(E369="","",SUMIFS('Stock Movement'!$F$2:$F$501,'Stock Movement'!$D$2:$D$501,E369,'Stock Movement'!$E$2:$E$501,"IN")-SUMIFS('Stock Movement'!$F$2:$F$501,'Stock Movement'!$D$2:$D$501,E369,'Stock Movement'!$E$2:$E$501,"OUT"))</f>
        <v/>
      </c>
      <c r="K369" s="87" t="str">
        <f t="array" ref="K369">IF(G369="","",IFERROR(INDEX('Material Master'!$D$2:$D$201,IFERROR(MATCH(G369,'Material Master'!$F$2:$F$201,0),MATCH(G369,'Material Master'!$A$2:$A$201,0))),""))</f>
        <v/>
      </c>
      <c r="L369" s="85"/>
      <c r="M369" s="85"/>
    </row>
    <row r="370" ht="15.75" customHeight="1">
      <c r="A370" s="150"/>
      <c r="B370" s="151"/>
      <c r="C370" s="150"/>
      <c r="D370" s="152"/>
      <c r="E370" s="77" t="str">
        <f t="shared" si="1"/>
        <v/>
      </c>
      <c r="F370" s="91" t="str">
        <f t="shared" si="2"/>
        <v/>
      </c>
      <c r="G370" s="69"/>
      <c r="H370" s="69" t="str">
        <f t="array" ref="H370">IF(G370="","",IFERROR(INDEX('Material Master'!$B$2:$B$201,IFERROR(MATCH(G370,'Material Master'!$F$2:$F$201,0),MATCH(G370,'Material Master'!$A$2:$A$201,0))),""))</f>
        <v/>
      </c>
      <c r="I370" s="69" t="str">
        <f t="array" ref="I370">IF(G370="","",IFERROR(INDEX('Material Master'!$C$2:$C$201,IFERROR(MATCH(G370,'Material Master'!$F$2:$F$201,0),MATCH(G370,'Material Master'!$A$2:$A$201,0))),""))</f>
        <v/>
      </c>
      <c r="J370" s="75" t="str">
        <f>IF(E370="","",SUMIFS('Stock Movement'!$F$2:$F$501,'Stock Movement'!$D$2:$D$501,E370,'Stock Movement'!$E$2:$E$501,"IN")-SUMIFS('Stock Movement'!$F$2:$F$501,'Stock Movement'!$D$2:$D$501,E370,'Stock Movement'!$E$2:$E$501,"OUT"))</f>
        <v/>
      </c>
      <c r="K370" s="77" t="str">
        <f t="array" ref="K370">IF(G370="","",IFERROR(INDEX('Material Master'!$D$2:$D$201,IFERROR(MATCH(G370,'Material Master'!$F$2:$F$201,0),MATCH(G370,'Material Master'!$A$2:$A$201,0))),""))</f>
        <v/>
      </c>
      <c r="L370" s="69"/>
      <c r="M370" s="69"/>
    </row>
    <row r="371" ht="15.75" customHeight="1">
      <c r="A371" s="147"/>
      <c r="B371" s="148"/>
      <c r="C371" s="147"/>
      <c r="D371" s="149"/>
      <c r="E371" s="87" t="str">
        <f t="shared" si="1"/>
        <v/>
      </c>
      <c r="F371" s="83" t="str">
        <f t="shared" si="2"/>
        <v/>
      </c>
      <c r="G371" s="85"/>
      <c r="H371" s="85" t="str">
        <f t="array" ref="H371">IF(G371="","",IFERROR(INDEX('Material Master'!$B$2:$B$201,IFERROR(MATCH(G371,'Material Master'!$F$2:$F$201,0),MATCH(G371,'Material Master'!$A$2:$A$201,0))),""))</f>
        <v/>
      </c>
      <c r="I371" s="85" t="str">
        <f t="array" ref="I371">IF(G371="","",IFERROR(INDEX('Material Master'!$C$2:$C$201,IFERROR(MATCH(G371,'Material Master'!$F$2:$F$201,0),MATCH(G371,'Material Master'!$A$2:$A$201,0))),""))</f>
        <v/>
      </c>
      <c r="J371" s="86" t="str">
        <f>IF(E371="","",SUMIFS('Stock Movement'!$F$2:$F$501,'Stock Movement'!$D$2:$D$501,E371,'Stock Movement'!$E$2:$E$501,"IN")-SUMIFS('Stock Movement'!$F$2:$F$501,'Stock Movement'!$D$2:$D$501,E371,'Stock Movement'!$E$2:$E$501,"OUT"))</f>
        <v/>
      </c>
      <c r="K371" s="87" t="str">
        <f t="array" ref="K371">IF(G371="","",IFERROR(INDEX('Material Master'!$D$2:$D$201,IFERROR(MATCH(G371,'Material Master'!$F$2:$F$201,0),MATCH(G371,'Material Master'!$A$2:$A$201,0))),""))</f>
        <v/>
      </c>
      <c r="L371" s="85"/>
      <c r="M371" s="85"/>
    </row>
    <row r="372" ht="15.75" customHeight="1">
      <c r="A372" s="150"/>
      <c r="B372" s="151"/>
      <c r="C372" s="150"/>
      <c r="D372" s="152"/>
      <c r="E372" s="77" t="str">
        <f t="shared" si="1"/>
        <v/>
      </c>
      <c r="F372" s="91" t="str">
        <f t="shared" si="2"/>
        <v/>
      </c>
      <c r="G372" s="69"/>
      <c r="H372" s="69" t="str">
        <f t="array" ref="H372">IF(G372="","",IFERROR(INDEX('Material Master'!$B$2:$B$201,IFERROR(MATCH(G372,'Material Master'!$F$2:$F$201,0),MATCH(G372,'Material Master'!$A$2:$A$201,0))),""))</f>
        <v/>
      </c>
      <c r="I372" s="69" t="str">
        <f t="array" ref="I372">IF(G372="","",IFERROR(INDEX('Material Master'!$C$2:$C$201,IFERROR(MATCH(G372,'Material Master'!$F$2:$F$201,0),MATCH(G372,'Material Master'!$A$2:$A$201,0))),""))</f>
        <v/>
      </c>
      <c r="J372" s="75" t="str">
        <f>IF(E372="","",SUMIFS('Stock Movement'!$F$2:$F$501,'Stock Movement'!$D$2:$D$501,E372,'Stock Movement'!$E$2:$E$501,"IN")-SUMIFS('Stock Movement'!$F$2:$F$501,'Stock Movement'!$D$2:$D$501,E372,'Stock Movement'!$E$2:$E$501,"OUT"))</f>
        <v/>
      </c>
      <c r="K372" s="77" t="str">
        <f t="array" ref="K372">IF(G372="","",IFERROR(INDEX('Material Master'!$D$2:$D$201,IFERROR(MATCH(G372,'Material Master'!$F$2:$F$201,0),MATCH(G372,'Material Master'!$A$2:$A$201,0))),""))</f>
        <v/>
      </c>
      <c r="L372" s="69"/>
      <c r="M372" s="69"/>
    </row>
    <row r="373" ht="15.75" customHeight="1">
      <c r="A373" s="147"/>
      <c r="B373" s="148"/>
      <c r="C373" s="147"/>
      <c r="D373" s="149"/>
      <c r="E373" s="87" t="str">
        <f t="shared" si="1"/>
        <v/>
      </c>
      <c r="F373" s="83" t="str">
        <f t="shared" si="2"/>
        <v/>
      </c>
      <c r="G373" s="85"/>
      <c r="H373" s="85" t="str">
        <f t="array" ref="H373">IF(G373="","",IFERROR(INDEX('Material Master'!$B$2:$B$201,IFERROR(MATCH(G373,'Material Master'!$F$2:$F$201,0),MATCH(G373,'Material Master'!$A$2:$A$201,0))),""))</f>
        <v/>
      </c>
      <c r="I373" s="85" t="str">
        <f t="array" ref="I373">IF(G373="","",IFERROR(INDEX('Material Master'!$C$2:$C$201,IFERROR(MATCH(G373,'Material Master'!$F$2:$F$201,0),MATCH(G373,'Material Master'!$A$2:$A$201,0))),""))</f>
        <v/>
      </c>
      <c r="J373" s="86" t="str">
        <f>IF(E373="","",SUMIFS('Stock Movement'!$F$2:$F$501,'Stock Movement'!$D$2:$D$501,E373,'Stock Movement'!$E$2:$E$501,"IN")-SUMIFS('Stock Movement'!$F$2:$F$501,'Stock Movement'!$D$2:$D$501,E373,'Stock Movement'!$E$2:$E$501,"OUT"))</f>
        <v/>
      </c>
      <c r="K373" s="87" t="str">
        <f t="array" ref="K373">IF(G373="","",IFERROR(INDEX('Material Master'!$D$2:$D$201,IFERROR(MATCH(G373,'Material Master'!$F$2:$F$201,0),MATCH(G373,'Material Master'!$A$2:$A$201,0))),""))</f>
        <v/>
      </c>
      <c r="L373" s="85"/>
      <c r="M373" s="85"/>
    </row>
    <row r="374" ht="15.75" customHeight="1">
      <c r="A374" s="150"/>
      <c r="B374" s="151"/>
      <c r="C374" s="150"/>
      <c r="D374" s="152"/>
      <c r="E374" s="77" t="str">
        <f t="shared" si="1"/>
        <v/>
      </c>
      <c r="F374" s="91" t="str">
        <f t="shared" si="2"/>
        <v/>
      </c>
      <c r="G374" s="69"/>
      <c r="H374" s="69" t="str">
        <f t="array" ref="H374">IF(G374="","",IFERROR(INDEX('Material Master'!$B$2:$B$201,IFERROR(MATCH(G374,'Material Master'!$F$2:$F$201,0),MATCH(G374,'Material Master'!$A$2:$A$201,0))),""))</f>
        <v/>
      </c>
      <c r="I374" s="69" t="str">
        <f t="array" ref="I374">IF(G374="","",IFERROR(INDEX('Material Master'!$C$2:$C$201,IFERROR(MATCH(G374,'Material Master'!$F$2:$F$201,0),MATCH(G374,'Material Master'!$A$2:$A$201,0))),""))</f>
        <v/>
      </c>
      <c r="J374" s="75" t="str">
        <f>IF(E374="","",SUMIFS('Stock Movement'!$F$2:$F$501,'Stock Movement'!$D$2:$D$501,E374,'Stock Movement'!$E$2:$E$501,"IN")-SUMIFS('Stock Movement'!$F$2:$F$501,'Stock Movement'!$D$2:$D$501,E374,'Stock Movement'!$E$2:$E$501,"OUT"))</f>
        <v/>
      </c>
      <c r="K374" s="77" t="str">
        <f t="array" ref="K374">IF(G374="","",IFERROR(INDEX('Material Master'!$D$2:$D$201,IFERROR(MATCH(G374,'Material Master'!$F$2:$F$201,0),MATCH(G374,'Material Master'!$A$2:$A$201,0))),""))</f>
        <v/>
      </c>
      <c r="L374" s="69"/>
      <c r="M374" s="69"/>
    </row>
    <row r="375" ht="15.75" customHeight="1">
      <c r="A375" s="147"/>
      <c r="B375" s="148"/>
      <c r="C375" s="147"/>
      <c r="D375" s="149"/>
      <c r="E375" s="87" t="str">
        <f t="shared" si="1"/>
        <v/>
      </c>
      <c r="F375" s="83" t="str">
        <f t="shared" si="2"/>
        <v/>
      </c>
      <c r="G375" s="85"/>
      <c r="H375" s="85" t="str">
        <f t="array" ref="H375">IF(G375="","",IFERROR(INDEX('Material Master'!$B$2:$B$201,IFERROR(MATCH(G375,'Material Master'!$F$2:$F$201,0),MATCH(G375,'Material Master'!$A$2:$A$201,0))),""))</f>
        <v/>
      </c>
      <c r="I375" s="85" t="str">
        <f t="array" ref="I375">IF(G375="","",IFERROR(INDEX('Material Master'!$C$2:$C$201,IFERROR(MATCH(G375,'Material Master'!$F$2:$F$201,0),MATCH(G375,'Material Master'!$A$2:$A$201,0))),""))</f>
        <v/>
      </c>
      <c r="J375" s="86" t="str">
        <f>IF(E375="","",SUMIFS('Stock Movement'!$F$2:$F$501,'Stock Movement'!$D$2:$D$501,E375,'Stock Movement'!$E$2:$E$501,"IN")-SUMIFS('Stock Movement'!$F$2:$F$501,'Stock Movement'!$D$2:$D$501,E375,'Stock Movement'!$E$2:$E$501,"OUT"))</f>
        <v/>
      </c>
      <c r="K375" s="87" t="str">
        <f t="array" ref="K375">IF(G375="","",IFERROR(INDEX('Material Master'!$D$2:$D$201,IFERROR(MATCH(G375,'Material Master'!$F$2:$F$201,0),MATCH(G375,'Material Master'!$A$2:$A$201,0))),""))</f>
        <v/>
      </c>
      <c r="L375" s="85"/>
      <c r="M375" s="85"/>
    </row>
    <row r="376" ht="15.75" customHeight="1">
      <c r="A376" s="150"/>
      <c r="B376" s="151"/>
      <c r="C376" s="150"/>
      <c r="D376" s="152"/>
      <c r="E376" s="77" t="str">
        <f t="shared" si="1"/>
        <v/>
      </c>
      <c r="F376" s="91" t="str">
        <f t="shared" si="2"/>
        <v/>
      </c>
      <c r="G376" s="69"/>
      <c r="H376" s="69" t="str">
        <f t="array" ref="H376">IF(G376="","",IFERROR(INDEX('Material Master'!$B$2:$B$201,IFERROR(MATCH(G376,'Material Master'!$F$2:$F$201,0),MATCH(G376,'Material Master'!$A$2:$A$201,0))),""))</f>
        <v/>
      </c>
      <c r="I376" s="69" t="str">
        <f t="array" ref="I376">IF(G376="","",IFERROR(INDEX('Material Master'!$C$2:$C$201,IFERROR(MATCH(G376,'Material Master'!$F$2:$F$201,0),MATCH(G376,'Material Master'!$A$2:$A$201,0))),""))</f>
        <v/>
      </c>
      <c r="J376" s="75" t="str">
        <f>IF(E376="","",SUMIFS('Stock Movement'!$F$2:$F$501,'Stock Movement'!$D$2:$D$501,E376,'Stock Movement'!$E$2:$E$501,"IN")-SUMIFS('Stock Movement'!$F$2:$F$501,'Stock Movement'!$D$2:$D$501,E376,'Stock Movement'!$E$2:$E$501,"OUT"))</f>
        <v/>
      </c>
      <c r="K376" s="77" t="str">
        <f t="array" ref="K376">IF(G376="","",IFERROR(INDEX('Material Master'!$D$2:$D$201,IFERROR(MATCH(G376,'Material Master'!$F$2:$F$201,0),MATCH(G376,'Material Master'!$A$2:$A$201,0))),""))</f>
        <v/>
      </c>
      <c r="L376" s="69"/>
      <c r="M376" s="69"/>
    </row>
    <row r="377" ht="15.75" customHeight="1">
      <c r="A377" s="147"/>
      <c r="B377" s="148"/>
      <c r="C377" s="147"/>
      <c r="D377" s="149"/>
      <c r="E377" s="87" t="str">
        <f t="shared" si="1"/>
        <v/>
      </c>
      <c r="F377" s="83" t="str">
        <f t="shared" si="2"/>
        <v/>
      </c>
      <c r="G377" s="85"/>
      <c r="H377" s="85" t="str">
        <f t="array" ref="H377">IF(G377="","",IFERROR(INDEX('Material Master'!$B$2:$B$201,IFERROR(MATCH(G377,'Material Master'!$F$2:$F$201,0),MATCH(G377,'Material Master'!$A$2:$A$201,0))),""))</f>
        <v/>
      </c>
      <c r="I377" s="85" t="str">
        <f t="array" ref="I377">IF(G377="","",IFERROR(INDEX('Material Master'!$C$2:$C$201,IFERROR(MATCH(G377,'Material Master'!$F$2:$F$201,0),MATCH(G377,'Material Master'!$A$2:$A$201,0))),""))</f>
        <v/>
      </c>
      <c r="J377" s="86" t="str">
        <f>IF(E377="","",SUMIFS('Stock Movement'!$F$2:$F$501,'Stock Movement'!$D$2:$D$501,E377,'Stock Movement'!$E$2:$E$501,"IN")-SUMIFS('Stock Movement'!$F$2:$F$501,'Stock Movement'!$D$2:$D$501,E377,'Stock Movement'!$E$2:$E$501,"OUT"))</f>
        <v/>
      </c>
      <c r="K377" s="87" t="str">
        <f t="array" ref="K377">IF(G377="","",IFERROR(INDEX('Material Master'!$D$2:$D$201,IFERROR(MATCH(G377,'Material Master'!$F$2:$F$201,0),MATCH(G377,'Material Master'!$A$2:$A$201,0))),""))</f>
        <v/>
      </c>
      <c r="L377" s="85"/>
      <c r="M377" s="85"/>
    </row>
    <row r="378" ht="15.75" customHeight="1">
      <c r="A378" s="150"/>
      <c r="B378" s="151"/>
      <c r="C378" s="150"/>
      <c r="D378" s="152"/>
      <c r="E378" s="77" t="str">
        <f t="shared" si="1"/>
        <v/>
      </c>
      <c r="F378" s="91" t="str">
        <f t="shared" si="2"/>
        <v/>
      </c>
      <c r="G378" s="69"/>
      <c r="H378" s="69" t="str">
        <f t="array" ref="H378">IF(G378="","",IFERROR(INDEX('Material Master'!$B$2:$B$201,IFERROR(MATCH(G378,'Material Master'!$F$2:$F$201,0),MATCH(G378,'Material Master'!$A$2:$A$201,0))),""))</f>
        <v/>
      </c>
      <c r="I378" s="69" t="str">
        <f t="array" ref="I378">IF(G378="","",IFERROR(INDEX('Material Master'!$C$2:$C$201,IFERROR(MATCH(G378,'Material Master'!$F$2:$F$201,0),MATCH(G378,'Material Master'!$A$2:$A$201,0))),""))</f>
        <v/>
      </c>
      <c r="J378" s="75" t="str">
        <f>IF(E378="","",SUMIFS('Stock Movement'!$F$2:$F$501,'Stock Movement'!$D$2:$D$501,E378,'Stock Movement'!$E$2:$E$501,"IN")-SUMIFS('Stock Movement'!$F$2:$F$501,'Stock Movement'!$D$2:$D$501,E378,'Stock Movement'!$E$2:$E$501,"OUT"))</f>
        <v/>
      </c>
      <c r="K378" s="77" t="str">
        <f t="array" ref="K378">IF(G378="","",IFERROR(INDEX('Material Master'!$D$2:$D$201,IFERROR(MATCH(G378,'Material Master'!$F$2:$F$201,0),MATCH(G378,'Material Master'!$A$2:$A$201,0))),""))</f>
        <v/>
      </c>
      <c r="L378" s="69"/>
      <c r="M378" s="69"/>
    </row>
    <row r="379" ht="15.75" customHeight="1">
      <c r="A379" s="147"/>
      <c r="B379" s="148"/>
      <c r="C379" s="147"/>
      <c r="D379" s="149"/>
      <c r="E379" s="87" t="str">
        <f t="shared" si="1"/>
        <v/>
      </c>
      <c r="F379" s="83" t="str">
        <f t="shared" si="2"/>
        <v/>
      </c>
      <c r="G379" s="85"/>
      <c r="H379" s="85" t="str">
        <f t="array" ref="H379">IF(G379="","",IFERROR(INDEX('Material Master'!$B$2:$B$201,IFERROR(MATCH(G379,'Material Master'!$F$2:$F$201,0),MATCH(G379,'Material Master'!$A$2:$A$201,0))),""))</f>
        <v/>
      </c>
      <c r="I379" s="85" t="str">
        <f t="array" ref="I379">IF(G379="","",IFERROR(INDEX('Material Master'!$C$2:$C$201,IFERROR(MATCH(G379,'Material Master'!$F$2:$F$201,0),MATCH(G379,'Material Master'!$A$2:$A$201,0))),""))</f>
        <v/>
      </c>
      <c r="J379" s="86" t="str">
        <f>IF(E379="","",SUMIFS('Stock Movement'!$F$2:$F$501,'Stock Movement'!$D$2:$D$501,E379,'Stock Movement'!$E$2:$E$501,"IN")-SUMIFS('Stock Movement'!$F$2:$F$501,'Stock Movement'!$D$2:$D$501,E379,'Stock Movement'!$E$2:$E$501,"OUT"))</f>
        <v/>
      </c>
      <c r="K379" s="87" t="str">
        <f t="array" ref="K379">IF(G379="","",IFERROR(INDEX('Material Master'!$D$2:$D$201,IFERROR(MATCH(G379,'Material Master'!$F$2:$F$201,0),MATCH(G379,'Material Master'!$A$2:$A$201,0))),""))</f>
        <v/>
      </c>
      <c r="L379" s="85"/>
      <c r="M379" s="85"/>
    </row>
    <row r="380" ht="15.75" customHeight="1">
      <c r="A380" s="150"/>
      <c r="B380" s="151"/>
      <c r="C380" s="150"/>
      <c r="D380" s="152"/>
      <c r="E380" s="77" t="str">
        <f t="shared" si="1"/>
        <v/>
      </c>
      <c r="F380" s="91" t="str">
        <f t="shared" si="2"/>
        <v/>
      </c>
      <c r="G380" s="69"/>
      <c r="H380" s="69" t="str">
        <f t="array" ref="H380">IF(G380="","",IFERROR(INDEX('Material Master'!$B$2:$B$201,IFERROR(MATCH(G380,'Material Master'!$F$2:$F$201,0),MATCH(G380,'Material Master'!$A$2:$A$201,0))),""))</f>
        <v/>
      </c>
      <c r="I380" s="69" t="str">
        <f t="array" ref="I380">IF(G380="","",IFERROR(INDEX('Material Master'!$C$2:$C$201,IFERROR(MATCH(G380,'Material Master'!$F$2:$F$201,0),MATCH(G380,'Material Master'!$A$2:$A$201,0))),""))</f>
        <v/>
      </c>
      <c r="J380" s="75" t="str">
        <f>IF(E380="","",SUMIFS('Stock Movement'!$F$2:$F$501,'Stock Movement'!$D$2:$D$501,E380,'Stock Movement'!$E$2:$E$501,"IN")-SUMIFS('Stock Movement'!$F$2:$F$501,'Stock Movement'!$D$2:$D$501,E380,'Stock Movement'!$E$2:$E$501,"OUT"))</f>
        <v/>
      </c>
      <c r="K380" s="77" t="str">
        <f t="array" ref="K380">IF(G380="","",IFERROR(INDEX('Material Master'!$D$2:$D$201,IFERROR(MATCH(G380,'Material Master'!$F$2:$F$201,0),MATCH(G380,'Material Master'!$A$2:$A$201,0))),""))</f>
        <v/>
      </c>
      <c r="L380" s="69"/>
      <c r="M380" s="69"/>
    </row>
    <row r="381" ht="15.75" customHeight="1">
      <c r="A381" s="147"/>
      <c r="B381" s="148"/>
      <c r="C381" s="147"/>
      <c r="D381" s="149"/>
      <c r="E381" s="87" t="str">
        <f t="shared" si="1"/>
        <v/>
      </c>
      <c r="F381" s="83" t="str">
        <f t="shared" si="2"/>
        <v/>
      </c>
      <c r="G381" s="85"/>
      <c r="H381" s="85" t="str">
        <f t="array" ref="H381">IF(G381="","",IFERROR(INDEX('Material Master'!$B$2:$B$201,IFERROR(MATCH(G381,'Material Master'!$F$2:$F$201,0),MATCH(G381,'Material Master'!$A$2:$A$201,0))),""))</f>
        <v/>
      </c>
      <c r="I381" s="85" t="str">
        <f t="array" ref="I381">IF(G381="","",IFERROR(INDEX('Material Master'!$C$2:$C$201,IFERROR(MATCH(G381,'Material Master'!$F$2:$F$201,0),MATCH(G381,'Material Master'!$A$2:$A$201,0))),""))</f>
        <v/>
      </c>
      <c r="J381" s="86" t="str">
        <f>IF(E381="","",SUMIFS('Stock Movement'!$F$2:$F$501,'Stock Movement'!$D$2:$D$501,E381,'Stock Movement'!$E$2:$E$501,"IN")-SUMIFS('Stock Movement'!$F$2:$F$501,'Stock Movement'!$D$2:$D$501,E381,'Stock Movement'!$E$2:$E$501,"OUT"))</f>
        <v/>
      </c>
      <c r="K381" s="87" t="str">
        <f t="array" ref="K381">IF(G381="","",IFERROR(INDEX('Material Master'!$D$2:$D$201,IFERROR(MATCH(G381,'Material Master'!$F$2:$F$201,0),MATCH(G381,'Material Master'!$A$2:$A$201,0))),""))</f>
        <v/>
      </c>
      <c r="L381" s="85"/>
      <c r="M381" s="85"/>
    </row>
    <row r="382" ht="15.75" customHeight="1">
      <c r="A382" s="150"/>
      <c r="B382" s="151"/>
      <c r="C382" s="150"/>
      <c r="D382" s="152"/>
      <c r="E382" s="77" t="str">
        <f t="shared" si="1"/>
        <v/>
      </c>
      <c r="F382" s="91" t="str">
        <f t="shared" si="2"/>
        <v/>
      </c>
      <c r="G382" s="69"/>
      <c r="H382" s="69" t="str">
        <f t="array" ref="H382">IF(G382="","",IFERROR(INDEX('Material Master'!$B$2:$B$201,IFERROR(MATCH(G382,'Material Master'!$F$2:$F$201,0),MATCH(G382,'Material Master'!$A$2:$A$201,0))),""))</f>
        <v/>
      </c>
      <c r="I382" s="69" t="str">
        <f t="array" ref="I382">IF(G382="","",IFERROR(INDEX('Material Master'!$C$2:$C$201,IFERROR(MATCH(G382,'Material Master'!$F$2:$F$201,0),MATCH(G382,'Material Master'!$A$2:$A$201,0))),""))</f>
        <v/>
      </c>
      <c r="J382" s="75" t="str">
        <f>IF(E382="","",SUMIFS('Stock Movement'!$F$2:$F$501,'Stock Movement'!$D$2:$D$501,E382,'Stock Movement'!$E$2:$E$501,"IN")-SUMIFS('Stock Movement'!$F$2:$F$501,'Stock Movement'!$D$2:$D$501,E382,'Stock Movement'!$E$2:$E$501,"OUT"))</f>
        <v/>
      </c>
      <c r="K382" s="77" t="str">
        <f t="array" ref="K382">IF(G382="","",IFERROR(INDEX('Material Master'!$D$2:$D$201,IFERROR(MATCH(G382,'Material Master'!$F$2:$F$201,0),MATCH(G382,'Material Master'!$A$2:$A$201,0))),""))</f>
        <v/>
      </c>
      <c r="L382" s="69"/>
      <c r="M382" s="69"/>
    </row>
    <row r="383" ht="15.75" customHeight="1">
      <c r="A383" s="147"/>
      <c r="B383" s="148"/>
      <c r="C383" s="147"/>
      <c r="D383" s="149"/>
      <c r="E383" s="87" t="str">
        <f t="shared" si="1"/>
        <v/>
      </c>
      <c r="F383" s="83" t="str">
        <f t="shared" si="2"/>
        <v/>
      </c>
      <c r="G383" s="85"/>
      <c r="H383" s="85" t="str">
        <f t="array" ref="H383">IF(G383="","",IFERROR(INDEX('Material Master'!$B$2:$B$201,IFERROR(MATCH(G383,'Material Master'!$F$2:$F$201,0),MATCH(G383,'Material Master'!$A$2:$A$201,0))),""))</f>
        <v/>
      </c>
      <c r="I383" s="85" t="str">
        <f t="array" ref="I383">IF(G383="","",IFERROR(INDEX('Material Master'!$C$2:$C$201,IFERROR(MATCH(G383,'Material Master'!$F$2:$F$201,0),MATCH(G383,'Material Master'!$A$2:$A$201,0))),""))</f>
        <v/>
      </c>
      <c r="J383" s="86" t="str">
        <f>IF(E383="","",SUMIFS('Stock Movement'!$F$2:$F$501,'Stock Movement'!$D$2:$D$501,E383,'Stock Movement'!$E$2:$E$501,"IN")-SUMIFS('Stock Movement'!$F$2:$F$501,'Stock Movement'!$D$2:$D$501,E383,'Stock Movement'!$E$2:$E$501,"OUT"))</f>
        <v/>
      </c>
      <c r="K383" s="87" t="str">
        <f t="array" ref="K383">IF(G383="","",IFERROR(INDEX('Material Master'!$D$2:$D$201,IFERROR(MATCH(G383,'Material Master'!$F$2:$F$201,0),MATCH(G383,'Material Master'!$A$2:$A$201,0))),""))</f>
        <v/>
      </c>
      <c r="L383" s="85"/>
      <c r="M383" s="85"/>
    </row>
    <row r="384" ht="15.75" customHeight="1">
      <c r="A384" s="150"/>
      <c r="B384" s="151"/>
      <c r="C384" s="150"/>
      <c r="D384" s="152"/>
      <c r="E384" s="77" t="str">
        <f t="shared" si="1"/>
        <v/>
      </c>
      <c r="F384" s="91" t="str">
        <f t="shared" si="2"/>
        <v/>
      </c>
      <c r="G384" s="69"/>
      <c r="H384" s="69" t="str">
        <f t="array" ref="H384">IF(G384="","",IFERROR(INDEX('Material Master'!$B$2:$B$201,IFERROR(MATCH(G384,'Material Master'!$F$2:$F$201,0),MATCH(G384,'Material Master'!$A$2:$A$201,0))),""))</f>
        <v/>
      </c>
      <c r="I384" s="69" t="str">
        <f t="array" ref="I384">IF(G384="","",IFERROR(INDEX('Material Master'!$C$2:$C$201,IFERROR(MATCH(G384,'Material Master'!$F$2:$F$201,0),MATCH(G384,'Material Master'!$A$2:$A$201,0))),""))</f>
        <v/>
      </c>
      <c r="J384" s="75" t="str">
        <f>IF(E384="","",SUMIFS('Stock Movement'!$F$2:$F$501,'Stock Movement'!$D$2:$D$501,E384,'Stock Movement'!$E$2:$E$501,"IN")-SUMIFS('Stock Movement'!$F$2:$F$501,'Stock Movement'!$D$2:$D$501,E384,'Stock Movement'!$E$2:$E$501,"OUT"))</f>
        <v/>
      </c>
      <c r="K384" s="77" t="str">
        <f t="array" ref="K384">IF(G384="","",IFERROR(INDEX('Material Master'!$D$2:$D$201,IFERROR(MATCH(G384,'Material Master'!$F$2:$F$201,0),MATCH(G384,'Material Master'!$A$2:$A$201,0))),""))</f>
        <v/>
      </c>
      <c r="L384" s="69"/>
      <c r="M384" s="69"/>
    </row>
    <row r="385" ht="15.75" customHeight="1">
      <c r="A385" s="147"/>
      <c r="B385" s="148"/>
      <c r="C385" s="147"/>
      <c r="D385" s="149"/>
      <c r="E385" s="87" t="str">
        <f t="shared" si="1"/>
        <v/>
      </c>
      <c r="F385" s="83" t="str">
        <f t="shared" si="2"/>
        <v/>
      </c>
      <c r="G385" s="85"/>
      <c r="H385" s="85" t="str">
        <f t="array" ref="H385">IF(G385="","",IFERROR(INDEX('Material Master'!$B$2:$B$201,IFERROR(MATCH(G385,'Material Master'!$F$2:$F$201,0),MATCH(G385,'Material Master'!$A$2:$A$201,0))),""))</f>
        <v/>
      </c>
      <c r="I385" s="85" t="str">
        <f t="array" ref="I385">IF(G385="","",IFERROR(INDEX('Material Master'!$C$2:$C$201,IFERROR(MATCH(G385,'Material Master'!$F$2:$F$201,0),MATCH(G385,'Material Master'!$A$2:$A$201,0))),""))</f>
        <v/>
      </c>
      <c r="J385" s="86" t="str">
        <f>IF(E385="","",SUMIFS('Stock Movement'!$F$2:$F$501,'Stock Movement'!$D$2:$D$501,E385,'Stock Movement'!$E$2:$E$501,"IN")-SUMIFS('Stock Movement'!$F$2:$F$501,'Stock Movement'!$D$2:$D$501,E385,'Stock Movement'!$E$2:$E$501,"OUT"))</f>
        <v/>
      </c>
      <c r="K385" s="87" t="str">
        <f t="array" ref="K385">IF(G385="","",IFERROR(INDEX('Material Master'!$D$2:$D$201,IFERROR(MATCH(G385,'Material Master'!$F$2:$F$201,0),MATCH(G385,'Material Master'!$A$2:$A$201,0))),""))</f>
        <v/>
      </c>
      <c r="L385" s="85"/>
      <c r="M385" s="85"/>
    </row>
    <row r="386" ht="15.75" customHeight="1">
      <c r="A386" s="150"/>
      <c r="B386" s="151"/>
      <c r="C386" s="150"/>
      <c r="D386" s="152"/>
      <c r="E386" s="77" t="str">
        <f t="shared" si="1"/>
        <v/>
      </c>
      <c r="F386" s="91" t="str">
        <f t="shared" si="2"/>
        <v/>
      </c>
      <c r="G386" s="69"/>
      <c r="H386" s="69" t="str">
        <f t="array" ref="H386">IF(G386="","",IFERROR(INDEX('Material Master'!$B$2:$B$201,IFERROR(MATCH(G386,'Material Master'!$F$2:$F$201,0),MATCH(G386,'Material Master'!$A$2:$A$201,0))),""))</f>
        <v/>
      </c>
      <c r="I386" s="69" t="str">
        <f t="array" ref="I386">IF(G386="","",IFERROR(INDEX('Material Master'!$C$2:$C$201,IFERROR(MATCH(G386,'Material Master'!$F$2:$F$201,0),MATCH(G386,'Material Master'!$A$2:$A$201,0))),""))</f>
        <v/>
      </c>
      <c r="J386" s="75" t="str">
        <f>IF(E386="","",SUMIFS('Stock Movement'!$F$2:$F$501,'Stock Movement'!$D$2:$D$501,E386,'Stock Movement'!$E$2:$E$501,"IN")-SUMIFS('Stock Movement'!$F$2:$F$501,'Stock Movement'!$D$2:$D$501,E386,'Stock Movement'!$E$2:$E$501,"OUT"))</f>
        <v/>
      </c>
      <c r="K386" s="77" t="str">
        <f t="array" ref="K386">IF(G386="","",IFERROR(INDEX('Material Master'!$D$2:$D$201,IFERROR(MATCH(G386,'Material Master'!$F$2:$F$201,0),MATCH(G386,'Material Master'!$A$2:$A$201,0))),""))</f>
        <v/>
      </c>
      <c r="L386" s="69"/>
      <c r="M386" s="69"/>
    </row>
    <row r="387" ht="15.75" customHeight="1">
      <c r="A387" s="147"/>
      <c r="B387" s="148"/>
      <c r="C387" s="147"/>
      <c r="D387" s="149"/>
      <c r="E387" s="87" t="str">
        <f t="shared" si="1"/>
        <v/>
      </c>
      <c r="F387" s="83" t="str">
        <f t="shared" si="2"/>
        <v/>
      </c>
      <c r="G387" s="85"/>
      <c r="H387" s="85" t="str">
        <f t="array" ref="H387">IF(G387="","",IFERROR(INDEX('Material Master'!$B$2:$B$201,IFERROR(MATCH(G387,'Material Master'!$F$2:$F$201,0),MATCH(G387,'Material Master'!$A$2:$A$201,0))),""))</f>
        <v/>
      </c>
      <c r="I387" s="85" t="str">
        <f t="array" ref="I387">IF(G387="","",IFERROR(INDEX('Material Master'!$C$2:$C$201,IFERROR(MATCH(G387,'Material Master'!$F$2:$F$201,0),MATCH(G387,'Material Master'!$A$2:$A$201,0))),""))</f>
        <v/>
      </c>
      <c r="J387" s="86" t="str">
        <f>IF(E387="","",SUMIFS('Stock Movement'!$F$2:$F$501,'Stock Movement'!$D$2:$D$501,E387,'Stock Movement'!$E$2:$E$501,"IN")-SUMIFS('Stock Movement'!$F$2:$F$501,'Stock Movement'!$D$2:$D$501,E387,'Stock Movement'!$E$2:$E$501,"OUT"))</f>
        <v/>
      </c>
      <c r="K387" s="87" t="str">
        <f t="array" ref="K387">IF(G387="","",IFERROR(INDEX('Material Master'!$D$2:$D$201,IFERROR(MATCH(G387,'Material Master'!$F$2:$F$201,0),MATCH(G387,'Material Master'!$A$2:$A$201,0))),""))</f>
        <v/>
      </c>
      <c r="L387" s="85"/>
      <c r="M387" s="85"/>
    </row>
    <row r="388" ht="15.75" customHeight="1">
      <c r="A388" s="150"/>
      <c r="B388" s="151"/>
      <c r="C388" s="150"/>
      <c r="D388" s="152"/>
      <c r="E388" s="77" t="str">
        <f t="shared" si="1"/>
        <v/>
      </c>
      <c r="F388" s="91" t="str">
        <f t="shared" si="2"/>
        <v/>
      </c>
      <c r="G388" s="69"/>
      <c r="H388" s="69" t="str">
        <f t="array" ref="H388">IF(G388="","",IFERROR(INDEX('Material Master'!$B$2:$B$201,IFERROR(MATCH(G388,'Material Master'!$F$2:$F$201,0),MATCH(G388,'Material Master'!$A$2:$A$201,0))),""))</f>
        <v/>
      </c>
      <c r="I388" s="69" t="str">
        <f t="array" ref="I388">IF(G388="","",IFERROR(INDEX('Material Master'!$C$2:$C$201,IFERROR(MATCH(G388,'Material Master'!$F$2:$F$201,0),MATCH(G388,'Material Master'!$A$2:$A$201,0))),""))</f>
        <v/>
      </c>
      <c r="J388" s="75" t="str">
        <f>IF(E388="","",SUMIFS('Stock Movement'!$F$2:$F$501,'Stock Movement'!$D$2:$D$501,E388,'Stock Movement'!$E$2:$E$501,"IN")-SUMIFS('Stock Movement'!$F$2:$F$501,'Stock Movement'!$D$2:$D$501,E388,'Stock Movement'!$E$2:$E$501,"OUT"))</f>
        <v/>
      </c>
      <c r="K388" s="77" t="str">
        <f t="array" ref="K388">IF(G388="","",IFERROR(INDEX('Material Master'!$D$2:$D$201,IFERROR(MATCH(G388,'Material Master'!$F$2:$F$201,0),MATCH(G388,'Material Master'!$A$2:$A$201,0))),""))</f>
        <v/>
      </c>
      <c r="L388" s="69"/>
      <c r="M388" s="69"/>
    </row>
    <row r="389" ht="15.75" customHeight="1">
      <c r="A389" s="147"/>
      <c r="B389" s="148"/>
      <c r="C389" s="147"/>
      <c r="D389" s="149"/>
      <c r="E389" s="87" t="str">
        <f t="shared" si="1"/>
        <v/>
      </c>
      <c r="F389" s="83" t="str">
        <f t="shared" si="2"/>
        <v/>
      </c>
      <c r="G389" s="85"/>
      <c r="H389" s="85" t="str">
        <f t="array" ref="H389">IF(G389="","",IFERROR(INDEX('Material Master'!$B$2:$B$201,IFERROR(MATCH(G389,'Material Master'!$F$2:$F$201,0),MATCH(G389,'Material Master'!$A$2:$A$201,0))),""))</f>
        <v/>
      </c>
      <c r="I389" s="85" t="str">
        <f t="array" ref="I389">IF(G389="","",IFERROR(INDEX('Material Master'!$C$2:$C$201,IFERROR(MATCH(G389,'Material Master'!$F$2:$F$201,0),MATCH(G389,'Material Master'!$A$2:$A$201,0))),""))</f>
        <v/>
      </c>
      <c r="J389" s="86" t="str">
        <f>IF(E389="","",SUMIFS('Stock Movement'!$F$2:$F$501,'Stock Movement'!$D$2:$D$501,E389,'Stock Movement'!$E$2:$E$501,"IN")-SUMIFS('Stock Movement'!$F$2:$F$501,'Stock Movement'!$D$2:$D$501,E389,'Stock Movement'!$E$2:$E$501,"OUT"))</f>
        <v/>
      </c>
      <c r="K389" s="87" t="str">
        <f t="array" ref="K389">IF(G389="","",IFERROR(INDEX('Material Master'!$D$2:$D$201,IFERROR(MATCH(G389,'Material Master'!$F$2:$F$201,0),MATCH(G389,'Material Master'!$A$2:$A$201,0))),""))</f>
        <v/>
      </c>
      <c r="L389" s="85"/>
      <c r="M389" s="85"/>
    </row>
    <row r="390" ht="15.75" customHeight="1">
      <c r="A390" s="150"/>
      <c r="B390" s="151"/>
      <c r="C390" s="150"/>
      <c r="D390" s="152"/>
      <c r="E390" s="77" t="str">
        <f t="shared" si="1"/>
        <v/>
      </c>
      <c r="F390" s="91" t="str">
        <f t="shared" si="2"/>
        <v/>
      </c>
      <c r="G390" s="69"/>
      <c r="H390" s="69" t="str">
        <f t="array" ref="H390">IF(G390="","",IFERROR(INDEX('Material Master'!$B$2:$B$201,IFERROR(MATCH(G390,'Material Master'!$F$2:$F$201,0),MATCH(G390,'Material Master'!$A$2:$A$201,0))),""))</f>
        <v/>
      </c>
      <c r="I390" s="69" t="str">
        <f t="array" ref="I390">IF(G390="","",IFERROR(INDEX('Material Master'!$C$2:$C$201,IFERROR(MATCH(G390,'Material Master'!$F$2:$F$201,0),MATCH(G390,'Material Master'!$A$2:$A$201,0))),""))</f>
        <v/>
      </c>
      <c r="J390" s="75" t="str">
        <f>IF(E390="","",SUMIFS('Stock Movement'!$F$2:$F$501,'Stock Movement'!$D$2:$D$501,E390,'Stock Movement'!$E$2:$E$501,"IN")-SUMIFS('Stock Movement'!$F$2:$F$501,'Stock Movement'!$D$2:$D$501,E390,'Stock Movement'!$E$2:$E$501,"OUT"))</f>
        <v/>
      </c>
      <c r="K390" s="77" t="str">
        <f t="array" ref="K390">IF(G390="","",IFERROR(INDEX('Material Master'!$D$2:$D$201,IFERROR(MATCH(G390,'Material Master'!$F$2:$F$201,0),MATCH(G390,'Material Master'!$A$2:$A$201,0))),""))</f>
        <v/>
      </c>
      <c r="L390" s="69"/>
      <c r="M390" s="69"/>
    </row>
    <row r="391" ht="15.75" customHeight="1">
      <c r="A391" s="147"/>
      <c r="B391" s="148"/>
      <c r="C391" s="147"/>
      <c r="D391" s="149"/>
      <c r="E391" s="87" t="str">
        <f t="shared" si="1"/>
        <v/>
      </c>
      <c r="F391" s="83" t="str">
        <f t="shared" si="2"/>
        <v/>
      </c>
      <c r="G391" s="85"/>
      <c r="H391" s="85" t="str">
        <f t="array" ref="H391">IF(G391="","",IFERROR(INDEX('Material Master'!$B$2:$B$201,IFERROR(MATCH(G391,'Material Master'!$F$2:$F$201,0),MATCH(G391,'Material Master'!$A$2:$A$201,0))),""))</f>
        <v/>
      </c>
      <c r="I391" s="85" t="str">
        <f t="array" ref="I391">IF(G391="","",IFERROR(INDEX('Material Master'!$C$2:$C$201,IFERROR(MATCH(G391,'Material Master'!$F$2:$F$201,0),MATCH(G391,'Material Master'!$A$2:$A$201,0))),""))</f>
        <v/>
      </c>
      <c r="J391" s="86" t="str">
        <f>IF(E391="","",SUMIFS('Stock Movement'!$F$2:$F$501,'Stock Movement'!$D$2:$D$501,E391,'Stock Movement'!$E$2:$E$501,"IN")-SUMIFS('Stock Movement'!$F$2:$F$501,'Stock Movement'!$D$2:$D$501,E391,'Stock Movement'!$E$2:$E$501,"OUT"))</f>
        <v/>
      </c>
      <c r="K391" s="87" t="str">
        <f t="array" ref="K391">IF(G391="","",IFERROR(INDEX('Material Master'!$D$2:$D$201,IFERROR(MATCH(G391,'Material Master'!$F$2:$F$201,0),MATCH(G391,'Material Master'!$A$2:$A$201,0))),""))</f>
        <v/>
      </c>
      <c r="L391" s="85"/>
      <c r="M391" s="85"/>
    </row>
    <row r="392" ht="15.75" customHeight="1">
      <c r="A392" s="150"/>
      <c r="B392" s="151"/>
      <c r="C392" s="150"/>
      <c r="D392" s="152"/>
      <c r="E392" s="77" t="str">
        <f t="shared" si="1"/>
        <v/>
      </c>
      <c r="F392" s="91" t="str">
        <f t="shared" si="2"/>
        <v/>
      </c>
      <c r="G392" s="69"/>
      <c r="H392" s="69" t="str">
        <f t="array" ref="H392">IF(G392="","",IFERROR(INDEX('Material Master'!$B$2:$B$201,IFERROR(MATCH(G392,'Material Master'!$F$2:$F$201,0),MATCH(G392,'Material Master'!$A$2:$A$201,0))),""))</f>
        <v/>
      </c>
      <c r="I392" s="69" t="str">
        <f t="array" ref="I392">IF(G392="","",IFERROR(INDEX('Material Master'!$C$2:$C$201,IFERROR(MATCH(G392,'Material Master'!$F$2:$F$201,0),MATCH(G392,'Material Master'!$A$2:$A$201,0))),""))</f>
        <v/>
      </c>
      <c r="J392" s="75" t="str">
        <f>IF(E392="","",SUMIFS('Stock Movement'!$F$2:$F$501,'Stock Movement'!$D$2:$D$501,E392,'Stock Movement'!$E$2:$E$501,"IN")-SUMIFS('Stock Movement'!$F$2:$F$501,'Stock Movement'!$D$2:$D$501,E392,'Stock Movement'!$E$2:$E$501,"OUT"))</f>
        <v/>
      </c>
      <c r="K392" s="77" t="str">
        <f t="array" ref="K392">IF(G392="","",IFERROR(INDEX('Material Master'!$D$2:$D$201,IFERROR(MATCH(G392,'Material Master'!$F$2:$F$201,0),MATCH(G392,'Material Master'!$A$2:$A$201,0))),""))</f>
        <v/>
      </c>
      <c r="L392" s="69"/>
      <c r="M392" s="69"/>
    </row>
    <row r="393" ht="15.75" customHeight="1">
      <c r="A393" s="147"/>
      <c r="B393" s="148"/>
      <c r="C393" s="147"/>
      <c r="D393" s="149"/>
      <c r="E393" s="87" t="str">
        <f t="shared" si="1"/>
        <v/>
      </c>
      <c r="F393" s="83" t="str">
        <f t="shared" si="2"/>
        <v/>
      </c>
      <c r="G393" s="85"/>
      <c r="H393" s="85" t="str">
        <f t="array" ref="H393">IF(G393="","",IFERROR(INDEX('Material Master'!$B$2:$B$201,IFERROR(MATCH(G393,'Material Master'!$F$2:$F$201,0),MATCH(G393,'Material Master'!$A$2:$A$201,0))),""))</f>
        <v/>
      </c>
      <c r="I393" s="85" t="str">
        <f t="array" ref="I393">IF(G393="","",IFERROR(INDEX('Material Master'!$C$2:$C$201,IFERROR(MATCH(G393,'Material Master'!$F$2:$F$201,0),MATCH(G393,'Material Master'!$A$2:$A$201,0))),""))</f>
        <v/>
      </c>
      <c r="J393" s="86" t="str">
        <f>IF(E393="","",SUMIFS('Stock Movement'!$F$2:$F$501,'Stock Movement'!$D$2:$D$501,E393,'Stock Movement'!$E$2:$E$501,"IN")-SUMIFS('Stock Movement'!$F$2:$F$501,'Stock Movement'!$D$2:$D$501,E393,'Stock Movement'!$E$2:$E$501,"OUT"))</f>
        <v/>
      </c>
      <c r="K393" s="87" t="str">
        <f t="array" ref="K393">IF(G393="","",IFERROR(INDEX('Material Master'!$D$2:$D$201,IFERROR(MATCH(G393,'Material Master'!$F$2:$F$201,0),MATCH(G393,'Material Master'!$A$2:$A$201,0))),""))</f>
        <v/>
      </c>
      <c r="L393" s="85"/>
      <c r="M393" s="85"/>
    </row>
    <row r="394" ht="15.75" customHeight="1">
      <c r="A394" s="150"/>
      <c r="B394" s="151"/>
      <c r="C394" s="150"/>
      <c r="D394" s="152"/>
      <c r="E394" s="77" t="str">
        <f t="shared" si="1"/>
        <v/>
      </c>
      <c r="F394" s="91" t="str">
        <f t="shared" si="2"/>
        <v/>
      </c>
      <c r="G394" s="69"/>
      <c r="H394" s="69" t="str">
        <f t="array" ref="H394">IF(G394="","",IFERROR(INDEX('Material Master'!$B$2:$B$201,IFERROR(MATCH(G394,'Material Master'!$F$2:$F$201,0),MATCH(G394,'Material Master'!$A$2:$A$201,0))),""))</f>
        <v/>
      </c>
      <c r="I394" s="69" t="str">
        <f t="array" ref="I394">IF(G394="","",IFERROR(INDEX('Material Master'!$C$2:$C$201,IFERROR(MATCH(G394,'Material Master'!$F$2:$F$201,0),MATCH(G394,'Material Master'!$A$2:$A$201,0))),""))</f>
        <v/>
      </c>
      <c r="J394" s="75" t="str">
        <f>IF(E394="","",SUMIFS('Stock Movement'!$F$2:$F$501,'Stock Movement'!$D$2:$D$501,E394,'Stock Movement'!$E$2:$E$501,"IN")-SUMIFS('Stock Movement'!$F$2:$F$501,'Stock Movement'!$D$2:$D$501,E394,'Stock Movement'!$E$2:$E$501,"OUT"))</f>
        <v/>
      </c>
      <c r="K394" s="77" t="str">
        <f t="array" ref="K394">IF(G394="","",IFERROR(INDEX('Material Master'!$D$2:$D$201,IFERROR(MATCH(G394,'Material Master'!$F$2:$F$201,0),MATCH(G394,'Material Master'!$A$2:$A$201,0))),""))</f>
        <v/>
      </c>
      <c r="L394" s="69"/>
      <c r="M394" s="69"/>
    </row>
    <row r="395" ht="15.75" customHeight="1">
      <c r="A395" s="147"/>
      <c r="B395" s="148"/>
      <c r="C395" s="147"/>
      <c r="D395" s="149"/>
      <c r="E395" s="87" t="str">
        <f t="shared" si="1"/>
        <v/>
      </c>
      <c r="F395" s="83" t="str">
        <f t="shared" si="2"/>
        <v/>
      </c>
      <c r="G395" s="85"/>
      <c r="H395" s="85" t="str">
        <f t="array" ref="H395">IF(G395="","",IFERROR(INDEX('Material Master'!$B$2:$B$201,IFERROR(MATCH(G395,'Material Master'!$F$2:$F$201,0),MATCH(G395,'Material Master'!$A$2:$A$201,0))),""))</f>
        <v/>
      </c>
      <c r="I395" s="85" t="str">
        <f t="array" ref="I395">IF(G395="","",IFERROR(INDEX('Material Master'!$C$2:$C$201,IFERROR(MATCH(G395,'Material Master'!$F$2:$F$201,0),MATCH(G395,'Material Master'!$A$2:$A$201,0))),""))</f>
        <v/>
      </c>
      <c r="J395" s="86" t="str">
        <f>IF(E395="","",SUMIFS('Stock Movement'!$F$2:$F$501,'Stock Movement'!$D$2:$D$501,E395,'Stock Movement'!$E$2:$E$501,"IN")-SUMIFS('Stock Movement'!$F$2:$F$501,'Stock Movement'!$D$2:$D$501,E395,'Stock Movement'!$E$2:$E$501,"OUT"))</f>
        <v/>
      </c>
      <c r="K395" s="87" t="str">
        <f t="array" ref="K395">IF(G395="","",IFERROR(INDEX('Material Master'!$D$2:$D$201,IFERROR(MATCH(G395,'Material Master'!$F$2:$F$201,0),MATCH(G395,'Material Master'!$A$2:$A$201,0))),""))</f>
        <v/>
      </c>
      <c r="L395" s="85"/>
      <c r="M395" s="85"/>
    </row>
    <row r="396" ht="15.75" customHeight="1">
      <c r="A396" s="150"/>
      <c r="B396" s="151"/>
      <c r="C396" s="150"/>
      <c r="D396" s="152"/>
      <c r="E396" s="77" t="str">
        <f t="shared" si="1"/>
        <v/>
      </c>
      <c r="F396" s="91" t="str">
        <f t="shared" si="2"/>
        <v/>
      </c>
      <c r="G396" s="69"/>
      <c r="H396" s="69" t="str">
        <f t="array" ref="H396">IF(G396="","",IFERROR(INDEX('Material Master'!$B$2:$B$201,IFERROR(MATCH(G396,'Material Master'!$F$2:$F$201,0),MATCH(G396,'Material Master'!$A$2:$A$201,0))),""))</f>
        <v/>
      </c>
      <c r="I396" s="69" t="str">
        <f t="array" ref="I396">IF(G396="","",IFERROR(INDEX('Material Master'!$C$2:$C$201,IFERROR(MATCH(G396,'Material Master'!$F$2:$F$201,0),MATCH(G396,'Material Master'!$A$2:$A$201,0))),""))</f>
        <v/>
      </c>
      <c r="J396" s="75" t="str">
        <f>IF(E396="","",SUMIFS('Stock Movement'!$F$2:$F$501,'Stock Movement'!$D$2:$D$501,E396,'Stock Movement'!$E$2:$E$501,"IN")-SUMIFS('Stock Movement'!$F$2:$F$501,'Stock Movement'!$D$2:$D$501,E396,'Stock Movement'!$E$2:$E$501,"OUT"))</f>
        <v/>
      </c>
      <c r="K396" s="77" t="str">
        <f t="array" ref="K396">IF(G396="","",IFERROR(INDEX('Material Master'!$D$2:$D$201,IFERROR(MATCH(G396,'Material Master'!$F$2:$F$201,0),MATCH(G396,'Material Master'!$A$2:$A$201,0))),""))</f>
        <v/>
      </c>
      <c r="L396" s="69"/>
      <c r="M396" s="69"/>
    </row>
    <row r="397" ht="15.75" customHeight="1">
      <c r="A397" s="147"/>
      <c r="B397" s="148"/>
      <c r="C397" s="147"/>
      <c r="D397" s="149"/>
      <c r="E397" s="87" t="str">
        <f t="shared" si="1"/>
        <v/>
      </c>
      <c r="F397" s="83" t="str">
        <f t="shared" si="2"/>
        <v/>
      </c>
      <c r="G397" s="85"/>
      <c r="H397" s="85" t="str">
        <f t="array" ref="H397">IF(G397="","",IFERROR(INDEX('Material Master'!$B$2:$B$201,IFERROR(MATCH(G397,'Material Master'!$F$2:$F$201,0),MATCH(G397,'Material Master'!$A$2:$A$201,0))),""))</f>
        <v/>
      </c>
      <c r="I397" s="85" t="str">
        <f t="array" ref="I397">IF(G397="","",IFERROR(INDEX('Material Master'!$C$2:$C$201,IFERROR(MATCH(G397,'Material Master'!$F$2:$F$201,0),MATCH(G397,'Material Master'!$A$2:$A$201,0))),""))</f>
        <v/>
      </c>
      <c r="J397" s="86" t="str">
        <f>IF(E397="","",SUMIFS('Stock Movement'!$F$2:$F$501,'Stock Movement'!$D$2:$D$501,E397,'Stock Movement'!$E$2:$E$501,"IN")-SUMIFS('Stock Movement'!$F$2:$F$501,'Stock Movement'!$D$2:$D$501,E397,'Stock Movement'!$E$2:$E$501,"OUT"))</f>
        <v/>
      </c>
      <c r="K397" s="87" t="str">
        <f t="array" ref="K397">IF(G397="","",IFERROR(INDEX('Material Master'!$D$2:$D$201,IFERROR(MATCH(G397,'Material Master'!$F$2:$F$201,0),MATCH(G397,'Material Master'!$A$2:$A$201,0))),""))</f>
        <v/>
      </c>
      <c r="L397" s="85"/>
      <c r="M397" s="85"/>
    </row>
    <row r="398" ht="15.75" customHeight="1">
      <c r="A398" s="150"/>
      <c r="B398" s="151"/>
      <c r="C398" s="150"/>
      <c r="D398" s="152"/>
      <c r="E398" s="77" t="str">
        <f t="shared" si="1"/>
        <v/>
      </c>
      <c r="F398" s="91" t="str">
        <f t="shared" si="2"/>
        <v/>
      </c>
      <c r="G398" s="69"/>
      <c r="H398" s="69" t="str">
        <f t="array" ref="H398">IF(G398="","",IFERROR(INDEX('Material Master'!$B$2:$B$201,IFERROR(MATCH(G398,'Material Master'!$F$2:$F$201,0),MATCH(G398,'Material Master'!$A$2:$A$201,0))),""))</f>
        <v/>
      </c>
      <c r="I398" s="69" t="str">
        <f t="array" ref="I398">IF(G398="","",IFERROR(INDEX('Material Master'!$C$2:$C$201,IFERROR(MATCH(G398,'Material Master'!$F$2:$F$201,0),MATCH(G398,'Material Master'!$A$2:$A$201,0))),""))</f>
        <v/>
      </c>
      <c r="J398" s="75" t="str">
        <f>IF(E398="","",SUMIFS('Stock Movement'!$F$2:$F$501,'Stock Movement'!$D$2:$D$501,E398,'Stock Movement'!$E$2:$E$501,"IN")-SUMIFS('Stock Movement'!$F$2:$F$501,'Stock Movement'!$D$2:$D$501,E398,'Stock Movement'!$E$2:$E$501,"OUT"))</f>
        <v/>
      </c>
      <c r="K398" s="77" t="str">
        <f t="array" ref="K398">IF(G398="","",IFERROR(INDEX('Material Master'!$D$2:$D$201,IFERROR(MATCH(G398,'Material Master'!$F$2:$F$201,0),MATCH(G398,'Material Master'!$A$2:$A$201,0))),""))</f>
        <v/>
      </c>
      <c r="L398" s="69"/>
      <c r="M398" s="69"/>
    </row>
    <row r="399" ht="15.75" customHeight="1">
      <c r="A399" s="147"/>
      <c r="B399" s="148"/>
      <c r="C399" s="147"/>
      <c r="D399" s="149"/>
      <c r="E399" s="87" t="str">
        <f t="shared" si="1"/>
        <v/>
      </c>
      <c r="F399" s="83" t="str">
        <f t="shared" si="2"/>
        <v/>
      </c>
      <c r="G399" s="85"/>
      <c r="H399" s="85" t="str">
        <f t="array" ref="H399">IF(G399="","",IFERROR(INDEX('Material Master'!$B$2:$B$201,IFERROR(MATCH(G399,'Material Master'!$F$2:$F$201,0),MATCH(G399,'Material Master'!$A$2:$A$201,0))),""))</f>
        <v/>
      </c>
      <c r="I399" s="85" t="str">
        <f t="array" ref="I399">IF(G399="","",IFERROR(INDEX('Material Master'!$C$2:$C$201,IFERROR(MATCH(G399,'Material Master'!$F$2:$F$201,0),MATCH(G399,'Material Master'!$A$2:$A$201,0))),""))</f>
        <v/>
      </c>
      <c r="J399" s="86" t="str">
        <f>IF(E399="","",SUMIFS('Stock Movement'!$F$2:$F$501,'Stock Movement'!$D$2:$D$501,E399,'Stock Movement'!$E$2:$E$501,"IN")-SUMIFS('Stock Movement'!$F$2:$F$501,'Stock Movement'!$D$2:$D$501,E399,'Stock Movement'!$E$2:$E$501,"OUT"))</f>
        <v/>
      </c>
      <c r="K399" s="87" t="str">
        <f t="array" ref="K399">IF(G399="","",IFERROR(INDEX('Material Master'!$D$2:$D$201,IFERROR(MATCH(G399,'Material Master'!$F$2:$F$201,0),MATCH(G399,'Material Master'!$A$2:$A$201,0))),""))</f>
        <v/>
      </c>
      <c r="L399" s="85"/>
      <c r="M399" s="85"/>
    </row>
    <row r="400" ht="15.75" customHeight="1">
      <c r="A400" s="150"/>
      <c r="B400" s="151"/>
      <c r="C400" s="150"/>
      <c r="D400" s="152"/>
      <c r="E400" s="77" t="str">
        <f t="shared" si="1"/>
        <v/>
      </c>
      <c r="F400" s="91" t="str">
        <f t="shared" si="2"/>
        <v/>
      </c>
      <c r="G400" s="69"/>
      <c r="H400" s="69" t="str">
        <f t="array" ref="H400">IF(G400="","",IFERROR(INDEX('Material Master'!$B$2:$B$201,IFERROR(MATCH(G400,'Material Master'!$F$2:$F$201,0),MATCH(G400,'Material Master'!$A$2:$A$201,0))),""))</f>
        <v/>
      </c>
      <c r="I400" s="69" t="str">
        <f t="array" ref="I400">IF(G400="","",IFERROR(INDEX('Material Master'!$C$2:$C$201,IFERROR(MATCH(G400,'Material Master'!$F$2:$F$201,0),MATCH(G400,'Material Master'!$A$2:$A$201,0))),""))</f>
        <v/>
      </c>
      <c r="J400" s="75" t="str">
        <f>IF(E400="","",SUMIFS('Stock Movement'!$F$2:$F$501,'Stock Movement'!$D$2:$D$501,E400,'Stock Movement'!$E$2:$E$501,"IN")-SUMIFS('Stock Movement'!$F$2:$F$501,'Stock Movement'!$D$2:$D$501,E400,'Stock Movement'!$E$2:$E$501,"OUT"))</f>
        <v/>
      </c>
      <c r="K400" s="77" t="str">
        <f t="array" ref="K400">IF(G400="","",IFERROR(INDEX('Material Master'!$D$2:$D$201,IFERROR(MATCH(G400,'Material Master'!$F$2:$F$201,0),MATCH(G400,'Material Master'!$A$2:$A$201,0))),""))</f>
        <v/>
      </c>
      <c r="L400" s="69"/>
      <c r="M400" s="69"/>
    </row>
    <row r="401" ht="15.75" customHeight="1">
      <c r="A401" s="147"/>
      <c r="B401" s="148"/>
      <c r="C401" s="147"/>
      <c r="D401" s="149"/>
      <c r="E401" s="87" t="str">
        <f t="shared" si="1"/>
        <v/>
      </c>
      <c r="F401" s="83" t="str">
        <f t="shared" si="2"/>
        <v/>
      </c>
      <c r="G401" s="85"/>
      <c r="H401" s="85" t="str">
        <f t="array" ref="H401">IF(G401="","",IFERROR(INDEX('Material Master'!$B$2:$B$201,IFERROR(MATCH(G401,'Material Master'!$F$2:$F$201,0),MATCH(G401,'Material Master'!$A$2:$A$201,0))),""))</f>
        <v/>
      </c>
      <c r="I401" s="85" t="str">
        <f t="array" ref="I401">IF(G401="","",IFERROR(INDEX('Material Master'!$C$2:$C$201,IFERROR(MATCH(G401,'Material Master'!$F$2:$F$201,0),MATCH(G401,'Material Master'!$A$2:$A$201,0))),""))</f>
        <v/>
      </c>
      <c r="J401" s="86" t="str">
        <f>IF(E401="","",SUMIFS('Stock Movement'!$F$2:$F$501,'Stock Movement'!$D$2:$D$501,E401,'Stock Movement'!$E$2:$E$501,"IN")-SUMIFS('Stock Movement'!$F$2:$F$501,'Stock Movement'!$D$2:$D$501,E401,'Stock Movement'!$E$2:$E$501,"OUT"))</f>
        <v/>
      </c>
      <c r="K401" s="87" t="str">
        <f t="array" ref="K401">IF(G401="","",IFERROR(INDEX('Material Master'!$D$2:$D$201,IFERROR(MATCH(G401,'Material Master'!$F$2:$F$201,0),MATCH(G401,'Material Master'!$A$2:$A$201,0))),""))</f>
        <v/>
      </c>
      <c r="L401" s="85"/>
      <c r="M401" s="85"/>
    </row>
    <row r="402" ht="15.75" customHeight="1">
      <c r="A402" s="150"/>
      <c r="B402" s="151"/>
      <c r="C402" s="150"/>
      <c r="D402" s="152"/>
      <c r="E402" s="77" t="str">
        <f t="shared" si="1"/>
        <v/>
      </c>
      <c r="F402" s="91" t="str">
        <f t="shared" si="2"/>
        <v/>
      </c>
      <c r="G402" s="69"/>
      <c r="H402" s="69" t="str">
        <f t="array" ref="H402">IF(G402="","",IFERROR(INDEX('Material Master'!$B$2:$B$201,IFERROR(MATCH(G402,'Material Master'!$F$2:$F$201,0),MATCH(G402,'Material Master'!$A$2:$A$201,0))),""))</f>
        <v/>
      </c>
      <c r="I402" s="69" t="str">
        <f t="array" ref="I402">IF(G402="","",IFERROR(INDEX('Material Master'!$C$2:$C$201,IFERROR(MATCH(G402,'Material Master'!$F$2:$F$201,0),MATCH(G402,'Material Master'!$A$2:$A$201,0))),""))</f>
        <v/>
      </c>
      <c r="J402" s="75" t="str">
        <f>IF(E402="","",SUMIFS('Stock Movement'!$F$2:$F$501,'Stock Movement'!$D$2:$D$501,E402,'Stock Movement'!$E$2:$E$501,"IN")-SUMIFS('Stock Movement'!$F$2:$F$501,'Stock Movement'!$D$2:$D$501,E402,'Stock Movement'!$E$2:$E$501,"OUT"))</f>
        <v/>
      </c>
      <c r="K402" s="77" t="str">
        <f t="array" ref="K402">IF(G402="","",IFERROR(INDEX('Material Master'!$D$2:$D$201,IFERROR(MATCH(G402,'Material Master'!$F$2:$F$201,0),MATCH(G402,'Material Master'!$A$2:$A$201,0))),""))</f>
        <v/>
      </c>
      <c r="L402" s="69"/>
      <c r="M402" s="69"/>
    </row>
    <row r="403" ht="15.75" customHeight="1">
      <c r="A403" s="147"/>
      <c r="B403" s="148"/>
      <c r="C403" s="147"/>
      <c r="D403" s="149"/>
      <c r="E403" s="87" t="str">
        <f t="shared" si="1"/>
        <v/>
      </c>
      <c r="F403" s="83" t="str">
        <f t="shared" si="2"/>
        <v/>
      </c>
      <c r="G403" s="85"/>
      <c r="H403" s="85" t="str">
        <f t="array" ref="H403">IF(G403="","",IFERROR(INDEX('Material Master'!$B$2:$B$201,IFERROR(MATCH(G403,'Material Master'!$F$2:$F$201,0),MATCH(G403,'Material Master'!$A$2:$A$201,0))),""))</f>
        <v/>
      </c>
      <c r="I403" s="85" t="str">
        <f t="array" ref="I403">IF(G403="","",IFERROR(INDEX('Material Master'!$C$2:$C$201,IFERROR(MATCH(G403,'Material Master'!$F$2:$F$201,0),MATCH(G403,'Material Master'!$A$2:$A$201,0))),""))</f>
        <v/>
      </c>
      <c r="J403" s="86" t="str">
        <f>IF(E403="","",SUMIFS('Stock Movement'!$F$2:$F$501,'Stock Movement'!$D$2:$D$501,E403,'Stock Movement'!$E$2:$E$501,"IN")-SUMIFS('Stock Movement'!$F$2:$F$501,'Stock Movement'!$D$2:$D$501,E403,'Stock Movement'!$E$2:$E$501,"OUT"))</f>
        <v/>
      </c>
      <c r="K403" s="87" t="str">
        <f t="array" ref="K403">IF(G403="","",IFERROR(INDEX('Material Master'!$D$2:$D$201,IFERROR(MATCH(G403,'Material Master'!$F$2:$F$201,0),MATCH(G403,'Material Master'!$A$2:$A$201,0))),""))</f>
        <v/>
      </c>
      <c r="L403" s="85"/>
      <c r="M403" s="85"/>
    </row>
    <row r="404" ht="15.75" customHeight="1">
      <c r="A404" s="150"/>
      <c r="B404" s="151"/>
      <c r="C404" s="150"/>
      <c r="D404" s="152"/>
      <c r="E404" s="77" t="str">
        <f t="shared" si="1"/>
        <v/>
      </c>
      <c r="F404" s="91" t="str">
        <f t="shared" si="2"/>
        <v/>
      </c>
      <c r="G404" s="69"/>
      <c r="H404" s="69" t="str">
        <f t="array" ref="H404">IF(G404="","",IFERROR(INDEX('Material Master'!$B$2:$B$201,IFERROR(MATCH(G404,'Material Master'!$F$2:$F$201,0),MATCH(G404,'Material Master'!$A$2:$A$201,0))),""))</f>
        <v/>
      </c>
      <c r="I404" s="69" t="str">
        <f t="array" ref="I404">IF(G404="","",IFERROR(INDEX('Material Master'!$C$2:$C$201,IFERROR(MATCH(G404,'Material Master'!$F$2:$F$201,0),MATCH(G404,'Material Master'!$A$2:$A$201,0))),""))</f>
        <v/>
      </c>
      <c r="J404" s="75" t="str">
        <f>IF(E404="","",SUMIFS('Stock Movement'!$F$2:$F$501,'Stock Movement'!$D$2:$D$501,E404,'Stock Movement'!$E$2:$E$501,"IN")-SUMIFS('Stock Movement'!$F$2:$F$501,'Stock Movement'!$D$2:$D$501,E404,'Stock Movement'!$E$2:$E$501,"OUT"))</f>
        <v/>
      </c>
      <c r="K404" s="77" t="str">
        <f t="array" ref="K404">IF(G404="","",IFERROR(INDEX('Material Master'!$D$2:$D$201,IFERROR(MATCH(G404,'Material Master'!$F$2:$F$201,0),MATCH(G404,'Material Master'!$A$2:$A$201,0))),""))</f>
        <v/>
      </c>
      <c r="L404" s="69"/>
      <c r="M404" s="69"/>
    </row>
    <row r="405" ht="15.75" customHeight="1">
      <c r="A405" s="147"/>
      <c r="B405" s="148"/>
      <c r="C405" s="147"/>
      <c r="D405" s="149"/>
      <c r="E405" s="87" t="str">
        <f t="shared" si="1"/>
        <v/>
      </c>
      <c r="F405" s="83" t="str">
        <f t="shared" si="2"/>
        <v/>
      </c>
      <c r="G405" s="85"/>
      <c r="H405" s="85" t="str">
        <f t="array" ref="H405">IF(G405="","",IFERROR(INDEX('Material Master'!$B$2:$B$201,IFERROR(MATCH(G405,'Material Master'!$F$2:$F$201,0),MATCH(G405,'Material Master'!$A$2:$A$201,0))),""))</f>
        <v/>
      </c>
      <c r="I405" s="85" t="str">
        <f t="array" ref="I405">IF(G405="","",IFERROR(INDEX('Material Master'!$C$2:$C$201,IFERROR(MATCH(G405,'Material Master'!$F$2:$F$201,0),MATCH(G405,'Material Master'!$A$2:$A$201,0))),""))</f>
        <v/>
      </c>
      <c r="J405" s="86" t="str">
        <f>IF(E405="","",SUMIFS('Stock Movement'!$F$2:$F$501,'Stock Movement'!$D$2:$D$501,E405,'Stock Movement'!$E$2:$E$501,"IN")-SUMIFS('Stock Movement'!$F$2:$F$501,'Stock Movement'!$D$2:$D$501,E405,'Stock Movement'!$E$2:$E$501,"OUT"))</f>
        <v/>
      </c>
      <c r="K405" s="87" t="str">
        <f t="array" ref="K405">IF(G405="","",IFERROR(INDEX('Material Master'!$D$2:$D$201,IFERROR(MATCH(G405,'Material Master'!$F$2:$F$201,0),MATCH(G405,'Material Master'!$A$2:$A$201,0))),""))</f>
        <v/>
      </c>
      <c r="L405" s="85"/>
      <c r="M405" s="85"/>
    </row>
    <row r="406" ht="15.75" customHeight="1">
      <c r="A406" s="150"/>
      <c r="B406" s="151"/>
      <c r="C406" s="150"/>
      <c r="D406" s="152"/>
      <c r="E406" s="77" t="str">
        <f t="shared" si="1"/>
        <v/>
      </c>
      <c r="F406" s="91" t="str">
        <f t="shared" si="2"/>
        <v/>
      </c>
      <c r="G406" s="69"/>
      <c r="H406" s="69" t="str">
        <f t="array" ref="H406">IF(G406="","",IFERROR(INDEX('Material Master'!$B$2:$B$201,IFERROR(MATCH(G406,'Material Master'!$F$2:$F$201,0),MATCH(G406,'Material Master'!$A$2:$A$201,0))),""))</f>
        <v/>
      </c>
      <c r="I406" s="69" t="str">
        <f t="array" ref="I406">IF(G406="","",IFERROR(INDEX('Material Master'!$C$2:$C$201,IFERROR(MATCH(G406,'Material Master'!$F$2:$F$201,0),MATCH(G406,'Material Master'!$A$2:$A$201,0))),""))</f>
        <v/>
      </c>
      <c r="J406" s="75" t="str">
        <f>IF(E406="","",SUMIFS('Stock Movement'!$F$2:$F$501,'Stock Movement'!$D$2:$D$501,E406,'Stock Movement'!$E$2:$E$501,"IN")-SUMIFS('Stock Movement'!$F$2:$F$501,'Stock Movement'!$D$2:$D$501,E406,'Stock Movement'!$E$2:$E$501,"OUT"))</f>
        <v/>
      </c>
      <c r="K406" s="77" t="str">
        <f t="array" ref="K406">IF(G406="","",IFERROR(INDEX('Material Master'!$D$2:$D$201,IFERROR(MATCH(G406,'Material Master'!$F$2:$F$201,0),MATCH(G406,'Material Master'!$A$2:$A$201,0))),""))</f>
        <v/>
      </c>
      <c r="L406" s="69"/>
      <c r="M406" s="69"/>
    </row>
    <row r="407" ht="15.75" customHeight="1">
      <c r="A407" s="147"/>
      <c r="B407" s="148"/>
      <c r="C407" s="147"/>
      <c r="D407" s="149"/>
      <c r="E407" s="87" t="str">
        <f t="shared" si="1"/>
        <v/>
      </c>
      <c r="F407" s="83" t="str">
        <f t="shared" si="2"/>
        <v/>
      </c>
      <c r="G407" s="85"/>
      <c r="H407" s="85" t="str">
        <f t="array" ref="H407">IF(G407="","",IFERROR(INDEX('Material Master'!$B$2:$B$201,IFERROR(MATCH(G407,'Material Master'!$F$2:$F$201,0),MATCH(G407,'Material Master'!$A$2:$A$201,0))),""))</f>
        <v/>
      </c>
      <c r="I407" s="85" t="str">
        <f t="array" ref="I407">IF(G407="","",IFERROR(INDEX('Material Master'!$C$2:$C$201,IFERROR(MATCH(G407,'Material Master'!$F$2:$F$201,0),MATCH(G407,'Material Master'!$A$2:$A$201,0))),""))</f>
        <v/>
      </c>
      <c r="J407" s="86" t="str">
        <f>IF(E407="","",SUMIFS('Stock Movement'!$F$2:$F$501,'Stock Movement'!$D$2:$D$501,E407,'Stock Movement'!$E$2:$E$501,"IN")-SUMIFS('Stock Movement'!$F$2:$F$501,'Stock Movement'!$D$2:$D$501,E407,'Stock Movement'!$E$2:$E$501,"OUT"))</f>
        <v/>
      </c>
      <c r="K407" s="87" t="str">
        <f t="array" ref="K407">IF(G407="","",IFERROR(INDEX('Material Master'!$D$2:$D$201,IFERROR(MATCH(G407,'Material Master'!$F$2:$F$201,0),MATCH(G407,'Material Master'!$A$2:$A$201,0))),""))</f>
        <v/>
      </c>
      <c r="L407" s="85"/>
      <c r="M407" s="85"/>
    </row>
    <row r="408" ht="15.75" customHeight="1">
      <c r="A408" s="150"/>
      <c r="B408" s="151"/>
      <c r="C408" s="150"/>
      <c r="D408" s="152"/>
      <c r="E408" s="77" t="str">
        <f t="shared" si="1"/>
        <v/>
      </c>
      <c r="F408" s="91" t="str">
        <f t="shared" si="2"/>
        <v/>
      </c>
      <c r="G408" s="69"/>
      <c r="H408" s="69" t="str">
        <f t="array" ref="H408">IF(G408="","",IFERROR(INDEX('Material Master'!$B$2:$B$201,IFERROR(MATCH(G408,'Material Master'!$F$2:$F$201,0),MATCH(G408,'Material Master'!$A$2:$A$201,0))),""))</f>
        <v/>
      </c>
      <c r="I408" s="69" t="str">
        <f t="array" ref="I408">IF(G408="","",IFERROR(INDEX('Material Master'!$C$2:$C$201,IFERROR(MATCH(G408,'Material Master'!$F$2:$F$201,0),MATCH(G408,'Material Master'!$A$2:$A$201,0))),""))</f>
        <v/>
      </c>
      <c r="J408" s="75" t="str">
        <f>IF(E408="","",SUMIFS('Stock Movement'!$F$2:$F$501,'Stock Movement'!$D$2:$D$501,E408,'Stock Movement'!$E$2:$E$501,"IN")-SUMIFS('Stock Movement'!$F$2:$F$501,'Stock Movement'!$D$2:$D$501,E408,'Stock Movement'!$E$2:$E$501,"OUT"))</f>
        <v/>
      </c>
      <c r="K408" s="77" t="str">
        <f t="array" ref="K408">IF(G408="","",IFERROR(INDEX('Material Master'!$D$2:$D$201,IFERROR(MATCH(G408,'Material Master'!$F$2:$F$201,0),MATCH(G408,'Material Master'!$A$2:$A$201,0))),""))</f>
        <v/>
      </c>
      <c r="L408" s="69"/>
      <c r="M408" s="69"/>
    </row>
    <row r="409" ht="15.75" customHeight="1">
      <c r="A409" s="147"/>
      <c r="B409" s="148"/>
      <c r="C409" s="147"/>
      <c r="D409" s="149"/>
      <c r="E409" s="87" t="str">
        <f t="shared" si="1"/>
        <v/>
      </c>
      <c r="F409" s="83" t="str">
        <f t="shared" si="2"/>
        <v/>
      </c>
      <c r="G409" s="85"/>
      <c r="H409" s="85" t="str">
        <f t="array" ref="H409">IF(G409="","",IFERROR(INDEX('Material Master'!$B$2:$B$201,IFERROR(MATCH(G409,'Material Master'!$F$2:$F$201,0),MATCH(G409,'Material Master'!$A$2:$A$201,0))),""))</f>
        <v/>
      </c>
      <c r="I409" s="85" t="str">
        <f t="array" ref="I409">IF(G409="","",IFERROR(INDEX('Material Master'!$C$2:$C$201,IFERROR(MATCH(G409,'Material Master'!$F$2:$F$201,0),MATCH(G409,'Material Master'!$A$2:$A$201,0))),""))</f>
        <v/>
      </c>
      <c r="J409" s="86" t="str">
        <f>IF(E409="","",SUMIFS('Stock Movement'!$F$2:$F$501,'Stock Movement'!$D$2:$D$501,E409,'Stock Movement'!$E$2:$E$501,"IN")-SUMIFS('Stock Movement'!$F$2:$F$501,'Stock Movement'!$D$2:$D$501,E409,'Stock Movement'!$E$2:$E$501,"OUT"))</f>
        <v/>
      </c>
      <c r="K409" s="87" t="str">
        <f t="array" ref="K409">IF(G409="","",IFERROR(INDEX('Material Master'!$D$2:$D$201,IFERROR(MATCH(G409,'Material Master'!$F$2:$F$201,0),MATCH(G409,'Material Master'!$A$2:$A$201,0))),""))</f>
        <v/>
      </c>
      <c r="L409" s="85"/>
      <c r="M409" s="85"/>
    </row>
    <row r="410" ht="15.75" customHeight="1">
      <c r="A410" s="150"/>
      <c r="B410" s="151"/>
      <c r="C410" s="150"/>
      <c r="D410" s="152"/>
      <c r="E410" s="77" t="str">
        <f t="shared" si="1"/>
        <v/>
      </c>
      <c r="F410" s="91" t="str">
        <f t="shared" si="2"/>
        <v/>
      </c>
      <c r="G410" s="69"/>
      <c r="H410" s="69" t="str">
        <f t="array" ref="H410">IF(G410="","",IFERROR(INDEX('Material Master'!$B$2:$B$201,IFERROR(MATCH(G410,'Material Master'!$F$2:$F$201,0),MATCH(G410,'Material Master'!$A$2:$A$201,0))),""))</f>
        <v/>
      </c>
      <c r="I410" s="69" t="str">
        <f t="array" ref="I410">IF(G410="","",IFERROR(INDEX('Material Master'!$C$2:$C$201,IFERROR(MATCH(G410,'Material Master'!$F$2:$F$201,0),MATCH(G410,'Material Master'!$A$2:$A$201,0))),""))</f>
        <v/>
      </c>
      <c r="J410" s="75" t="str">
        <f>IF(E410="","",SUMIFS('Stock Movement'!$F$2:$F$501,'Stock Movement'!$D$2:$D$501,E410,'Stock Movement'!$E$2:$E$501,"IN")-SUMIFS('Stock Movement'!$F$2:$F$501,'Stock Movement'!$D$2:$D$501,E410,'Stock Movement'!$E$2:$E$501,"OUT"))</f>
        <v/>
      </c>
      <c r="K410" s="77" t="str">
        <f t="array" ref="K410">IF(G410="","",IFERROR(INDEX('Material Master'!$D$2:$D$201,IFERROR(MATCH(G410,'Material Master'!$F$2:$F$201,0),MATCH(G410,'Material Master'!$A$2:$A$201,0))),""))</f>
        <v/>
      </c>
      <c r="L410" s="69"/>
      <c r="M410" s="69"/>
    </row>
    <row r="411" ht="15.75" customHeight="1">
      <c r="A411" s="147"/>
      <c r="B411" s="148"/>
      <c r="C411" s="147"/>
      <c r="D411" s="149"/>
      <c r="E411" s="87" t="str">
        <f t="shared" si="1"/>
        <v/>
      </c>
      <c r="F411" s="83" t="str">
        <f t="shared" si="2"/>
        <v/>
      </c>
      <c r="G411" s="85"/>
      <c r="H411" s="85" t="str">
        <f t="array" ref="H411">IF(G411="","",IFERROR(INDEX('Material Master'!$B$2:$B$201,IFERROR(MATCH(G411,'Material Master'!$F$2:$F$201,0),MATCH(G411,'Material Master'!$A$2:$A$201,0))),""))</f>
        <v/>
      </c>
      <c r="I411" s="85" t="str">
        <f t="array" ref="I411">IF(G411="","",IFERROR(INDEX('Material Master'!$C$2:$C$201,IFERROR(MATCH(G411,'Material Master'!$F$2:$F$201,0),MATCH(G411,'Material Master'!$A$2:$A$201,0))),""))</f>
        <v/>
      </c>
      <c r="J411" s="86" t="str">
        <f>IF(E411="","",SUMIFS('Stock Movement'!$F$2:$F$501,'Stock Movement'!$D$2:$D$501,E411,'Stock Movement'!$E$2:$E$501,"IN")-SUMIFS('Stock Movement'!$F$2:$F$501,'Stock Movement'!$D$2:$D$501,E411,'Stock Movement'!$E$2:$E$501,"OUT"))</f>
        <v/>
      </c>
      <c r="K411" s="87" t="str">
        <f t="array" ref="K411">IF(G411="","",IFERROR(INDEX('Material Master'!$D$2:$D$201,IFERROR(MATCH(G411,'Material Master'!$F$2:$F$201,0),MATCH(G411,'Material Master'!$A$2:$A$201,0))),""))</f>
        <v/>
      </c>
      <c r="L411" s="85"/>
      <c r="M411" s="85"/>
    </row>
    <row r="412" ht="15.75" customHeight="1">
      <c r="A412" s="150"/>
      <c r="B412" s="151"/>
      <c r="C412" s="150"/>
      <c r="D412" s="152"/>
      <c r="E412" s="77" t="str">
        <f t="shared" si="1"/>
        <v/>
      </c>
      <c r="F412" s="91" t="str">
        <f t="shared" si="2"/>
        <v/>
      </c>
      <c r="G412" s="69"/>
      <c r="H412" s="69" t="str">
        <f t="array" ref="H412">IF(G412="","",IFERROR(INDEX('Material Master'!$B$2:$B$201,IFERROR(MATCH(G412,'Material Master'!$F$2:$F$201,0),MATCH(G412,'Material Master'!$A$2:$A$201,0))),""))</f>
        <v/>
      </c>
      <c r="I412" s="69" t="str">
        <f t="array" ref="I412">IF(G412="","",IFERROR(INDEX('Material Master'!$C$2:$C$201,IFERROR(MATCH(G412,'Material Master'!$F$2:$F$201,0),MATCH(G412,'Material Master'!$A$2:$A$201,0))),""))</f>
        <v/>
      </c>
      <c r="J412" s="75" t="str">
        <f>IF(E412="","",SUMIFS('Stock Movement'!$F$2:$F$501,'Stock Movement'!$D$2:$D$501,E412,'Stock Movement'!$E$2:$E$501,"IN")-SUMIFS('Stock Movement'!$F$2:$F$501,'Stock Movement'!$D$2:$D$501,E412,'Stock Movement'!$E$2:$E$501,"OUT"))</f>
        <v/>
      </c>
      <c r="K412" s="77" t="str">
        <f t="array" ref="K412">IF(G412="","",IFERROR(INDEX('Material Master'!$D$2:$D$201,IFERROR(MATCH(G412,'Material Master'!$F$2:$F$201,0),MATCH(G412,'Material Master'!$A$2:$A$201,0))),""))</f>
        <v/>
      </c>
      <c r="L412" s="69"/>
      <c r="M412" s="69"/>
    </row>
    <row r="413" ht="15.75" customHeight="1">
      <c r="A413" s="147"/>
      <c r="B413" s="148"/>
      <c r="C413" s="147"/>
      <c r="D413" s="149"/>
      <c r="E413" s="87" t="str">
        <f t="shared" si="1"/>
        <v/>
      </c>
      <c r="F413" s="83" t="str">
        <f t="shared" si="2"/>
        <v/>
      </c>
      <c r="G413" s="85"/>
      <c r="H413" s="85" t="str">
        <f t="array" ref="H413">IF(G413="","",IFERROR(INDEX('Material Master'!$B$2:$B$201,IFERROR(MATCH(G413,'Material Master'!$F$2:$F$201,0),MATCH(G413,'Material Master'!$A$2:$A$201,0))),""))</f>
        <v/>
      </c>
      <c r="I413" s="85" t="str">
        <f t="array" ref="I413">IF(G413="","",IFERROR(INDEX('Material Master'!$C$2:$C$201,IFERROR(MATCH(G413,'Material Master'!$F$2:$F$201,0),MATCH(G413,'Material Master'!$A$2:$A$201,0))),""))</f>
        <v/>
      </c>
      <c r="J413" s="86" t="str">
        <f>IF(E413="","",SUMIFS('Stock Movement'!$F$2:$F$501,'Stock Movement'!$D$2:$D$501,E413,'Stock Movement'!$E$2:$E$501,"IN")-SUMIFS('Stock Movement'!$F$2:$F$501,'Stock Movement'!$D$2:$D$501,E413,'Stock Movement'!$E$2:$E$501,"OUT"))</f>
        <v/>
      </c>
      <c r="K413" s="87" t="str">
        <f t="array" ref="K413">IF(G413="","",IFERROR(INDEX('Material Master'!$D$2:$D$201,IFERROR(MATCH(G413,'Material Master'!$F$2:$F$201,0),MATCH(G413,'Material Master'!$A$2:$A$201,0))),""))</f>
        <v/>
      </c>
      <c r="L413" s="85"/>
      <c r="M413" s="85"/>
    </row>
    <row r="414" ht="15.75" customHeight="1">
      <c r="A414" s="150"/>
      <c r="B414" s="151"/>
      <c r="C414" s="150"/>
      <c r="D414" s="152"/>
      <c r="E414" s="77" t="str">
        <f t="shared" si="1"/>
        <v/>
      </c>
      <c r="F414" s="91" t="str">
        <f t="shared" si="2"/>
        <v/>
      </c>
      <c r="G414" s="69"/>
      <c r="H414" s="69" t="str">
        <f t="array" ref="H414">IF(G414="","",IFERROR(INDEX('Material Master'!$B$2:$B$201,IFERROR(MATCH(G414,'Material Master'!$F$2:$F$201,0),MATCH(G414,'Material Master'!$A$2:$A$201,0))),""))</f>
        <v/>
      </c>
      <c r="I414" s="69" t="str">
        <f t="array" ref="I414">IF(G414="","",IFERROR(INDEX('Material Master'!$C$2:$C$201,IFERROR(MATCH(G414,'Material Master'!$F$2:$F$201,0),MATCH(G414,'Material Master'!$A$2:$A$201,0))),""))</f>
        <v/>
      </c>
      <c r="J414" s="75" t="str">
        <f>IF(E414="","",SUMIFS('Stock Movement'!$F$2:$F$501,'Stock Movement'!$D$2:$D$501,E414,'Stock Movement'!$E$2:$E$501,"IN")-SUMIFS('Stock Movement'!$F$2:$F$501,'Stock Movement'!$D$2:$D$501,E414,'Stock Movement'!$E$2:$E$501,"OUT"))</f>
        <v/>
      </c>
      <c r="K414" s="77" t="str">
        <f t="array" ref="K414">IF(G414="","",IFERROR(INDEX('Material Master'!$D$2:$D$201,IFERROR(MATCH(G414,'Material Master'!$F$2:$F$201,0),MATCH(G414,'Material Master'!$A$2:$A$201,0))),""))</f>
        <v/>
      </c>
      <c r="L414" s="69"/>
      <c r="M414" s="69"/>
    </row>
    <row r="415" ht="15.75" customHeight="1">
      <c r="A415" s="147"/>
      <c r="B415" s="148"/>
      <c r="C415" s="147"/>
      <c r="D415" s="149"/>
      <c r="E415" s="87" t="str">
        <f t="shared" si="1"/>
        <v/>
      </c>
      <c r="F415" s="83" t="str">
        <f t="shared" si="2"/>
        <v/>
      </c>
      <c r="G415" s="85"/>
      <c r="H415" s="85" t="str">
        <f t="array" ref="H415">IF(G415="","",IFERROR(INDEX('Material Master'!$B$2:$B$201,IFERROR(MATCH(G415,'Material Master'!$F$2:$F$201,0),MATCH(G415,'Material Master'!$A$2:$A$201,0))),""))</f>
        <v/>
      </c>
      <c r="I415" s="85" t="str">
        <f t="array" ref="I415">IF(G415="","",IFERROR(INDEX('Material Master'!$C$2:$C$201,IFERROR(MATCH(G415,'Material Master'!$F$2:$F$201,0),MATCH(G415,'Material Master'!$A$2:$A$201,0))),""))</f>
        <v/>
      </c>
      <c r="J415" s="86" t="str">
        <f>IF(E415="","",SUMIFS('Stock Movement'!$F$2:$F$501,'Stock Movement'!$D$2:$D$501,E415,'Stock Movement'!$E$2:$E$501,"IN")-SUMIFS('Stock Movement'!$F$2:$F$501,'Stock Movement'!$D$2:$D$501,E415,'Stock Movement'!$E$2:$E$501,"OUT"))</f>
        <v/>
      </c>
      <c r="K415" s="87" t="str">
        <f t="array" ref="K415">IF(G415="","",IFERROR(INDEX('Material Master'!$D$2:$D$201,IFERROR(MATCH(G415,'Material Master'!$F$2:$F$201,0),MATCH(G415,'Material Master'!$A$2:$A$201,0))),""))</f>
        <v/>
      </c>
      <c r="L415" s="85"/>
      <c r="M415" s="85"/>
    </row>
    <row r="416" ht="15.75" customHeight="1">
      <c r="A416" s="150"/>
      <c r="B416" s="151"/>
      <c r="C416" s="150"/>
      <c r="D416" s="152"/>
      <c r="E416" s="77" t="str">
        <f t="shared" si="1"/>
        <v/>
      </c>
      <c r="F416" s="91" t="str">
        <f t="shared" si="2"/>
        <v/>
      </c>
      <c r="G416" s="69"/>
      <c r="H416" s="69" t="str">
        <f t="array" ref="H416">IF(G416="","",IFERROR(INDEX('Material Master'!$B$2:$B$201,IFERROR(MATCH(G416,'Material Master'!$F$2:$F$201,0),MATCH(G416,'Material Master'!$A$2:$A$201,0))),""))</f>
        <v/>
      </c>
      <c r="I416" s="69" t="str">
        <f t="array" ref="I416">IF(G416="","",IFERROR(INDEX('Material Master'!$C$2:$C$201,IFERROR(MATCH(G416,'Material Master'!$F$2:$F$201,0),MATCH(G416,'Material Master'!$A$2:$A$201,0))),""))</f>
        <v/>
      </c>
      <c r="J416" s="75" t="str">
        <f>IF(E416="","",SUMIFS('Stock Movement'!$F$2:$F$501,'Stock Movement'!$D$2:$D$501,E416,'Stock Movement'!$E$2:$E$501,"IN")-SUMIFS('Stock Movement'!$F$2:$F$501,'Stock Movement'!$D$2:$D$501,E416,'Stock Movement'!$E$2:$E$501,"OUT"))</f>
        <v/>
      </c>
      <c r="K416" s="77" t="str">
        <f t="array" ref="K416">IF(G416="","",IFERROR(INDEX('Material Master'!$D$2:$D$201,IFERROR(MATCH(G416,'Material Master'!$F$2:$F$201,0),MATCH(G416,'Material Master'!$A$2:$A$201,0))),""))</f>
        <v/>
      </c>
      <c r="L416" s="69"/>
      <c r="M416" s="69"/>
    </row>
    <row r="417" ht="15.75" customHeight="1">
      <c r="A417" s="147"/>
      <c r="B417" s="148"/>
      <c r="C417" s="147"/>
      <c r="D417" s="149"/>
      <c r="E417" s="87" t="str">
        <f t="shared" si="1"/>
        <v/>
      </c>
      <c r="F417" s="83" t="str">
        <f t="shared" si="2"/>
        <v/>
      </c>
      <c r="G417" s="85"/>
      <c r="H417" s="85" t="str">
        <f t="array" ref="H417">IF(G417="","",IFERROR(INDEX('Material Master'!$B$2:$B$201,IFERROR(MATCH(G417,'Material Master'!$F$2:$F$201,0),MATCH(G417,'Material Master'!$A$2:$A$201,0))),""))</f>
        <v/>
      </c>
      <c r="I417" s="85" t="str">
        <f t="array" ref="I417">IF(G417="","",IFERROR(INDEX('Material Master'!$C$2:$C$201,IFERROR(MATCH(G417,'Material Master'!$F$2:$F$201,0),MATCH(G417,'Material Master'!$A$2:$A$201,0))),""))</f>
        <v/>
      </c>
      <c r="J417" s="86" t="str">
        <f>IF(E417="","",SUMIFS('Stock Movement'!$F$2:$F$501,'Stock Movement'!$D$2:$D$501,E417,'Stock Movement'!$E$2:$E$501,"IN")-SUMIFS('Stock Movement'!$F$2:$F$501,'Stock Movement'!$D$2:$D$501,E417,'Stock Movement'!$E$2:$E$501,"OUT"))</f>
        <v/>
      </c>
      <c r="K417" s="87" t="str">
        <f t="array" ref="K417">IF(G417="","",IFERROR(INDEX('Material Master'!$D$2:$D$201,IFERROR(MATCH(G417,'Material Master'!$F$2:$F$201,0),MATCH(G417,'Material Master'!$A$2:$A$201,0))),""))</f>
        <v/>
      </c>
      <c r="L417" s="85"/>
      <c r="M417" s="85"/>
    </row>
    <row r="418" ht="15.75" customHeight="1">
      <c r="A418" s="150"/>
      <c r="B418" s="151"/>
      <c r="C418" s="150"/>
      <c r="D418" s="152"/>
      <c r="E418" s="77" t="str">
        <f t="shared" si="1"/>
        <v/>
      </c>
      <c r="F418" s="91" t="str">
        <f t="shared" si="2"/>
        <v/>
      </c>
      <c r="G418" s="69"/>
      <c r="H418" s="69" t="str">
        <f t="array" ref="H418">IF(G418="","",IFERROR(INDEX('Material Master'!$B$2:$B$201,IFERROR(MATCH(G418,'Material Master'!$F$2:$F$201,0),MATCH(G418,'Material Master'!$A$2:$A$201,0))),""))</f>
        <v/>
      </c>
      <c r="I418" s="69" t="str">
        <f t="array" ref="I418">IF(G418="","",IFERROR(INDEX('Material Master'!$C$2:$C$201,IFERROR(MATCH(G418,'Material Master'!$F$2:$F$201,0),MATCH(G418,'Material Master'!$A$2:$A$201,0))),""))</f>
        <v/>
      </c>
      <c r="J418" s="75" t="str">
        <f>IF(E418="","",SUMIFS('Stock Movement'!$F$2:$F$501,'Stock Movement'!$D$2:$D$501,E418,'Stock Movement'!$E$2:$E$501,"IN")-SUMIFS('Stock Movement'!$F$2:$F$501,'Stock Movement'!$D$2:$D$501,E418,'Stock Movement'!$E$2:$E$501,"OUT"))</f>
        <v/>
      </c>
      <c r="K418" s="77" t="str">
        <f t="array" ref="K418">IF(G418="","",IFERROR(INDEX('Material Master'!$D$2:$D$201,IFERROR(MATCH(G418,'Material Master'!$F$2:$F$201,0),MATCH(G418,'Material Master'!$A$2:$A$201,0))),""))</f>
        <v/>
      </c>
      <c r="L418" s="69"/>
      <c r="M418" s="69"/>
    </row>
    <row r="419" ht="15.75" customHeight="1">
      <c r="A419" s="147"/>
      <c r="B419" s="148"/>
      <c r="C419" s="147"/>
      <c r="D419" s="149"/>
      <c r="E419" s="87" t="str">
        <f t="shared" si="1"/>
        <v/>
      </c>
      <c r="F419" s="83" t="str">
        <f t="shared" si="2"/>
        <v/>
      </c>
      <c r="G419" s="85"/>
      <c r="H419" s="85" t="str">
        <f t="array" ref="H419">IF(G419="","",IFERROR(INDEX('Material Master'!$B$2:$B$201,IFERROR(MATCH(G419,'Material Master'!$F$2:$F$201,0),MATCH(G419,'Material Master'!$A$2:$A$201,0))),""))</f>
        <v/>
      </c>
      <c r="I419" s="85" t="str">
        <f t="array" ref="I419">IF(G419="","",IFERROR(INDEX('Material Master'!$C$2:$C$201,IFERROR(MATCH(G419,'Material Master'!$F$2:$F$201,0),MATCH(G419,'Material Master'!$A$2:$A$201,0))),""))</f>
        <v/>
      </c>
      <c r="J419" s="86" t="str">
        <f>IF(E419="","",SUMIFS('Stock Movement'!$F$2:$F$501,'Stock Movement'!$D$2:$D$501,E419,'Stock Movement'!$E$2:$E$501,"IN")-SUMIFS('Stock Movement'!$F$2:$F$501,'Stock Movement'!$D$2:$D$501,E419,'Stock Movement'!$E$2:$E$501,"OUT"))</f>
        <v/>
      </c>
      <c r="K419" s="87" t="str">
        <f t="array" ref="K419">IF(G419="","",IFERROR(INDEX('Material Master'!$D$2:$D$201,IFERROR(MATCH(G419,'Material Master'!$F$2:$F$201,0),MATCH(G419,'Material Master'!$A$2:$A$201,0))),""))</f>
        <v/>
      </c>
      <c r="L419" s="85"/>
      <c r="M419" s="85"/>
    </row>
    <row r="420" ht="15.75" customHeight="1">
      <c r="A420" s="150"/>
      <c r="B420" s="151"/>
      <c r="C420" s="150"/>
      <c r="D420" s="152"/>
      <c r="E420" s="77" t="str">
        <f t="shared" si="1"/>
        <v/>
      </c>
      <c r="F420" s="91" t="str">
        <f t="shared" si="2"/>
        <v/>
      </c>
      <c r="G420" s="69"/>
      <c r="H420" s="69" t="str">
        <f t="array" ref="H420">IF(G420="","",IFERROR(INDEX('Material Master'!$B$2:$B$201,IFERROR(MATCH(G420,'Material Master'!$F$2:$F$201,0),MATCH(G420,'Material Master'!$A$2:$A$201,0))),""))</f>
        <v/>
      </c>
      <c r="I420" s="69" t="str">
        <f t="array" ref="I420">IF(G420="","",IFERROR(INDEX('Material Master'!$C$2:$C$201,IFERROR(MATCH(G420,'Material Master'!$F$2:$F$201,0),MATCH(G420,'Material Master'!$A$2:$A$201,0))),""))</f>
        <v/>
      </c>
      <c r="J420" s="75" t="str">
        <f>IF(E420="","",SUMIFS('Stock Movement'!$F$2:$F$501,'Stock Movement'!$D$2:$D$501,E420,'Stock Movement'!$E$2:$E$501,"IN")-SUMIFS('Stock Movement'!$F$2:$F$501,'Stock Movement'!$D$2:$D$501,E420,'Stock Movement'!$E$2:$E$501,"OUT"))</f>
        <v/>
      </c>
      <c r="K420" s="77" t="str">
        <f t="array" ref="K420">IF(G420="","",IFERROR(INDEX('Material Master'!$D$2:$D$201,IFERROR(MATCH(G420,'Material Master'!$F$2:$F$201,0),MATCH(G420,'Material Master'!$A$2:$A$201,0))),""))</f>
        <v/>
      </c>
      <c r="L420" s="69"/>
      <c r="M420" s="69"/>
    </row>
    <row r="421" ht="15.75" customHeight="1">
      <c r="A421" s="147"/>
      <c r="B421" s="148"/>
      <c r="C421" s="147"/>
      <c r="D421" s="149"/>
      <c r="E421" s="87" t="str">
        <f t="shared" si="1"/>
        <v/>
      </c>
      <c r="F421" s="83" t="str">
        <f t="shared" si="2"/>
        <v/>
      </c>
      <c r="G421" s="85"/>
      <c r="H421" s="85" t="str">
        <f t="array" ref="H421">IF(G421="","",IFERROR(INDEX('Material Master'!$B$2:$B$201,IFERROR(MATCH(G421,'Material Master'!$F$2:$F$201,0),MATCH(G421,'Material Master'!$A$2:$A$201,0))),""))</f>
        <v/>
      </c>
      <c r="I421" s="85" t="str">
        <f t="array" ref="I421">IF(G421="","",IFERROR(INDEX('Material Master'!$C$2:$C$201,IFERROR(MATCH(G421,'Material Master'!$F$2:$F$201,0),MATCH(G421,'Material Master'!$A$2:$A$201,0))),""))</f>
        <v/>
      </c>
      <c r="J421" s="86" t="str">
        <f>IF(E421="","",SUMIFS('Stock Movement'!$F$2:$F$501,'Stock Movement'!$D$2:$D$501,E421,'Stock Movement'!$E$2:$E$501,"IN")-SUMIFS('Stock Movement'!$F$2:$F$501,'Stock Movement'!$D$2:$D$501,E421,'Stock Movement'!$E$2:$E$501,"OUT"))</f>
        <v/>
      </c>
      <c r="K421" s="87" t="str">
        <f t="array" ref="K421">IF(G421="","",IFERROR(INDEX('Material Master'!$D$2:$D$201,IFERROR(MATCH(G421,'Material Master'!$F$2:$F$201,0),MATCH(G421,'Material Master'!$A$2:$A$201,0))),""))</f>
        <v/>
      </c>
      <c r="L421" s="85"/>
      <c r="M421" s="85"/>
    </row>
    <row r="422" ht="15.75" customHeight="1">
      <c r="A422" s="150"/>
      <c r="B422" s="151"/>
      <c r="C422" s="150"/>
      <c r="D422" s="152"/>
      <c r="E422" s="77" t="str">
        <f t="shared" si="1"/>
        <v/>
      </c>
      <c r="F422" s="91" t="str">
        <f t="shared" si="2"/>
        <v/>
      </c>
      <c r="G422" s="69"/>
      <c r="H422" s="69" t="str">
        <f t="array" ref="H422">IF(G422="","",IFERROR(INDEX('Material Master'!$B$2:$B$201,IFERROR(MATCH(G422,'Material Master'!$F$2:$F$201,0),MATCH(G422,'Material Master'!$A$2:$A$201,0))),""))</f>
        <v/>
      </c>
      <c r="I422" s="69" t="str">
        <f t="array" ref="I422">IF(G422="","",IFERROR(INDEX('Material Master'!$C$2:$C$201,IFERROR(MATCH(G422,'Material Master'!$F$2:$F$201,0),MATCH(G422,'Material Master'!$A$2:$A$201,0))),""))</f>
        <v/>
      </c>
      <c r="J422" s="75" t="str">
        <f>IF(E422="","",SUMIFS('Stock Movement'!$F$2:$F$501,'Stock Movement'!$D$2:$D$501,E422,'Stock Movement'!$E$2:$E$501,"IN")-SUMIFS('Stock Movement'!$F$2:$F$501,'Stock Movement'!$D$2:$D$501,E422,'Stock Movement'!$E$2:$E$501,"OUT"))</f>
        <v/>
      </c>
      <c r="K422" s="77" t="str">
        <f t="array" ref="K422">IF(G422="","",IFERROR(INDEX('Material Master'!$D$2:$D$201,IFERROR(MATCH(G422,'Material Master'!$F$2:$F$201,0),MATCH(G422,'Material Master'!$A$2:$A$201,0))),""))</f>
        <v/>
      </c>
      <c r="L422" s="69"/>
      <c r="M422" s="69"/>
    </row>
    <row r="423" ht="15.75" customHeight="1">
      <c r="A423" s="147"/>
      <c r="B423" s="148"/>
      <c r="C423" s="147"/>
      <c r="D423" s="149"/>
      <c r="E423" s="87" t="str">
        <f t="shared" si="1"/>
        <v/>
      </c>
      <c r="F423" s="83" t="str">
        <f t="shared" si="2"/>
        <v/>
      </c>
      <c r="G423" s="85"/>
      <c r="H423" s="85" t="str">
        <f t="array" ref="H423">IF(G423="","",IFERROR(INDEX('Material Master'!$B$2:$B$201,IFERROR(MATCH(G423,'Material Master'!$F$2:$F$201,0),MATCH(G423,'Material Master'!$A$2:$A$201,0))),""))</f>
        <v/>
      </c>
      <c r="I423" s="85" t="str">
        <f t="array" ref="I423">IF(G423="","",IFERROR(INDEX('Material Master'!$C$2:$C$201,IFERROR(MATCH(G423,'Material Master'!$F$2:$F$201,0),MATCH(G423,'Material Master'!$A$2:$A$201,0))),""))</f>
        <v/>
      </c>
      <c r="J423" s="86" t="str">
        <f>IF(E423="","",SUMIFS('Stock Movement'!$F$2:$F$501,'Stock Movement'!$D$2:$D$501,E423,'Stock Movement'!$E$2:$E$501,"IN")-SUMIFS('Stock Movement'!$F$2:$F$501,'Stock Movement'!$D$2:$D$501,E423,'Stock Movement'!$E$2:$E$501,"OUT"))</f>
        <v/>
      </c>
      <c r="K423" s="87" t="str">
        <f t="array" ref="K423">IF(G423="","",IFERROR(INDEX('Material Master'!$D$2:$D$201,IFERROR(MATCH(G423,'Material Master'!$F$2:$F$201,0),MATCH(G423,'Material Master'!$A$2:$A$201,0))),""))</f>
        <v/>
      </c>
      <c r="L423" s="85"/>
      <c r="M423" s="85"/>
    </row>
    <row r="424" ht="15.75" customHeight="1">
      <c r="A424" s="150"/>
      <c r="B424" s="151"/>
      <c r="C424" s="150"/>
      <c r="D424" s="152"/>
      <c r="E424" s="77" t="str">
        <f t="shared" si="1"/>
        <v/>
      </c>
      <c r="F424" s="91" t="str">
        <f t="shared" si="2"/>
        <v/>
      </c>
      <c r="G424" s="69"/>
      <c r="H424" s="69" t="str">
        <f t="array" ref="H424">IF(G424="","",IFERROR(INDEX('Material Master'!$B$2:$B$201,IFERROR(MATCH(G424,'Material Master'!$F$2:$F$201,0),MATCH(G424,'Material Master'!$A$2:$A$201,0))),""))</f>
        <v/>
      </c>
      <c r="I424" s="69" t="str">
        <f t="array" ref="I424">IF(G424="","",IFERROR(INDEX('Material Master'!$C$2:$C$201,IFERROR(MATCH(G424,'Material Master'!$F$2:$F$201,0),MATCH(G424,'Material Master'!$A$2:$A$201,0))),""))</f>
        <v/>
      </c>
      <c r="J424" s="75" t="str">
        <f>IF(E424="","",SUMIFS('Stock Movement'!$F$2:$F$501,'Stock Movement'!$D$2:$D$501,E424,'Stock Movement'!$E$2:$E$501,"IN")-SUMIFS('Stock Movement'!$F$2:$F$501,'Stock Movement'!$D$2:$D$501,E424,'Stock Movement'!$E$2:$E$501,"OUT"))</f>
        <v/>
      </c>
      <c r="K424" s="77" t="str">
        <f t="array" ref="K424">IF(G424="","",IFERROR(INDEX('Material Master'!$D$2:$D$201,IFERROR(MATCH(G424,'Material Master'!$F$2:$F$201,0),MATCH(G424,'Material Master'!$A$2:$A$201,0))),""))</f>
        <v/>
      </c>
      <c r="L424" s="69"/>
      <c r="M424" s="69"/>
    </row>
    <row r="425" ht="15.75" customHeight="1">
      <c r="A425" s="147"/>
      <c r="B425" s="148"/>
      <c r="C425" s="147"/>
      <c r="D425" s="149"/>
      <c r="E425" s="87" t="str">
        <f t="shared" si="1"/>
        <v/>
      </c>
      <c r="F425" s="83" t="str">
        <f t="shared" si="2"/>
        <v/>
      </c>
      <c r="G425" s="85"/>
      <c r="H425" s="85" t="str">
        <f t="array" ref="H425">IF(G425="","",IFERROR(INDEX('Material Master'!$B$2:$B$201,IFERROR(MATCH(G425,'Material Master'!$F$2:$F$201,0),MATCH(G425,'Material Master'!$A$2:$A$201,0))),""))</f>
        <v/>
      </c>
      <c r="I425" s="85" t="str">
        <f t="array" ref="I425">IF(G425="","",IFERROR(INDEX('Material Master'!$C$2:$C$201,IFERROR(MATCH(G425,'Material Master'!$F$2:$F$201,0),MATCH(G425,'Material Master'!$A$2:$A$201,0))),""))</f>
        <v/>
      </c>
      <c r="J425" s="86" t="str">
        <f>IF(E425="","",SUMIFS('Stock Movement'!$F$2:$F$501,'Stock Movement'!$D$2:$D$501,E425,'Stock Movement'!$E$2:$E$501,"IN")-SUMIFS('Stock Movement'!$F$2:$F$501,'Stock Movement'!$D$2:$D$501,E425,'Stock Movement'!$E$2:$E$501,"OUT"))</f>
        <v/>
      </c>
      <c r="K425" s="87" t="str">
        <f t="array" ref="K425">IF(G425="","",IFERROR(INDEX('Material Master'!$D$2:$D$201,IFERROR(MATCH(G425,'Material Master'!$F$2:$F$201,0),MATCH(G425,'Material Master'!$A$2:$A$201,0))),""))</f>
        <v/>
      </c>
      <c r="L425" s="85"/>
      <c r="M425" s="85"/>
    </row>
    <row r="426" ht="15.75" customHeight="1">
      <c r="A426" s="150"/>
      <c r="B426" s="151"/>
      <c r="C426" s="150"/>
      <c r="D426" s="152"/>
      <c r="E426" s="77" t="str">
        <f t="shared" si="1"/>
        <v/>
      </c>
      <c r="F426" s="91" t="str">
        <f t="shared" si="2"/>
        <v/>
      </c>
      <c r="G426" s="69"/>
      <c r="H426" s="69" t="str">
        <f t="array" ref="H426">IF(G426="","",IFERROR(INDEX('Material Master'!$B$2:$B$201,IFERROR(MATCH(G426,'Material Master'!$F$2:$F$201,0),MATCH(G426,'Material Master'!$A$2:$A$201,0))),""))</f>
        <v/>
      </c>
      <c r="I426" s="69" t="str">
        <f t="array" ref="I426">IF(G426="","",IFERROR(INDEX('Material Master'!$C$2:$C$201,IFERROR(MATCH(G426,'Material Master'!$F$2:$F$201,0),MATCH(G426,'Material Master'!$A$2:$A$201,0))),""))</f>
        <v/>
      </c>
      <c r="J426" s="75" t="str">
        <f>IF(E426="","",SUMIFS('Stock Movement'!$F$2:$F$501,'Stock Movement'!$D$2:$D$501,E426,'Stock Movement'!$E$2:$E$501,"IN")-SUMIFS('Stock Movement'!$F$2:$F$501,'Stock Movement'!$D$2:$D$501,E426,'Stock Movement'!$E$2:$E$501,"OUT"))</f>
        <v/>
      </c>
      <c r="K426" s="77" t="str">
        <f t="array" ref="K426">IF(G426="","",IFERROR(INDEX('Material Master'!$D$2:$D$201,IFERROR(MATCH(G426,'Material Master'!$F$2:$F$201,0),MATCH(G426,'Material Master'!$A$2:$A$201,0))),""))</f>
        <v/>
      </c>
      <c r="L426" s="69"/>
      <c r="M426" s="69"/>
    </row>
    <row r="427" ht="15.75" customHeight="1">
      <c r="A427" s="147"/>
      <c r="B427" s="148"/>
      <c r="C427" s="147"/>
      <c r="D427" s="149"/>
      <c r="E427" s="87" t="str">
        <f t="shared" si="1"/>
        <v/>
      </c>
      <c r="F427" s="83" t="str">
        <f t="shared" si="2"/>
        <v/>
      </c>
      <c r="G427" s="85"/>
      <c r="H427" s="85" t="str">
        <f t="array" ref="H427">IF(G427="","",IFERROR(INDEX('Material Master'!$B$2:$B$201,IFERROR(MATCH(G427,'Material Master'!$F$2:$F$201,0),MATCH(G427,'Material Master'!$A$2:$A$201,0))),""))</f>
        <v/>
      </c>
      <c r="I427" s="85" t="str">
        <f t="array" ref="I427">IF(G427="","",IFERROR(INDEX('Material Master'!$C$2:$C$201,IFERROR(MATCH(G427,'Material Master'!$F$2:$F$201,0),MATCH(G427,'Material Master'!$A$2:$A$201,0))),""))</f>
        <v/>
      </c>
      <c r="J427" s="86" t="str">
        <f>IF(E427="","",SUMIFS('Stock Movement'!$F$2:$F$501,'Stock Movement'!$D$2:$D$501,E427,'Stock Movement'!$E$2:$E$501,"IN")-SUMIFS('Stock Movement'!$F$2:$F$501,'Stock Movement'!$D$2:$D$501,E427,'Stock Movement'!$E$2:$E$501,"OUT"))</f>
        <v/>
      </c>
      <c r="K427" s="87" t="str">
        <f t="array" ref="K427">IF(G427="","",IFERROR(INDEX('Material Master'!$D$2:$D$201,IFERROR(MATCH(G427,'Material Master'!$F$2:$F$201,0),MATCH(G427,'Material Master'!$A$2:$A$201,0))),""))</f>
        <v/>
      </c>
      <c r="L427" s="85"/>
      <c r="M427" s="85"/>
    </row>
    <row r="428" ht="15.75" customHeight="1">
      <c r="A428" s="150"/>
      <c r="B428" s="151"/>
      <c r="C428" s="150"/>
      <c r="D428" s="152"/>
      <c r="E428" s="77" t="str">
        <f t="shared" si="1"/>
        <v/>
      </c>
      <c r="F428" s="91" t="str">
        <f t="shared" si="2"/>
        <v/>
      </c>
      <c r="G428" s="69"/>
      <c r="H428" s="69" t="str">
        <f t="array" ref="H428">IF(G428="","",IFERROR(INDEX('Material Master'!$B$2:$B$201,IFERROR(MATCH(G428,'Material Master'!$F$2:$F$201,0),MATCH(G428,'Material Master'!$A$2:$A$201,0))),""))</f>
        <v/>
      </c>
      <c r="I428" s="69" t="str">
        <f t="array" ref="I428">IF(G428="","",IFERROR(INDEX('Material Master'!$C$2:$C$201,IFERROR(MATCH(G428,'Material Master'!$F$2:$F$201,0),MATCH(G428,'Material Master'!$A$2:$A$201,0))),""))</f>
        <v/>
      </c>
      <c r="J428" s="75" t="str">
        <f>IF(E428="","",SUMIFS('Stock Movement'!$F$2:$F$501,'Stock Movement'!$D$2:$D$501,E428,'Stock Movement'!$E$2:$E$501,"IN")-SUMIFS('Stock Movement'!$F$2:$F$501,'Stock Movement'!$D$2:$D$501,E428,'Stock Movement'!$E$2:$E$501,"OUT"))</f>
        <v/>
      </c>
      <c r="K428" s="77" t="str">
        <f t="array" ref="K428">IF(G428="","",IFERROR(INDEX('Material Master'!$D$2:$D$201,IFERROR(MATCH(G428,'Material Master'!$F$2:$F$201,0),MATCH(G428,'Material Master'!$A$2:$A$201,0))),""))</f>
        <v/>
      </c>
      <c r="L428" s="69"/>
      <c r="M428" s="69"/>
    </row>
    <row r="429" ht="15.75" customHeight="1">
      <c r="A429" s="147"/>
      <c r="B429" s="148"/>
      <c r="C429" s="147"/>
      <c r="D429" s="149"/>
      <c r="E429" s="87" t="str">
        <f t="shared" si="1"/>
        <v/>
      </c>
      <c r="F429" s="83" t="str">
        <f t="shared" si="2"/>
        <v/>
      </c>
      <c r="G429" s="85"/>
      <c r="H429" s="85" t="str">
        <f t="array" ref="H429">IF(G429="","",IFERROR(INDEX('Material Master'!$B$2:$B$201,IFERROR(MATCH(G429,'Material Master'!$F$2:$F$201,0),MATCH(G429,'Material Master'!$A$2:$A$201,0))),""))</f>
        <v/>
      </c>
      <c r="I429" s="85" t="str">
        <f t="array" ref="I429">IF(G429="","",IFERROR(INDEX('Material Master'!$C$2:$C$201,IFERROR(MATCH(G429,'Material Master'!$F$2:$F$201,0),MATCH(G429,'Material Master'!$A$2:$A$201,0))),""))</f>
        <v/>
      </c>
      <c r="J429" s="86" t="str">
        <f>IF(E429="","",SUMIFS('Stock Movement'!$F$2:$F$501,'Stock Movement'!$D$2:$D$501,E429,'Stock Movement'!$E$2:$E$501,"IN")-SUMIFS('Stock Movement'!$F$2:$F$501,'Stock Movement'!$D$2:$D$501,E429,'Stock Movement'!$E$2:$E$501,"OUT"))</f>
        <v/>
      </c>
      <c r="K429" s="87" t="str">
        <f t="array" ref="K429">IF(G429="","",IFERROR(INDEX('Material Master'!$D$2:$D$201,IFERROR(MATCH(G429,'Material Master'!$F$2:$F$201,0),MATCH(G429,'Material Master'!$A$2:$A$201,0))),""))</f>
        <v/>
      </c>
      <c r="L429" s="85"/>
      <c r="M429" s="85"/>
    </row>
    <row r="430" ht="15.75" customHeight="1">
      <c r="A430" s="150"/>
      <c r="B430" s="151"/>
      <c r="C430" s="150"/>
      <c r="D430" s="152"/>
      <c r="E430" s="77" t="str">
        <f t="shared" si="1"/>
        <v/>
      </c>
      <c r="F430" s="91" t="str">
        <f t="shared" si="2"/>
        <v/>
      </c>
      <c r="G430" s="69"/>
      <c r="H430" s="69" t="str">
        <f t="array" ref="H430">IF(G430="","",IFERROR(INDEX('Material Master'!$B$2:$B$201,IFERROR(MATCH(G430,'Material Master'!$F$2:$F$201,0),MATCH(G430,'Material Master'!$A$2:$A$201,0))),""))</f>
        <v/>
      </c>
      <c r="I430" s="69" t="str">
        <f t="array" ref="I430">IF(G430="","",IFERROR(INDEX('Material Master'!$C$2:$C$201,IFERROR(MATCH(G430,'Material Master'!$F$2:$F$201,0),MATCH(G430,'Material Master'!$A$2:$A$201,0))),""))</f>
        <v/>
      </c>
      <c r="J430" s="75" t="str">
        <f>IF(E430="","",SUMIFS('Stock Movement'!$F$2:$F$501,'Stock Movement'!$D$2:$D$501,E430,'Stock Movement'!$E$2:$E$501,"IN")-SUMIFS('Stock Movement'!$F$2:$F$501,'Stock Movement'!$D$2:$D$501,E430,'Stock Movement'!$E$2:$E$501,"OUT"))</f>
        <v/>
      </c>
      <c r="K430" s="77" t="str">
        <f t="array" ref="K430">IF(G430="","",IFERROR(INDEX('Material Master'!$D$2:$D$201,IFERROR(MATCH(G430,'Material Master'!$F$2:$F$201,0),MATCH(G430,'Material Master'!$A$2:$A$201,0))),""))</f>
        <v/>
      </c>
      <c r="L430" s="69"/>
      <c r="M430" s="69"/>
    </row>
    <row r="431" ht="15.75" customHeight="1">
      <c r="A431" s="147"/>
      <c r="B431" s="148"/>
      <c r="C431" s="147"/>
      <c r="D431" s="149"/>
      <c r="E431" s="87" t="str">
        <f t="shared" si="1"/>
        <v/>
      </c>
      <c r="F431" s="83" t="str">
        <f t="shared" si="2"/>
        <v/>
      </c>
      <c r="G431" s="85"/>
      <c r="H431" s="85" t="str">
        <f t="array" ref="H431">IF(G431="","",IFERROR(INDEX('Material Master'!$B$2:$B$201,IFERROR(MATCH(G431,'Material Master'!$F$2:$F$201,0),MATCH(G431,'Material Master'!$A$2:$A$201,0))),""))</f>
        <v/>
      </c>
      <c r="I431" s="85" t="str">
        <f t="array" ref="I431">IF(G431="","",IFERROR(INDEX('Material Master'!$C$2:$C$201,IFERROR(MATCH(G431,'Material Master'!$F$2:$F$201,0),MATCH(G431,'Material Master'!$A$2:$A$201,0))),""))</f>
        <v/>
      </c>
      <c r="J431" s="86" t="str">
        <f>IF(E431="","",SUMIFS('Stock Movement'!$F$2:$F$501,'Stock Movement'!$D$2:$D$501,E431,'Stock Movement'!$E$2:$E$501,"IN")-SUMIFS('Stock Movement'!$F$2:$F$501,'Stock Movement'!$D$2:$D$501,E431,'Stock Movement'!$E$2:$E$501,"OUT"))</f>
        <v/>
      </c>
      <c r="K431" s="87" t="str">
        <f t="array" ref="K431">IF(G431="","",IFERROR(INDEX('Material Master'!$D$2:$D$201,IFERROR(MATCH(G431,'Material Master'!$F$2:$F$201,0),MATCH(G431,'Material Master'!$A$2:$A$201,0))),""))</f>
        <v/>
      </c>
      <c r="L431" s="85"/>
      <c r="M431" s="85"/>
    </row>
    <row r="432" ht="15.75" customHeight="1">
      <c r="A432" s="150"/>
      <c r="B432" s="151"/>
      <c r="C432" s="150"/>
      <c r="D432" s="152"/>
      <c r="E432" s="77" t="str">
        <f t="shared" si="1"/>
        <v/>
      </c>
      <c r="F432" s="91" t="str">
        <f t="shared" si="2"/>
        <v/>
      </c>
      <c r="G432" s="69"/>
      <c r="H432" s="69" t="str">
        <f t="array" ref="H432">IF(G432="","",IFERROR(INDEX('Material Master'!$B$2:$B$201,IFERROR(MATCH(G432,'Material Master'!$F$2:$F$201,0),MATCH(G432,'Material Master'!$A$2:$A$201,0))),""))</f>
        <v/>
      </c>
      <c r="I432" s="69" t="str">
        <f t="array" ref="I432">IF(G432="","",IFERROR(INDEX('Material Master'!$C$2:$C$201,IFERROR(MATCH(G432,'Material Master'!$F$2:$F$201,0),MATCH(G432,'Material Master'!$A$2:$A$201,0))),""))</f>
        <v/>
      </c>
      <c r="J432" s="75" t="str">
        <f>IF(E432="","",SUMIFS('Stock Movement'!$F$2:$F$501,'Stock Movement'!$D$2:$D$501,E432,'Stock Movement'!$E$2:$E$501,"IN")-SUMIFS('Stock Movement'!$F$2:$F$501,'Stock Movement'!$D$2:$D$501,E432,'Stock Movement'!$E$2:$E$501,"OUT"))</f>
        <v/>
      </c>
      <c r="K432" s="77" t="str">
        <f t="array" ref="K432">IF(G432="","",IFERROR(INDEX('Material Master'!$D$2:$D$201,IFERROR(MATCH(G432,'Material Master'!$F$2:$F$201,0),MATCH(G432,'Material Master'!$A$2:$A$201,0))),""))</f>
        <v/>
      </c>
      <c r="L432" s="69"/>
      <c r="M432" s="69"/>
    </row>
    <row r="433" ht="15.75" customHeight="1">
      <c r="A433" s="147"/>
      <c r="B433" s="148"/>
      <c r="C433" s="147"/>
      <c r="D433" s="149"/>
      <c r="E433" s="87" t="str">
        <f t="shared" si="1"/>
        <v/>
      </c>
      <c r="F433" s="83" t="str">
        <f t="shared" si="2"/>
        <v/>
      </c>
      <c r="G433" s="85"/>
      <c r="H433" s="85" t="str">
        <f t="array" ref="H433">IF(G433="","",IFERROR(INDEX('Material Master'!$B$2:$B$201,IFERROR(MATCH(G433,'Material Master'!$F$2:$F$201,0),MATCH(G433,'Material Master'!$A$2:$A$201,0))),""))</f>
        <v/>
      </c>
      <c r="I433" s="85" t="str">
        <f t="array" ref="I433">IF(G433="","",IFERROR(INDEX('Material Master'!$C$2:$C$201,IFERROR(MATCH(G433,'Material Master'!$F$2:$F$201,0),MATCH(G433,'Material Master'!$A$2:$A$201,0))),""))</f>
        <v/>
      </c>
      <c r="J433" s="86" t="str">
        <f>IF(E433="","",SUMIFS('Stock Movement'!$F$2:$F$501,'Stock Movement'!$D$2:$D$501,E433,'Stock Movement'!$E$2:$E$501,"IN")-SUMIFS('Stock Movement'!$F$2:$F$501,'Stock Movement'!$D$2:$D$501,E433,'Stock Movement'!$E$2:$E$501,"OUT"))</f>
        <v/>
      </c>
      <c r="K433" s="87" t="str">
        <f t="array" ref="K433">IF(G433="","",IFERROR(INDEX('Material Master'!$D$2:$D$201,IFERROR(MATCH(G433,'Material Master'!$F$2:$F$201,0),MATCH(G433,'Material Master'!$A$2:$A$201,0))),""))</f>
        <v/>
      </c>
      <c r="L433" s="85"/>
      <c r="M433" s="85"/>
    </row>
    <row r="434" ht="15.75" customHeight="1">
      <c r="A434" s="150"/>
      <c r="B434" s="151"/>
      <c r="C434" s="150"/>
      <c r="D434" s="152"/>
      <c r="E434" s="77" t="str">
        <f t="shared" si="1"/>
        <v/>
      </c>
      <c r="F434" s="91" t="str">
        <f t="shared" si="2"/>
        <v/>
      </c>
      <c r="G434" s="69"/>
      <c r="H434" s="69" t="str">
        <f t="array" ref="H434">IF(G434="","",IFERROR(INDEX('Material Master'!$B$2:$B$201,IFERROR(MATCH(G434,'Material Master'!$F$2:$F$201,0),MATCH(G434,'Material Master'!$A$2:$A$201,0))),""))</f>
        <v/>
      </c>
      <c r="I434" s="69" t="str">
        <f t="array" ref="I434">IF(G434="","",IFERROR(INDEX('Material Master'!$C$2:$C$201,IFERROR(MATCH(G434,'Material Master'!$F$2:$F$201,0),MATCH(G434,'Material Master'!$A$2:$A$201,0))),""))</f>
        <v/>
      </c>
      <c r="J434" s="75" t="str">
        <f>IF(E434="","",SUMIFS('Stock Movement'!$F$2:$F$501,'Stock Movement'!$D$2:$D$501,E434,'Stock Movement'!$E$2:$E$501,"IN")-SUMIFS('Stock Movement'!$F$2:$F$501,'Stock Movement'!$D$2:$D$501,E434,'Stock Movement'!$E$2:$E$501,"OUT"))</f>
        <v/>
      </c>
      <c r="K434" s="77" t="str">
        <f t="array" ref="K434">IF(G434="","",IFERROR(INDEX('Material Master'!$D$2:$D$201,IFERROR(MATCH(G434,'Material Master'!$F$2:$F$201,0),MATCH(G434,'Material Master'!$A$2:$A$201,0))),""))</f>
        <v/>
      </c>
      <c r="L434" s="69"/>
      <c r="M434" s="69"/>
    </row>
    <row r="435" ht="15.75" customHeight="1">
      <c r="A435" s="147"/>
      <c r="B435" s="148"/>
      <c r="C435" s="147"/>
      <c r="D435" s="149"/>
      <c r="E435" s="87" t="str">
        <f t="shared" si="1"/>
        <v/>
      </c>
      <c r="F435" s="83" t="str">
        <f t="shared" si="2"/>
        <v/>
      </c>
      <c r="G435" s="85"/>
      <c r="H435" s="85" t="str">
        <f t="array" ref="H435">IF(G435="","",IFERROR(INDEX('Material Master'!$B$2:$B$201,IFERROR(MATCH(G435,'Material Master'!$F$2:$F$201,0),MATCH(G435,'Material Master'!$A$2:$A$201,0))),""))</f>
        <v/>
      </c>
      <c r="I435" s="85" t="str">
        <f t="array" ref="I435">IF(G435="","",IFERROR(INDEX('Material Master'!$C$2:$C$201,IFERROR(MATCH(G435,'Material Master'!$F$2:$F$201,0),MATCH(G435,'Material Master'!$A$2:$A$201,0))),""))</f>
        <v/>
      </c>
      <c r="J435" s="86" t="str">
        <f>IF(E435="","",SUMIFS('Stock Movement'!$F$2:$F$501,'Stock Movement'!$D$2:$D$501,E435,'Stock Movement'!$E$2:$E$501,"IN")-SUMIFS('Stock Movement'!$F$2:$F$501,'Stock Movement'!$D$2:$D$501,E435,'Stock Movement'!$E$2:$E$501,"OUT"))</f>
        <v/>
      </c>
      <c r="K435" s="87" t="str">
        <f t="array" ref="K435">IF(G435="","",IFERROR(INDEX('Material Master'!$D$2:$D$201,IFERROR(MATCH(G435,'Material Master'!$F$2:$F$201,0),MATCH(G435,'Material Master'!$A$2:$A$201,0))),""))</f>
        <v/>
      </c>
      <c r="L435" s="85"/>
      <c r="M435" s="85"/>
    </row>
    <row r="436" ht="15.75" customHeight="1">
      <c r="A436" s="150"/>
      <c r="B436" s="151"/>
      <c r="C436" s="150"/>
      <c r="D436" s="152"/>
      <c r="E436" s="77" t="str">
        <f t="shared" si="1"/>
        <v/>
      </c>
      <c r="F436" s="91" t="str">
        <f t="shared" si="2"/>
        <v/>
      </c>
      <c r="G436" s="69"/>
      <c r="H436" s="69" t="str">
        <f t="array" ref="H436">IF(G436="","",IFERROR(INDEX('Material Master'!$B$2:$B$201,IFERROR(MATCH(G436,'Material Master'!$F$2:$F$201,0),MATCH(G436,'Material Master'!$A$2:$A$201,0))),""))</f>
        <v/>
      </c>
      <c r="I436" s="69" t="str">
        <f t="array" ref="I436">IF(G436="","",IFERROR(INDEX('Material Master'!$C$2:$C$201,IFERROR(MATCH(G436,'Material Master'!$F$2:$F$201,0),MATCH(G436,'Material Master'!$A$2:$A$201,0))),""))</f>
        <v/>
      </c>
      <c r="J436" s="75" t="str">
        <f>IF(E436="","",SUMIFS('Stock Movement'!$F$2:$F$501,'Stock Movement'!$D$2:$D$501,E436,'Stock Movement'!$E$2:$E$501,"IN")-SUMIFS('Stock Movement'!$F$2:$F$501,'Stock Movement'!$D$2:$D$501,E436,'Stock Movement'!$E$2:$E$501,"OUT"))</f>
        <v/>
      </c>
      <c r="K436" s="77" t="str">
        <f t="array" ref="K436">IF(G436="","",IFERROR(INDEX('Material Master'!$D$2:$D$201,IFERROR(MATCH(G436,'Material Master'!$F$2:$F$201,0),MATCH(G436,'Material Master'!$A$2:$A$201,0))),""))</f>
        <v/>
      </c>
      <c r="L436" s="69"/>
      <c r="M436" s="69"/>
    </row>
    <row r="437" ht="15.75" customHeight="1">
      <c r="A437" s="147"/>
      <c r="B437" s="148"/>
      <c r="C437" s="147"/>
      <c r="D437" s="149"/>
      <c r="E437" s="87" t="str">
        <f t="shared" si="1"/>
        <v/>
      </c>
      <c r="F437" s="83" t="str">
        <f t="shared" si="2"/>
        <v/>
      </c>
      <c r="G437" s="85"/>
      <c r="H437" s="85" t="str">
        <f t="array" ref="H437">IF(G437="","",IFERROR(INDEX('Material Master'!$B$2:$B$201,IFERROR(MATCH(G437,'Material Master'!$F$2:$F$201,0),MATCH(G437,'Material Master'!$A$2:$A$201,0))),""))</f>
        <v/>
      </c>
      <c r="I437" s="85" t="str">
        <f t="array" ref="I437">IF(G437="","",IFERROR(INDEX('Material Master'!$C$2:$C$201,IFERROR(MATCH(G437,'Material Master'!$F$2:$F$201,0),MATCH(G437,'Material Master'!$A$2:$A$201,0))),""))</f>
        <v/>
      </c>
      <c r="J437" s="86" t="str">
        <f>IF(E437="","",SUMIFS('Stock Movement'!$F$2:$F$501,'Stock Movement'!$D$2:$D$501,E437,'Stock Movement'!$E$2:$E$501,"IN")-SUMIFS('Stock Movement'!$F$2:$F$501,'Stock Movement'!$D$2:$D$501,E437,'Stock Movement'!$E$2:$E$501,"OUT"))</f>
        <v/>
      </c>
      <c r="K437" s="87" t="str">
        <f t="array" ref="K437">IF(G437="","",IFERROR(INDEX('Material Master'!$D$2:$D$201,IFERROR(MATCH(G437,'Material Master'!$F$2:$F$201,0),MATCH(G437,'Material Master'!$A$2:$A$201,0))),""))</f>
        <v/>
      </c>
      <c r="L437" s="85"/>
      <c r="M437" s="85"/>
    </row>
    <row r="438" ht="15.75" customHeight="1">
      <c r="A438" s="150"/>
      <c r="B438" s="151"/>
      <c r="C438" s="150"/>
      <c r="D438" s="152"/>
      <c r="E438" s="77" t="str">
        <f t="shared" si="1"/>
        <v/>
      </c>
      <c r="F438" s="91" t="str">
        <f t="shared" si="2"/>
        <v/>
      </c>
      <c r="G438" s="69"/>
      <c r="H438" s="69" t="str">
        <f t="array" ref="H438">IF(G438="","",IFERROR(INDEX('Material Master'!$B$2:$B$201,IFERROR(MATCH(G438,'Material Master'!$F$2:$F$201,0),MATCH(G438,'Material Master'!$A$2:$A$201,0))),""))</f>
        <v/>
      </c>
      <c r="I438" s="69" t="str">
        <f t="array" ref="I438">IF(G438="","",IFERROR(INDEX('Material Master'!$C$2:$C$201,IFERROR(MATCH(G438,'Material Master'!$F$2:$F$201,0),MATCH(G438,'Material Master'!$A$2:$A$201,0))),""))</f>
        <v/>
      </c>
      <c r="J438" s="75" t="str">
        <f>IF(E438="","",SUMIFS('Stock Movement'!$F$2:$F$501,'Stock Movement'!$D$2:$D$501,E438,'Stock Movement'!$E$2:$E$501,"IN")-SUMIFS('Stock Movement'!$F$2:$F$501,'Stock Movement'!$D$2:$D$501,E438,'Stock Movement'!$E$2:$E$501,"OUT"))</f>
        <v/>
      </c>
      <c r="K438" s="77" t="str">
        <f t="array" ref="K438">IF(G438="","",IFERROR(INDEX('Material Master'!$D$2:$D$201,IFERROR(MATCH(G438,'Material Master'!$F$2:$F$201,0),MATCH(G438,'Material Master'!$A$2:$A$201,0))),""))</f>
        <v/>
      </c>
      <c r="L438" s="69"/>
      <c r="M438" s="69"/>
    </row>
    <row r="439" ht="15.75" customHeight="1">
      <c r="A439" s="147"/>
      <c r="B439" s="148"/>
      <c r="C439" s="147"/>
      <c r="D439" s="149"/>
      <c r="E439" s="87" t="str">
        <f t="shared" si="1"/>
        <v/>
      </c>
      <c r="F439" s="83" t="str">
        <f t="shared" si="2"/>
        <v/>
      </c>
      <c r="G439" s="85"/>
      <c r="H439" s="85" t="str">
        <f t="array" ref="H439">IF(G439="","",IFERROR(INDEX('Material Master'!$B$2:$B$201,IFERROR(MATCH(G439,'Material Master'!$F$2:$F$201,0),MATCH(G439,'Material Master'!$A$2:$A$201,0))),""))</f>
        <v/>
      </c>
      <c r="I439" s="85" t="str">
        <f t="array" ref="I439">IF(G439="","",IFERROR(INDEX('Material Master'!$C$2:$C$201,IFERROR(MATCH(G439,'Material Master'!$F$2:$F$201,0),MATCH(G439,'Material Master'!$A$2:$A$201,0))),""))</f>
        <v/>
      </c>
      <c r="J439" s="86" t="str">
        <f>IF(E439="","",SUMIFS('Stock Movement'!$F$2:$F$501,'Stock Movement'!$D$2:$D$501,E439,'Stock Movement'!$E$2:$E$501,"IN")-SUMIFS('Stock Movement'!$F$2:$F$501,'Stock Movement'!$D$2:$D$501,E439,'Stock Movement'!$E$2:$E$501,"OUT"))</f>
        <v/>
      </c>
      <c r="K439" s="87" t="str">
        <f t="array" ref="K439">IF(G439="","",IFERROR(INDEX('Material Master'!$D$2:$D$201,IFERROR(MATCH(G439,'Material Master'!$F$2:$F$201,0),MATCH(G439,'Material Master'!$A$2:$A$201,0))),""))</f>
        <v/>
      </c>
      <c r="L439" s="85"/>
      <c r="M439" s="85"/>
    </row>
    <row r="440" ht="15.75" customHeight="1">
      <c r="A440" s="150"/>
      <c r="B440" s="151"/>
      <c r="C440" s="150"/>
      <c r="D440" s="152"/>
      <c r="E440" s="77" t="str">
        <f t="shared" si="1"/>
        <v/>
      </c>
      <c r="F440" s="91" t="str">
        <f t="shared" si="2"/>
        <v/>
      </c>
      <c r="G440" s="69"/>
      <c r="H440" s="69" t="str">
        <f t="array" ref="H440">IF(G440="","",IFERROR(INDEX('Material Master'!$B$2:$B$201,IFERROR(MATCH(G440,'Material Master'!$F$2:$F$201,0),MATCH(G440,'Material Master'!$A$2:$A$201,0))),""))</f>
        <v/>
      </c>
      <c r="I440" s="69" t="str">
        <f t="array" ref="I440">IF(G440="","",IFERROR(INDEX('Material Master'!$C$2:$C$201,IFERROR(MATCH(G440,'Material Master'!$F$2:$F$201,0),MATCH(G440,'Material Master'!$A$2:$A$201,0))),""))</f>
        <v/>
      </c>
      <c r="J440" s="75" t="str">
        <f>IF(E440="","",SUMIFS('Stock Movement'!$F$2:$F$501,'Stock Movement'!$D$2:$D$501,E440,'Stock Movement'!$E$2:$E$501,"IN")-SUMIFS('Stock Movement'!$F$2:$F$501,'Stock Movement'!$D$2:$D$501,E440,'Stock Movement'!$E$2:$E$501,"OUT"))</f>
        <v/>
      </c>
      <c r="K440" s="77" t="str">
        <f t="array" ref="K440">IF(G440="","",IFERROR(INDEX('Material Master'!$D$2:$D$201,IFERROR(MATCH(G440,'Material Master'!$F$2:$F$201,0),MATCH(G440,'Material Master'!$A$2:$A$201,0))),""))</f>
        <v/>
      </c>
      <c r="L440" s="69"/>
      <c r="M440" s="69"/>
    </row>
    <row r="441" ht="15.75" customHeight="1">
      <c r="A441" s="147"/>
      <c r="B441" s="148"/>
      <c r="C441" s="147"/>
      <c r="D441" s="149"/>
      <c r="E441" s="87" t="str">
        <f t="shared" si="1"/>
        <v/>
      </c>
      <c r="F441" s="83" t="str">
        <f t="shared" si="2"/>
        <v/>
      </c>
      <c r="G441" s="85"/>
      <c r="H441" s="85" t="str">
        <f t="array" ref="H441">IF(G441="","",IFERROR(INDEX('Material Master'!$B$2:$B$201,IFERROR(MATCH(G441,'Material Master'!$F$2:$F$201,0),MATCH(G441,'Material Master'!$A$2:$A$201,0))),""))</f>
        <v/>
      </c>
      <c r="I441" s="85" t="str">
        <f t="array" ref="I441">IF(G441="","",IFERROR(INDEX('Material Master'!$C$2:$C$201,IFERROR(MATCH(G441,'Material Master'!$F$2:$F$201,0),MATCH(G441,'Material Master'!$A$2:$A$201,0))),""))</f>
        <v/>
      </c>
      <c r="J441" s="86" t="str">
        <f>IF(E441="","",SUMIFS('Stock Movement'!$F$2:$F$501,'Stock Movement'!$D$2:$D$501,E441,'Stock Movement'!$E$2:$E$501,"IN")-SUMIFS('Stock Movement'!$F$2:$F$501,'Stock Movement'!$D$2:$D$501,E441,'Stock Movement'!$E$2:$E$501,"OUT"))</f>
        <v/>
      </c>
      <c r="K441" s="87" t="str">
        <f t="array" ref="K441">IF(G441="","",IFERROR(INDEX('Material Master'!$D$2:$D$201,IFERROR(MATCH(G441,'Material Master'!$F$2:$F$201,0),MATCH(G441,'Material Master'!$A$2:$A$201,0))),""))</f>
        <v/>
      </c>
      <c r="L441" s="85"/>
      <c r="M441" s="85"/>
    </row>
    <row r="442" ht="15.75" customHeight="1">
      <c r="A442" s="150"/>
      <c r="B442" s="151"/>
      <c r="C442" s="150"/>
      <c r="D442" s="152"/>
      <c r="E442" s="77" t="str">
        <f t="shared" si="1"/>
        <v/>
      </c>
      <c r="F442" s="91" t="str">
        <f t="shared" si="2"/>
        <v/>
      </c>
      <c r="G442" s="69"/>
      <c r="H442" s="69" t="str">
        <f t="array" ref="H442">IF(G442="","",IFERROR(INDEX('Material Master'!$B$2:$B$201,IFERROR(MATCH(G442,'Material Master'!$F$2:$F$201,0),MATCH(G442,'Material Master'!$A$2:$A$201,0))),""))</f>
        <v/>
      </c>
      <c r="I442" s="69" t="str">
        <f t="array" ref="I442">IF(G442="","",IFERROR(INDEX('Material Master'!$C$2:$C$201,IFERROR(MATCH(G442,'Material Master'!$F$2:$F$201,0),MATCH(G442,'Material Master'!$A$2:$A$201,0))),""))</f>
        <v/>
      </c>
      <c r="J442" s="75" t="str">
        <f>IF(E442="","",SUMIFS('Stock Movement'!$F$2:$F$501,'Stock Movement'!$D$2:$D$501,E442,'Stock Movement'!$E$2:$E$501,"IN")-SUMIFS('Stock Movement'!$F$2:$F$501,'Stock Movement'!$D$2:$D$501,E442,'Stock Movement'!$E$2:$E$501,"OUT"))</f>
        <v/>
      </c>
      <c r="K442" s="77" t="str">
        <f t="array" ref="K442">IF(G442="","",IFERROR(INDEX('Material Master'!$D$2:$D$201,IFERROR(MATCH(G442,'Material Master'!$F$2:$F$201,0),MATCH(G442,'Material Master'!$A$2:$A$201,0))),""))</f>
        <v/>
      </c>
      <c r="L442" s="69"/>
      <c r="M442" s="69"/>
    </row>
    <row r="443" ht="15.75" customHeight="1">
      <c r="A443" s="147"/>
      <c r="B443" s="148"/>
      <c r="C443" s="147"/>
      <c r="D443" s="149"/>
      <c r="E443" s="87" t="str">
        <f t="shared" si="1"/>
        <v/>
      </c>
      <c r="F443" s="83" t="str">
        <f t="shared" si="2"/>
        <v/>
      </c>
      <c r="G443" s="85"/>
      <c r="H443" s="85" t="str">
        <f t="array" ref="H443">IF(G443="","",IFERROR(INDEX('Material Master'!$B$2:$B$201,IFERROR(MATCH(G443,'Material Master'!$F$2:$F$201,0),MATCH(G443,'Material Master'!$A$2:$A$201,0))),""))</f>
        <v/>
      </c>
      <c r="I443" s="85" t="str">
        <f t="array" ref="I443">IF(G443="","",IFERROR(INDEX('Material Master'!$C$2:$C$201,IFERROR(MATCH(G443,'Material Master'!$F$2:$F$201,0),MATCH(G443,'Material Master'!$A$2:$A$201,0))),""))</f>
        <v/>
      </c>
      <c r="J443" s="86" t="str">
        <f>IF(E443="","",SUMIFS('Stock Movement'!$F$2:$F$501,'Stock Movement'!$D$2:$D$501,E443,'Stock Movement'!$E$2:$E$501,"IN")-SUMIFS('Stock Movement'!$F$2:$F$501,'Stock Movement'!$D$2:$D$501,E443,'Stock Movement'!$E$2:$E$501,"OUT"))</f>
        <v/>
      </c>
      <c r="K443" s="87" t="str">
        <f t="array" ref="K443">IF(G443="","",IFERROR(INDEX('Material Master'!$D$2:$D$201,IFERROR(MATCH(G443,'Material Master'!$F$2:$F$201,0),MATCH(G443,'Material Master'!$A$2:$A$201,0))),""))</f>
        <v/>
      </c>
      <c r="L443" s="85"/>
      <c r="M443" s="85"/>
    </row>
    <row r="444" ht="15.75" customHeight="1">
      <c r="A444" s="150"/>
      <c r="B444" s="151"/>
      <c r="C444" s="150"/>
      <c r="D444" s="152"/>
      <c r="E444" s="77" t="str">
        <f t="shared" si="1"/>
        <v/>
      </c>
      <c r="F444" s="91" t="str">
        <f t="shared" si="2"/>
        <v/>
      </c>
      <c r="G444" s="69"/>
      <c r="H444" s="69" t="str">
        <f t="array" ref="H444">IF(G444="","",IFERROR(INDEX('Material Master'!$B$2:$B$201,IFERROR(MATCH(G444,'Material Master'!$F$2:$F$201,0),MATCH(G444,'Material Master'!$A$2:$A$201,0))),""))</f>
        <v/>
      </c>
      <c r="I444" s="69" t="str">
        <f t="array" ref="I444">IF(G444="","",IFERROR(INDEX('Material Master'!$C$2:$C$201,IFERROR(MATCH(G444,'Material Master'!$F$2:$F$201,0),MATCH(G444,'Material Master'!$A$2:$A$201,0))),""))</f>
        <v/>
      </c>
      <c r="J444" s="75" t="str">
        <f>IF(E444="","",SUMIFS('Stock Movement'!$F$2:$F$501,'Stock Movement'!$D$2:$D$501,E444,'Stock Movement'!$E$2:$E$501,"IN")-SUMIFS('Stock Movement'!$F$2:$F$501,'Stock Movement'!$D$2:$D$501,E444,'Stock Movement'!$E$2:$E$501,"OUT"))</f>
        <v/>
      </c>
      <c r="K444" s="77" t="str">
        <f t="array" ref="K444">IF(G444="","",IFERROR(INDEX('Material Master'!$D$2:$D$201,IFERROR(MATCH(G444,'Material Master'!$F$2:$F$201,0),MATCH(G444,'Material Master'!$A$2:$A$201,0))),""))</f>
        <v/>
      </c>
      <c r="L444" s="69"/>
      <c r="M444" s="69"/>
    </row>
    <row r="445" ht="15.75" customHeight="1">
      <c r="A445" s="147"/>
      <c r="B445" s="148"/>
      <c r="C445" s="147"/>
      <c r="D445" s="149"/>
      <c r="E445" s="87" t="str">
        <f t="shared" si="1"/>
        <v/>
      </c>
      <c r="F445" s="83" t="str">
        <f t="shared" si="2"/>
        <v/>
      </c>
      <c r="G445" s="85"/>
      <c r="H445" s="85" t="str">
        <f t="array" ref="H445">IF(G445="","",IFERROR(INDEX('Material Master'!$B$2:$B$201,IFERROR(MATCH(G445,'Material Master'!$F$2:$F$201,0),MATCH(G445,'Material Master'!$A$2:$A$201,0))),""))</f>
        <v/>
      </c>
      <c r="I445" s="85" t="str">
        <f t="array" ref="I445">IF(G445="","",IFERROR(INDEX('Material Master'!$C$2:$C$201,IFERROR(MATCH(G445,'Material Master'!$F$2:$F$201,0),MATCH(G445,'Material Master'!$A$2:$A$201,0))),""))</f>
        <v/>
      </c>
      <c r="J445" s="86" t="str">
        <f>IF(E445="","",SUMIFS('Stock Movement'!$F$2:$F$501,'Stock Movement'!$D$2:$D$501,E445,'Stock Movement'!$E$2:$E$501,"IN")-SUMIFS('Stock Movement'!$F$2:$F$501,'Stock Movement'!$D$2:$D$501,E445,'Stock Movement'!$E$2:$E$501,"OUT"))</f>
        <v/>
      </c>
      <c r="K445" s="87" t="str">
        <f t="array" ref="K445">IF(G445="","",IFERROR(INDEX('Material Master'!$D$2:$D$201,IFERROR(MATCH(G445,'Material Master'!$F$2:$F$201,0),MATCH(G445,'Material Master'!$A$2:$A$201,0))),""))</f>
        <v/>
      </c>
      <c r="L445" s="85"/>
      <c r="M445" s="85"/>
    </row>
    <row r="446" ht="15.75" customHeight="1">
      <c r="A446" s="150"/>
      <c r="B446" s="151"/>
      <c r="C446" s="150"/>
      <c r="D446" s="152"/>
      <c r="E446" s="77" t="str">
        <f t="shared" si="1"/>
        <v/>
      </c>
      <c r="F446" s="91" t="str">
        <f t="shared" si="2"/>
        <v/>
      </c>
      <c r="G446" s="69"/>
      <c r="H446" s="69" t="str">
        <f t="array" ref="H446">IF(G446="","",IFERROR(INDEX('Material Master'!$B$2:$B$201,IFERROR(MATCH(G446,'Material Master'!$F$2:$F$201,0),MATCH(G446,'Material Master'!$A$2:$A$201,0))),""))</f>
        <v/>
      </c>
      <c r="I446" s="69" t="str">
        <f t="array" ref="I446">IF(G446="","",IFERROR(INDEX('Material Master'!$C$2:$C$201,IFERROR(MATCH(G446,'Material Master'!$F$2:$F$201,0),MATCH(G446,'Material Master'!$A$2:$A$201,0))),""))</f>
        <v/>
      </c>
      <c r="J446" s="75" t="str">
        <f>IF(E446="","",SUMIFS('Stock Movement'!$F$2:$F$501,'Stock Movement'!$D$2:$D$501,E446,'Stock Movement'!$E$2:$E$501,"IN")-SUMIFS('Stock Movement'!$F$2:$F$501,'Stock Movement'!$D$2:$D$501,E446,'Stock Movement'!$E$2:$E$501,"OUT"))</f>
        <v/>
      </c>
      <c r="K446" s="77" t="str">
        <f t="array" ref="K446">IF(G446="","",IFERROR(INDEX('Material Master'!$D$2:$D$201,IFERROR(MATCH(G446,'Material Master'!$F$2:$F$201,0),MATCH(G446,'Material Master'!$A$2:$A$201,0))),""))</f>
        <v/>
      </c>
      <c r="L446" s="69"/>
      <c r="M446" s="69"/>
    </row>
    <row r="447" ht="15.75" customHeight="1">
      <c r="A447" s="147"/>
      <c r="B447" s="148"/>
      <c r="C447" s="147"/>
      <c r="D447" s="149"/>
      <c r="E447" s="87" t="str">
        <f t="shared" si="1"/>
        <v/>
      </c>
      <c r="F447" s="83" t="str">
        <f t="shared" si="2"/>
        <v/>
      </c>
      <c r="G447" s="85"/>
      <c r="H447" s="85" t="str">
        <f t="array" ref="H447">IF(G447="","",IFERROR(INDEX('Material Master'!$B$2:$B$201,IFERROR(MATCH(G447,'Material Master'!$F$2:$F$201,0),MATCH(G447,'Material Master'!$A$2:$A$201,0))),""))</f>
        <v/>
      </c>
      <c r="I447" s="85" t="str">
        <f t="array" ref="I447">IF(G447="","",IFERROR(INDEX('Material Master'!$C$2:$C$201,IFERROR(MATCH(G447,'Material Master'!$F$2:$F$201,0),MATCH(G447,'Material Master'!$A$2:$A$201,0))),""))</f>
        <v/>
      </c>
      <c r="J447" s="86" t="str">
        <f>IF(E447="","",SUMIFS('Stock Movement'!$F$2:$F$501,'Stock Movement'!$D$2:$D$501,E447,'Stock Movement'!$E$2:$E$501,"IN")-SUMIFS('Stock Movement'!$F$2:$F$501,'Stock Movement'!$D$2:$D$501,E447,'Stock Movement'!$E$2:$E$501,"OUT"))</f>
        <v/>
      </c>
      <c r="K447" s="87" t="str">
        <f t="array" ref="K447">IF(G447="","",IFERROR(INDEX('Material Master'!$D$2:$D$201,IFERROR(MATCH(G447,'Material Master'!$F$2:$F$201,0),MATCH(G447,'Material Master'!$A$2:$A$201,0))),""))</f>
        <v/>
      </c>
      <c r="L447" s="85"/>
      <c r="M447" s="85"/>
    </row>
    <row r="448" ht="15.75" customHeight="1">
      <c r="A448" s="150"/>
      <c r="B448" s="151"/>
      <c r="C448" s="150"/>
      <c r="D448" s="152"/>
      <c r="E448" s="77" t="str">
        <f t="shared" si="1"/>
        <v/>
      </c>
      <c r="F448" s="91" t="str">
        <f t="shared" si="2"/>
        <v/>
      </c>
      <c r="G448" s="69"/>
      <c r="H448" s="69" t="str">
        <f t="array" ref="H448">IF(G448="","",IFERROR(INDEX('Material Master'!$B$2:$B$201,IFERROR(MATCH(G448,'Material Master'!$F$2:$F$201,0),MATCH(G448,'Material Master'!$A$2:$A$201,0))),""))</f>
        <v/>
      </c>
      <c r="I448" s="69" t="str">
        <f t="array" ref="I448">IF(G448="","",IFERROR(INDEX('Material Master'!$C$2:$C$201,IFERROR(MATCH(G448,'Material Master'!$F$2:$F$201,0),MATCH(G448,'Material Master'!$A$2:$A$201,0))),""))</f>
        <v/>
      </c>
      <c r="J448" s="75" t="str">
        <f>IF(E448="","",SUMIFS('Stock Movement'!$F$2:$F$501,'Stock Movement'!$D$2:$D$501,E448,'Stock Movement'!$E$2:$E$501,"IN")-SUMIFS('Stock Movement'!$F$2:$F$501,'Stock Movement'!$D$2:$D$501,E448,'Stock Movement'!$E$2:$E$501,"OUT"))</f>
        <v/>
      </c>
      <c r="K448" s="77" t="str">
        <f t="array" ref="K448">IF(G448="","",IFERROR(INDEX('Material Master'!$D$2:$D$201,IFERROR(MATCH(G448,'Material Master'!$F$2:$F$201,0),MATCH(G448,'Material Master'!$A$2:$A$201,0))),""))</f>
        <v/>
      </c>
      <c r="L448" s="69"/>
      <c r="M448" s="69"/>
    </row>
    <row r="449" ht="15.75" customHeight="1">
      <c r="A449" s="147"/>
      <c r="B449" s="148"/>
      <c r="C449" s="147"/>
      <c r="D449" s="149"/>
      <c r="E449" s="87" t="str">
        <f t="shared" si="1"/>
        <v/>
      </c>
      <c r="F449" s="83" t="str">
        <f t="shared" si="2"/>
        <v/>
      </c>
      <c r="G449" s="85"/>
      <c r="H449" s="85" t="str">
        <f t="array" ref="H449">IF(G449="","",IFERROR(INDEX('Material Master'!$B$2:$B$201,IFERROR(MATCH(G449,'Material Master'!$F$2:$F$201,0),MATCH(G449,'Material Master'!$A$2:$A$201,0))),""))</f>
        <v/>
      </c>
      <c r="I449" s="85" t="str">
        <f t="array" ref="I449">IF(G449="","",IFERROR(INDEX('Material Master'!$C$2:$C$201,IFERROR(MATCH(G449,'Material Master'!$F$2:$F$201,0),MATCH(G449,'Material Master'!$A$2:$A$201,0))),""))</f>
        <v/>
      </c>
      <c r="J449" s="86" t="str">
        <f>IF(E449="","",SUMIFS('Stock Movement'!$F$2:$F$501,'Stock Movement'!$D$2:$D$501,E449,'Stock Movement'!$E$2:$E$501,"IN")-SUMIFS('Stock Movement'!$F$2:$F$501,'Stock Movement'!$D$2:$D$501,E449,'Stock Movement'!$E$2:$E$501,"OUT"))</f>
        <v/>
      </c>
      <c r="K449" s="87" t="str">
        <f t="array" ref="K449">IF(G449="","",IFERROR(INDEX('Material Master'!$D$2:$D$201,IFERROR(MATCH(G449,'Material Master'!$F$2:$F$201,0),MATCH(G449,'Material Master'!$A$2:$A$201,0))),""))</f>
        <v/>
      </c>
      <c r="L449" s="85"/>
      <c r="M449" s="85"/>
    </row>
    <row r="450" ht="15.75" customHeight="1">
      <c r="A450" s="150"/>
      <c r="B450" s="151"/>
      <c r="C450" s="150"/>
      <c r="D450" s="152"/>
      <c r="E450" s="77" t="str">
        <f t="shared" si="1"/>
        <v/>
      </c>
      <c r="F450" s="91" t="str">
        <f t="shared" si="2"/>
        <v/>
      </c>
      <c r="G450" s="69"/>
      <c r="H450" s="69" t="str">
        <f t="array" ref="H450">IF(G450="","",IFERROR(INDEX('Material Master'!$B$2:$B$201,IFERROR(MATCH(G450,'Material Master'!$F$2:$F$201,0),MATCH(G450,'Material Master'!$A$2:$A$201,0))),""))</f>
        <v/>
      </c>
      <c r="I450" s="69" t="str">
        <f t="array" ref="I450">IF(G450="","",IFERROR(INDEX('Material Master'!$C$2:$C$201,IFERROR(MATCH(G450,'Material Master'!$F$2:$F$201,0),MATCH(G450,'Material Master'!$A$2:$A$201,0))),""))</f>
        <v/>
      </c>
      <c r="J450" s="75" t="str">
        <f>IF(E450="","",SUMIFS('Stock Movement'!$F$2:$F$501,'Stock Movement'!$D$2:$D$501,E450,'Stock Movement'!$E$2:$E$501,"IN")-SUMIFS('Stock Movement'!$F$2:$F$501,'Stock Movement'!$D$2:$D$501,E450,'Stock Movement'!$E$2:$E$501,"OUT"))</f>
        <v/>
      </c>
      <c r="K450" s="77" t="str">
        <f t="array" ref="K450">IF(G450="","",IFERROR(INDEX('Material Master'!$D$2:$D$201,IFERROR(MATCH(G450,'Material Master'!$F$2:$F$201,0),MATCH(G450,'Material Master'!$A$2:$A$201,0))),""))</f>
        <v/>
      </c>
      <c r="L450" s="69"/>
      <c r="M450" s="69"/>
    </row>
    <row r="451" ht="15.75" customHeight="1">
      <c r="A451" s="147"/>
      <c r="B451" s="148"/>
      <c r="C451" s="147"/>
      <c r="D451" s="149"/>
      <c r="E451" s="87" t="str">
        <f t="shared" si="1"/>
        <v/>
      </c>
      <c r="F451" s="83" t="str">
        <f t="shared" si="2"/>
        <v/>
      </c>
      <c r="G451" s="85"/>
      <c r="H451" s="85" t="str">
        <f t="array" ref="H451">IF(G451="","",IFERROR(INDEX('Material Master'!$B$2:$B$201,IFERROR(MATCH(G451,'Material Master'!$F$2:$F$201,0),MATCH(G451,'Material Master'!$A$2:$A$201,0))),""))</f>
        <v/>
      </c>
      <c r="I451" s="85" t="str">
        <f t="array" ref="I451">IF(G451="","",IFERROR(INDEX('Material Master'!$C$2:$C$201,IFERROR(MATCH(G451,'Material Master'!$F$2:$F$201,0),MATCH(G451,'Material Master'!$A$2:$A$201,0))),""))</f>
        <v/>
      </c>
      <c r="J451" s="86" t="str">
        <f>IF(E451="","",SUMIFS('Stock Movement'!$F$2:$F$501,'Stock Movement'!$D$2:$D$501,E451,'Stock Movement'!$E$2:$E$501,"IN")-SUMIFS('Stock Movement'!$F$2:$F$501,'Stock Movement'!$D$2:$D$501,E451,'Stock Movement'!$E$2:$E$501,"OUT"))</f>
        <v/>
      </c>
      <c r="K451" s="87" t="str">
        <f t="array" ref="K451">IF(G451="","",IFERROR(INDEX('Material Master'!$D$2:$D$201,IFERROR(MATCH(G451,'Material Master'!$F$2:$F$201,0),MATCH(G451,'Material Master'!$A$2:$A$201,0))),""))</f>
        <v/>
      </c>
      <c r="L451" s="85"/>
      <c r="M451" s="85"/>
    </row>
    <row r="452" ht="15.75" customHeight="1">
      <c r="A452" s="150"/>
      <c r="B452" s="151"/>
      <c r="C452" s="150"/>
      <c r="D452" s="152"/>
      <c r="E452" s="77" t="str">
        <f t="shared" si="1"/>
        <v/>
      </c>
      <c r="F452" s="91" t="str">
        <f t="shared" si="2"/>
        <v/>
      </c>
      <c r="G452" s="69"/>
      <c r="H452" s="69" t="str">
        <f t="array" ref="H452">IF(G452="","",IFERROR(INDEX('Material Master'!$B$2:$B$201,IFERROR(MATCH(G452,'Material Master'!$F$2:$F$201,0),MATCH(G452,'Material Master'!$A$2:$A$201,0))),""))</f>
        <v/>
      </c>
      <c r="I452" s="69" t="str">
        <f t="array" ref="I452">IF(G452="","",IFERROR(INDEX('Material Master'!$C$2:$C$201,IFERROR(MATCH(G452,'Material Master'!$F$2:$F$201,0),MATCH(G452,'Material Master'!$A$2:$A$201,0))),""))</f>
        <v/>
      </c>
      <c r="J452" s="75" t="str">
        <f>IF(E452="","",SUMIFS('Stock Movement'!$F$2:$F$501,'Stock Movement'!$D$2:$D$501,E452,'Stock Movement'!$E$2:$E$501,"IN")-SUMIFS('Stock Movement'!$F$2:$F$501,'Stock Movement'!$D$2:$D$501,E452,'Stock Movement'!$E$2:$E$501,"OUT"))</f>
        <v/>
      </c>
      <c r="K452" s="77" t="str">
        <f t="array" ref="K452">IF(G452="","",IFERROR(INDEX('Material Master'!$D$2:$D$201,IFERROR(MATCH(G452,'Material Master'!$F$2:$F$201,0),MATCH(G452,'Material Master'!$A$2:$A$201,0))),""))</f>
        <v/>
      </c>
      <c r="L452" s="69"/>
      <c r="M452" s="69"/>
    </row>
    <row r="453" ht="15.75" customHeight="1">
      <c r="A453" s="147"/>
      <c r="B453" s="148"/>
      <c r="C453" s="147"/>
      <c r="D453" s="149"/>
      <c r="E453" s="87" t="str">
        <f t="shared" si="1"/>
        <v/>
      </c>
      <c r="F453" s="83" t="str">
        <f t="shared" si="2"/>
        <v/>
      </c>
      <c r="G453" s="85"/>
      <c r="H453" s="85" t="str">
        <f t="array" ref="H453">IF(G453="","",IFERROR(INDEX('Material Master'!$B$2:$B$201,IFERROR(MATCH(G453,'Material Master'!$F$2:$F$201,0),MATCH(G453,'Material Master'!$A$2:$A$201,0))),""))</f>
        <v/>
      </c>
      <c r="I453" s="85" t="str">
        <f t="array" ref="I453">IF(G453="","",IFERROR(INDEX('Material Master'!$C$2:$C$201,IFERROR(MATCH(G453,'Material Master'!$F$2:$F$201,0),MATCH(G453,'Material Master'!$A$2:$A$201,0))),""))</f>
        <v/>
      </c>
      <c r="J453" s="86" t="str">
        <f>IF(E453="","",SUMIFS('Stock Movement'!$F$2:$F$501,'Stock Movement'!$D$2:$D$501,E453,'Stock Movement'!$E$2:$E$501,"IN")-SUMIFS('Stock Movement'!$F$2:$F$501,'Stock Movement'!$D$2:$D$501,E453,'Stock Movement'!$E$2:$E$501,"OUT"))</f>
        <v/>
      </c>
      <c r="K453" s="87" t="str">
        <f t="array" ref="K453">IF(G453="","",IFERROR(INDEX('Material Master'!$D$2:$D$201,IFERROR(MATCH(G453,'Material Master'!$F$2:$F$201,0),MATCH(G453,'Material Master'!$A$2:$A$201,0))),""))</f>
        <v/>
      </c>
      <c r="L453" s="85"/>
      <c r="M453" s="85"/>
    </row>
    <row r="454" ht="15.75" customHeight="1">
      <c r="A454" s="150"/>
      <c r="B454" s="151"/>
      <c r="C454" s="150"/>
      <c r="D454" s="152"/>
      <c r="E454" s="77" t="str">
        <f t="shared" si="1"/>
        <v/>
      </c>
      <c r="F454" s="91" t="str">
        <f t="shared" si="2"/>
        <v/>
      </c>
      <c r="G454" s="69"/>
      <c r="H454" s="69" t="str">
        <f t="array" ref="H454">IF(G454="","",IFERROR(INDEX('Material Master'!$B$2:$B$201,IFERROR(MATCH(G454,'Material Master'!$F$2:$F$201,0),MATCH(G454,'Material Master'!$A$2:$A$201,0))),""))</f>
        <v/>
      </c>
      <c r="I454" s="69" t="str">
        <f t="array" ref="I454">IF(G454="","",IFERROR(INDEX('Material Master'!$C$2:$C$201,IFERROR(MATCH(G454,'Material Master'!$F$2:$F$201,0),MATCH(G454,'Material Master'!$A$2:$A$201,0))),""))</f>
        <v/>
      </c>
      <c r="J454" s="75" t="str">
        <f>IF(E454="","",SUMIFS('Stock Movement'!$F$2:$F$501,'Stock Movement'!$D$2:$D$501,E454,'Stock Movement'!$E$2:$E$501,"IN")-SUMIFS('Stock Movement'!$F$2:$F$501,'Stock Movement'!$D$2:$D$501,E454,'Stock Movement'!$E$2:$E$501,"OUT"))</f>
        <v/>
      </c>
      <c r="K454" s="77" t="str">
        <f t="array" ref="K454">IF(G454="","",IFERROR(INDEX('Material Master'!$D$2:$D$201,IFERROR(MATCH(G454,'Material Master'!$F$2:$F$201,0),MATCH(G454,'Material Master'!$A$2:$A$201,0))),""))</f>
        <v/>
      </c>
      <c r="L454" s="69"/>
      <c r="M454" s="69"/>
    </row>
    <row r="455" ht="15.75" customHeight="1">
      <c r="A455" s="147"/>
      <c r="B455" s="148"/>
      <c r="C455" s="147"/>
      <c r="D455" s="149"/>
      <c r="E455" s="87" t="str">
        <f t="shared" si="1"/>
        <v/>
      </c>
      <c r="F455" s="83" t="str">
        <f t="shared" si="2"/>
        <v/>
      </c>
      <c r="G455" s="85"/>
      <c r="H455" s="85" t="str">
        <f t="array" ref="H455">IF(G455="","",IFERROR(INDEX('Material Master'!$B$2:$B$201,IFERROR(MATCH(G455,'Material Master'!$F$2:$F$201,0),MATCH(G455,'Material Master'!$A$2:$A$201,0))),""))</f>
        <v/>
      </c>
      <c r="I455" s="85" t="str">
        <f t="array" ref="I455">IF(G455="","",IFERROR(INDEX('Material Master'!$C$2:$C$201,IFERROR(MATCH(G455,'Material Master'!$F$2:$F$201,0),MATCH(G455,'Material Master'!$A$2:$A$201,0))),""))</f>
        <v/>
      </c>
      <c r="J455" s="86" t="str">
        <f>IF(E455="","",SUMIFS('Stock Movement'!$F$2:$F$501,'Stock Movement'!$D$2:$D$501,E455,'Stock Movement'!$E$2:$E$501,"IN")-SUMIFS('Stock Movement'!$F$2:$F$501,'Stock Movement'!$D$2:$D$501,E455,'Stock Movement'!$E$2:$E$501,"OUT"))</f>
        <v/>
      </c>
      <c r="K455" s="87" t="str">
        <f t="array" ref="K455">IF(G455="","",IFERROR(INDEX('Material Master'!$D$2:$D$201,IFERROR(MATCH(G455,'Material Master'!$F$2:$F$201,0),MATCH(G455,'Material Master'!$A$2:$A$201,0))),""))</f>
        <v/>
      </c>
      <c r="L455" s="85"/>
      <c r="M455" s="85"/>
    </row>
    <row r="456" ht="15.75" customHeight="1">
      <c r="A456" s="150"/>
      <c r="B456" s="151"/>
      <c r="C456" s="150"/>
      <c r="D456" s="152"/>
      <c r="E456" s="77" t="str">
        <f t="shared" si="1"/>
        <v/>
      </c>
      <c r="F456" s="91" t="str">
        <f t="shared" si="2"/>
        <v/>
      </c>
      <c r="G456" s="69"/>
      <c r="H456" s="69" t="str">
        <f t="array" ref="H456">IF(G456="","",IFERROR(INDEX('Material Master'!$B$2:$B$201,IFERROR(MATCH(G456,'Material Master'!$F$2:$F$201,0),MATCH(G456,'Material Master'!$A$2:$A$201,0))),""))</f>
        <v/>
      </c>
      <c r="I456" s="69" t="str">
        <f t="array" ref="I456">IF(G456="","",IFERROR(INDEX('Material Master'!$C$2:$C$201,IFERROR(MATCH(G456,'Material Master'!$F$2:$F$201,0),MATCH(G456,'Material Master'!$A$2:$A$201,0))),""))</f>
        <v/>
      </c>
      <c r="J456" s="75" t="str">
        <f>IF(E456="","",SUMIFS('Stock Movement'!$F$2:$F$501,'Stock Movement'!$D$2:$D$501,E456,'Stock Movement'!$E$2:$E$501,"IN")-SUMIFS('Stock Movement'!$F$2:$F$501,'Stock Movement'!$D$2:$D$501,E456,'Stock Movement'!$E$2:$E$501,"OUT"))</f>
        <v/>
      </c>
      <c r="K456" s="77" t="str">
        <f t="array" ref="K456">IF(G456="","",IFERROR(INDEX('Material Master'!$D$2:$D$201,IFERROR(MATCH(G456,'Material Master'!$F$2:$F$201,0),MATCH(G456,'Material Master'!$A$2:$A$201,0))),""))</f>
        <v/>
      </c>
      <c r="L456" s="69"/>
      <c r="M456" s="69"/>
    </row>
    <row r="457" ht="15.75" customHeight="1">
      <c r="A457" s="147"/>
      <c r="B457" s="148"/>
      <c r="C457" s="147"/>
      <c r="D457" s="149"/>
      <c r="E457" s="87" t="str">
        <f t="shared" si="1"/>
        <v/>
      </c>
      <c r="F457" s="83" t="str">
        <f t="shared" si="2"/>
        <v/>
      </c>
      <c r="G457" s="85"/>
      <c r="H457" s="85" t="str">
        <f t="array" ref="H457">IF(G457="","",IFERROR(INDEX('Material Master'!$B$2:$B$201,IFERROR(MATCH(G457,'Material Master'!$F$2:$F$201,0),MATCH(G457,'Material Master'!$A$2:$A$201,0))),""))</f>
        <v/>
      </c>
      <c r="I457" s="85" t="str">
        <f t="array" ref="I457">IF(G457="","",IFERROR(INDEX('Material Master'!$C$2:$C$201,IFERROR(MATCH(G457,'Material Master'!$F$2:$F$201,0),MATCH(G457,'Material Master'!$A$2:$A$201,0))),""))</f>
        <v/>
      </c>
      <c r="J457" s="86" t="str">
        <f>IF(E457="","",SUMIFS('Stock Movement'!$F$2:$F$501,'Stock Movement'!$D$2:$D$501,E457,'Stock Movement'!$E$2:$E$501,"IN")-SUMIFS('Stock Movement'!$F$2:$F$501,'Stock Movement'!$D$2:$D$501,E457,'Stock Movement'!$E$2:$E$501,"OUT"))</f>
        <v/>
      </c>
      <c r="K457" s="87" t="str">
        <f t="array" ref="K457">IF(G457="","",IFERROR(INDEX('Material Master'!$D$2:$D$201,IFERROR(MATCH(G457,'Material Master'!$F$2:$F$201,0),MATCH(G457,'Material Master'!$A$2:$A$201,0))),""))</f>
        <v/>
      </c>
      <c r="L457" s="85"/>
      <c r="M457" s="85"/>
    </row>
    <row r="458" ht="15.75" customHeight="1">
      <c r="A458" s="150"/>
      <c r="B458" s="151"/>
      <c r="C458" s="150"/>
      <c r="D458" s="152"/>
      <c r="E458" s="77" t="str">
        <f t="shared" si="1"/>
        <v/>
      </c>
      <c r="F458" s="91" t="str">
        <f t="shared" si="2"/>
        <v/>
      </c>
      <c r="G458" s="69"/>
      <c r="H458" s="69" t="str">
        <f t="array" ref="H458">IF(G458="","",IFERROR(INDEX('Material Master'!$B$2:$B$201,IFERROR(MATCH(G458,'Material Master'!$F$2:$F$201,0),MATCH(G458,'Material Master'!$A$2:$A$201,0))),""))</f>
        <v/>
      </c>
      <c r="I458" s="69" t="str">
        <f t="array" ref="I458">IF(G458="","",IFERROR(INDEX('Material Master'!$C$2:$C$201,IFERROR(MATCH(G458,'Material Master'!$F$2:$F$201,0),MATCH(G458,'Material Master'!$A$2:$A$201,0))),""))</f>
        <v/>
      </c>
      <c r="J458" s="75" t="str">
        <f>IF(E458="","",SUMIFS('Stock Movement'!$F$2:$F$501,'Stock Movement'!$D$2:$D$501,E458,'Stock Movement'!$E$2:$E$501,"IN")-SUMIFS('Stock Movement'!$F$2:$F$501,'Stock Movement'!$D$2:$D$501,E458,'Stock Movement'!$E$2:$E$501,"OUT"))</f>
        <v/>
      </c>
      <c r="K458" s="77" t="str">
        <f t="array" ref="K458">IF(G458="","",IFERROR(INDEX('Material Master'!$D$2:$D$201,IFERROR(MATCH(G458,'Material Master'!$F$2:$F$201,0),MATCH(G458,'Material Master'!$A$2:$A$201,0))),""))</f>
        <v/>
      </c>
      <c r="L458" s="69"/>
      <c r="M458" s="69"/>
    </row>
    <row r="459" ht="15.75" customHeight="1">
      <c r="A459" s="147"/>
      <c r="B459" s="148"/>
      <c r="C459" s="147"/>
      <c r="D459" s="149"/>
      <c r="E459" s="87" t="str">
        <f t="shared" si="1"/>
        <v/>
      </c>
      <c r="F459" s="83" t="str">
        <f t="shared" si="2"/>
        <v/>
      </c>
      <c r="G459" s="85"/>
      <c r="H459" s="85" t="str">
        <f t="array" ref="H459">IF(G459="","",IFERROR(INDEX('Material Master'!$B$2:$B$201,IFERROR(MATCH(G459,'Material Master'!$F$2:$F$201,0),MATCH(G459,'Material Master'!$A$2:$A$201,0))),""))</f>
        <v/>
      </c>
      <c r="I459" s="85" t="str">
        <f t="array" ref="I459">IF(G459="","",IFERROR(INDEX('Material Master'!$C$2:$C$201,IFERROR(MATCH(G459,'Material Master'!$F$2:$F$201,0),MATCH(G459,'Material Master'!$A$2:$A$201,0))),""))</f>
        <v/>
      </c>
      <c r="J459" s="86" t="str">
        <f>IF(E459="","",SUMIFS('Stock Movement'!$F$2:$F$501,'Stock Movement'!$D$2:$D$501,E459,'Stock Movement'!$E$2:$E$501,"IN")-SUMIFS('Stock Movement'!$F$2:$F$501,'Stock Movement'!$D$2:$D$501,E459,'Stock Movement'!$E$2:$E$501,"OUT"))</f>
        <v/>
      </c>
      <c r="K459" s="87" t="str">
        <f t="array" ref="K459">IF(G459="","",IFERROR(INDEX('Material Master'!$D$2:$D$201,IFERROR(MATCH(G459,'Material Master'!$F$2:$F$201,0),MATCH(G459,'Material Master'!$A$2:$A$201,0))),""))</f>
        <v/>
      </c>
      <c r="L459" s="85"/>
      <c r="M459" s="85"/>
    </row>
    <row r="460" ht="15.75" customHeight="1">
      <c r="A460" s="150"/>
      <c r="B460" s="151"/>
      <c r="C460" s="150"/>
      <c r="D460" s="152"/>
      <c r="E460" s="77" t="str">
        <f t="shared" si="1"/>
        <v/>
      </c>
      <c r="F460" s="91" t="str">
        <f t="shared" si="2"/>
        <v/>
      </c>
      <c r="G460" s="69"/>
      <c r="H460" s="69" t="str">
        <f t="array" ref="H460">IF(G460="","",IFERROR(INDEX('Material Master'!$B$2:$B$201,IFERROR(MATCH(G460,'Material Master'!$F$2:$F$201,0),MATCH(G460,'Material Master'!$A$2:$A$201,0))),""))</f>
        <v/>
      </c>
      <c r="I460" s="69" t="str">
        <f t="array" ref="I460">IF(G460="","",IFERROR(INDEX('Material Master'!$C$2:$C$201,IFERROR(MATCH(G460,'Material Master'!$F$2:$F$201,0),MATCH(G460,'Material Master'!$A$2:$A$201,0))),""))</f>
        <v/>
      </c>
      <c r="J460" s="75" t="str">
        <f>IF(E460="","",SUMIFS('Stock Movement'!$F$2:$F$501,'Stock Movement'!$D$2:$D$501,E460,'Stock Movement'!$E$2:$E$501,"IN")-SUMIFS('Stock Movement'!$F$2:$F$501,'Stock Movement'!$D$2:$D$501,E460,'Stock Movement'!$E$2:$E$501,"OUT"))</f>
        <v/>
      </c>
      <c r="K460" s="77" t="str">
        <f t="array" ref="K460">IF(G460="","",IFERROR(INDEX('Material Master'!$D$2:$D$201,IFERROR(MATCH(G460,'Material Master'!$F$2:$F$201,0),MATCH(G460,'Material Master'!$A$2:$A$201,0))),""))</f>
        <v/>
      </c>
      <c r="L460" s="69"/>
      <c r="M460" s="69"/>
    </row>
    <row r="461" ht="15.75" customHeight="1">
      <c r="A461" s="147"/>
      <c r="B461" s="148"/>
      <c r="C461" s="147"/>
      <c r="D461" s="149"/>
      <c r="E461" s="87" t="str">
        <f t="shared" si="1"/>
        <v/>
      </c>
      <c r="F461" s="83" t="str">
        <f t="shared" si="2"/>
        <v/>
      </c>
      <c r="G461" s="85"/>
      <c r="H461" s="85" t="str">
        <f t="array" ref="H461">IF(G461="","",IFERROR(INDEX('Material Master'!$B$2:$B$201,IFERROR(MATCH(G461,'Material Master'!$F$2:$F$201,0),MATCH(G461,'Material Master'!$A$2:$A$201,0))),""))</f>
        <v/>
      </c>
      <c r="I461" s="85" t="str">
        <f t="array" ref="I461">IF(G461="","",IFERROR(INDEX('Material Master'!$C$2:$C$201,IFERROR(MATCH(G461,'Material Master'!$F$2:$F$201,0),MATCH(G461,'Material Master'!$A$2:$A$201,0))),""))</f>
        <v/>
      </c>
      <c r="J461" s="86" t="str">
        <f>IF(E461="","",SUMIFS('Stock Movement'!$F$2:$F$501,'Stock Movement'!$D$2:$D$501,E461,'Stock Movement'!$E$2:$E$501,"IN")-SUMIFS('Stock Movement'!$F$2:$F$501,'Stock Movement'!$D$2:$D$501,E461,'Stock Movement'!$E$2:$E$501,"OUT"))</f>
        <v/>
      </c>
      <c r="K461" s="87" t="str">
        <f t="array" ref="K461">IF(G461="","",IFERROR(INDEX('Material Master'!$D$2:$D$201,IFERROR(MATCH(G461,'Material Master'!$F$2:$F$201,0),MATCH(G461,'Material Master'!$A$2:$A$201,0))),""))</f>
        <v/>
      </c>
      <c r="L461" s="85"/>
      <c r="M461" s="85"/>
    </row>
    <row r="462" ht="15.75" customHeight="1">
      <c r="A462" s="150"/>
      <c r="B462" s="151"/>
      <c r="C462" s="150"/>
      <c r="D462" s="152"/>
      <c r="E462" s="77" t="str">
        <f t="shared" si="1"/>
        <v/>
      </c>
      <c r="F462" s="91" t="str">
        <f t="shared" si="2"/>
        <v/>
      </c>
      <c r="G462" s="69"/>
      <c r="H462" s="69" t="str">
        <f t="array" ref="H462">IF(G462="","",IFERROR(INDEX('Material Master'!$B$2:$B$201,IFERROR(MATCH(G462,'Material Master'!$F$2:$F$201,0),MATCH(G462,'Material Master'!$A$2:$A$201,0))),""))</f>
        <v/>
      </c>
      <c r="I462" s="69" t="str">
        <f t="array" ref="I462">IF(G462="","",IFERROR(INDEX('Material Master'!$C$2:$C$201,IFERROR(MATCH(G462,'Material Master'!$F$2:$F$201,0),MATCH(G462,'Material Master'!$A$2:$A$201,0))),""))</f>
        <v/>
      </c>
      <c r="J462" s="75" t="str">
        <f>IF(E462="","",SUMIFS('Stock Movement'!$F$2:$F$501,'Stock Movement'!$D$2:$D$501,E462,'Stock Movement'!$E$2:$E$501,"IN")-SUMIFS('Stock Movement'!$F$2:$F$501,'Stock Movement'!$D$2:$D$501,E462,'Stock Movement'!$E$2:$E$501,"OUT"))</f>
        <v/>
      </c>
      <c r="K462" s="77" t="str">
        <f t="array" ref="K462">IF(G462="","",IFERROR(INDEX('Material Master'!$D$2:$D$201,IFERROR(MATCH(G462,'Material Master'!$F$2:$F$201,0),MATCH(G462,'Material Master'!$A$2:$A$201,0))),""))</f>
        <v/>
      </c>
      <c r="L462" s="69"/>
      <c r="M462" s="69"/>
    </row>
    <row r="463" ht="15.75" customHeight="1">
      <c r="A463" s="147"/>
      <c r="B463" s="148"/>
      <c r="C463" s="147"/>
      <c r="D463" s="149"/>
      <c r="E463" s="87" t="str">
        <f t="shared" si="1"/>
        <v/>
      </c>
      <c r="F463" s="83" t="str">
        <f t="shared" si="2"/>
        <v/>
      </c>
      <c r="G463" s="85"/>
      <c r="H463" s="85" t="str">
        <f t="array" ref="H463">IF(G463="","",IFERROR(INDEX('Material Master'!$B$2:$B$201,IFERROR(MATCH(G463,'Material Master'!$F$2:$F$201,0),MATCH(G463,'Material Master'!$A$2:$A$201,0))),""))</f>
        <v/>
      </c>
      <c r="I463" s="85" t="str">
        <f t="array" ref="I463">IF(G463="","",IFERROR(INDEX('Material Master'!$C$2:$C$201,IFERROR(MATCH(G463,'Material Master'!$F$2:$F$201,0),MATCH(G463,'Material Master'!$A$2:$A$201,0))),""))</f>
        <v/>
      </c>
      <c r="J463" s="86" t="str">
        <f>IF(E463="","",SUMIFS('Stock Movement'!$F$2:$F$501,'Stock Movement'!$D$2:$D$501,E463,'Stock Movement'!$E$2:$E$501,"IN")-SUMIFS('Stock Movement'!$F$2:$F$501,'Stock Movement'!$D$2:$D$501,E463,'Stock Movement'!$E$2:$E$501,"OUT"))</f>
        <v/>
      </c>
      <c r="K463" s="87" t="str">
        <f t="array" ref="K463">IF(G463="","",IFERROR(INDEX('Material Master'!$D$2:$D$201,IFERROR(MATCH(G463,'Material Master'!$F$2:$F$201,0),MATCH(G463,'Material Master'!$A$2:$A$201,0))),""))</f>
        <v/>
      </c>
      <c r="L463" s="85"/>
      <c r="M463" s="85"/>
    </row>
    <row r="464" ht="15.75" customHeight="1">
      <c r="A464" s="150"/>
      <c r="B464" s="151"/>
      <c r="C464" s="150"/>
      <c r="D464" s="152"/>
      <c r="E464" s="77" t="str">
        <f t="shared" si="1"/>
        <v/>
      </c>
      <c r="F464" s="91" t="str">
        <f t="shared" si="2"/>
        <v/>
      </c>
      <c r="G464" s="69"/>
      <c r="H464" s="69" t="str">
        <f t="array" ref="H464">IF(G464="","",IFERROR(INDEX('Material Master'!$B$2:$B$201,IFERROR(MATCH(G464,'Material Master'!$F$2:$F$201,0),MATCH(G464,'Material Master'!$A$2:$A$201,0))),""))</f>
        <v/>
      </c>
      <c r="I464" s="69" t="str">
        <f t="array" ref="I464">IF(G464="","",IFERROR(INDEX('Material Master'!$C$2:$C$201,IFERROR(MATCH(G464,'Material Master'!$F$2:$F$201,0),MATCH(G464,'Material Master'!$A$2:$A$201,0))),""))</f>
        <v/>
      </c>
      <c r="J464" s="75" t="str">
        <f>IF(E464="","",SUMIFS('Stock Movement'!$F$2:$F$501,'Stock Movement'!$D$2:$D$501,E464,'Stock Movement'!$E$2:$E$501,"IN")-SUMIFS('Stock Movement'!$F$2:$F$501,'Stock Movement'!$D$2:$D$501,E464,'Stock Movement'!$E$2:$E$501,"OUT"))</f>
        <v/>
      </c>
      <c r="K464" s="77" t="str">
        <f t="array" ref="K464">IF(G464="","",IFERROR(INDEX('Material Master'!$D$2:$D$201,IFERROR(MATCH(G464,'Material Master'!$F$2:$F$201,0),MATCH(G464,'Material Master'!$A$2:$A$201,0))),""))</f>
        <v/>
      </c>
      <c r="L464" s="69"/>
      <c r="M464" s="69"/>
    </row>
    <row r="465" ht="15.75" customHeight="1">
      <c r="A465" s="147"/>
      <c r="B465" s="148"/>
      <c r="C465" s="147"/>
      <c r="D465" s="149"/>
      <c r="E465" s="87" t="str">
        <f t="shared" si="1"/>
        <v/>
      </c>
      <c r="F465" s="83" t="str">
        <f t="shared" si="2"/>
        <v/>
      </c>
      <c r="G465" s="85"/>
      <c r="H465" s="85" t="str">
        <f t="array" ref="H465">IF(G465="","",IFERROR(INDEX('Material Master'!$B$2:$B$201,IFERROR(MATCH(G465,'Material Master'!$F$2:$F$201,0),MATCH(G465,'Material Master'!$A$2:$A$201,0))),""))</f>
        <v/>
      </c>
      <c r="I465" s="85" t="str">
        <f t="array" ref="I465">IF(G465="","",IFERROR(INDEX('Material Master'!$C$2:$C$201,IFERROR(MATCH(G465,'Material Master'!$F$2:$F$201,0),MATCH(G465,'Material Master'!$A$2:$A$201,0))),""))</f>
        <v/>
      </c>
      <c r="J465" s="86" t="str">
        <f>IF(E465="","",SUMIFS('Stock Movement'!$F$2:$F$501,'Stock Movement'!$D$2:$D$501,E465,'Stock Movement'!$E$2:$E$501,"IN")-SUMIFS('Stock Movement'!$F$2:$F$501,'Stock Movement'!$D$2:$D$501,E465,'Stock Movement'!$E$2:$E$501,"OUT"))</f>
        <v/>
      </c>
      <c r="K465" s="87" t="str">
        <f t="array" ref="K465">IF(G465="","",IFERROR(INDEX('Material Master'!$D$2:$D$201,IFERROR(MATCH(G465,'Material Master'!$F$2:$F$201,0),MATCH(G465,'Material Master'!$A$2:$A$201,0))),""))</f>
        <v/>
      </c>
      <c r="L465" s="85"/>
      <c r="M465" s="85"/>
    </row>
    <row r="466" ht="15.75" customHeight="1">
      <c r="A466" s="150"/>
      <c r="B466" s="151"/>
      <c r="C466" s="150"/>
      <c r="D466" s="152"/>
      <c r="E466" s="77" t="str">
        <f t="shared" si="1"/>
        <v/>
      </c>
      <c r="F466" s="91" t="str">
        <f t="shared" si="2"/>
        <v/>
      </c>
      <c r="G466" s="69"/>
      <c r="H466" s="69" t="str">
        <f t="array" ref="H466">IF(G466="","",IFERROR(INDEX('Material Master'!$B$2:$B$201,IFERROR(MATCH(G466,'Material Master'!$F$2:$F$201,0),MATCH(G466,'Material Master'!$A$2:$A$201,0))),""))</f>
        <v/>
      </c>
      <c r="I466" s="69" t="str">
        <f t="array" ref="I466">IF(G466="","",IFERROR(INDEX('Material Master'!$C$2:$C$201,IFERROR(MATCH(G466,'Material Master'!$F$2:$F$201,0),MATCH(G466,'Material Master'!$A$2:$A$201,0))),""))</f>
        <v/>
      </c>
      <c r="J466" s="75" t="str">
        <f>IF(E466="","",SUMIFS('Stock Movement'!$F$2:$F$501,'Stock Movement'!$D$2:$D$501,E466,'Stock Movement'!$E$2:$E$501,"IN")-SUMIFS('Stock Movement'!$F$2:$F$501,'Stock Movement'!$D$2:$D$501,E466,'Stock Movement'!$E$2:$E$501,"OUT"))</f>
        <v/>
      </c>
      <c r="K466" s="77" t="str">
        <f t="array" ref="K466">IF(G466="","",IFERROR(INDEX('Material Master'!$D$2:$D$201,IFERROR(MATCH(G466,'Material Master'!$F$2:$F$201,0),MATCH(G466,'Material Master'!$A$2:$A$201,0))),""))</f>
        <v/>
      </c>
      <c r="L466" s="69"/>
      <c r="M466" s="69"/>
    </row>
    <row r="467" ht="15.75" customHeight="1">
      <c r="A467" s="147"/>
      <c r="B467" s="148"/>
      <c r="C467" s="147"/>
      <c r="D467" s="149"/>
      <c r="E467" s="87" t="str">
        <f t="shared" si="1"/>
        <v/>
      </c>
      <c r="F467" s="83" t="str">
        <f t="shared" si="2"/>
        <v/>
      </c>
      <c r="G467" s="85"/>
      <c r="H467" s="85" t="str">
        <f t="array" ref="H467">IF(G467="","",IFERROR(INDEX('Material Master'!$B$2:$B$201,IFERROR(MATCH(G467,'Material Master'!$F$2:$F$201,0),MATCH(G467,'Material Master'!$A$2:$A$201,0))),""))</f>
        <v/>
      </c>
      <c r="I467" s="85" t="str">
        <f t="array" ref="I467">IF(G467="","",IFERROR(INDEX('Material Master'!$C$2:$C$201,IFERROR(MATCH(G467,'Material Master'!$F$2:$F$201,0),MATCH(G467,'Material Master'!$A$2:$A$201,0))),""))</f>
        <v/>
      </c>
      <c r="J467" s="86" t="str">
        <f>IF(E467="","",SUMIFS('Stock Movement'!$F$2:$F$501,'Stock Movement'!$D$2:$D$501,E467,'Stock Movement'!$E$2:$E$501,"IN")-SUMIFS('Stock Movement'!$F$2:$F$501,'Stock Movement'!$D$2:$D$501,E467,'Stock Movement'!$E$2:$E$501,"OUT"))</f>
        <v/>
      </c>
      <c r="K467" s="87" t="str">
        <f t="array" ref="K467">IF(G467="","",IFERROR(INDEX('Material Master'!$D$2:$D$201,IFERROR(MATCH(G467,'Material Master'!$F$2:$F$201,0),MATCH(G467,'Material Master'!$A$2:$A$201,0))),""))</f>
        <v/>
      </c>
      <c r="L467" s="85"/>
      <c r="M467" s="85"/>
    </row>
    <row r="468" ht="15.75" customHeight="1">
      <c r="A468" s="150"/>
      <c r="B468" s="151"/>
      <c r="C468" s="150"/>
      <c r="D468" s="152"/>
      <c r="E468" s="77" t="str">
        <f t="shared" si="1"/>
        <v/>
      </c>
      <c r="F468" s="91" t="str">
        <f t="shared" si="2"/>
        <v/>
      </c>
      <c r="G468" s="69"/>
      <c r="H468" s="69" t="str">
        <f t="array" ref="H468">IF(G468="","",IFERROR(INDEX('Material Master'!$B$2:$B$201,IFERROR(MATCH(G468,'Material Master'!$F$2:$F$201,0),MATCH(G468,'Material Master'!$A$2:$A$201,0))),""))</f>
        <v/>
      </c>
      <c r="I468" s="69" t="str">
        <f t="array" ref="I468">IF(G468="","",IFERROR(INDEX('Material Master'!$C$2:$C$201,IFERROR(MATCH(G468,'Material Master'!$F$2:$F$201,0),MATCH(G468,'Material Master'!$A$2:$A$201,0))),""))</f>
        <v/>
      </c>
      <c r="J468" s="75" t="str">
        <f>IF(E468="","",SUMIFS('Stock Movement'!$F$2:$F$501,'Stock Movement'!$D$2:$D$501,E468,'Stock Movement'!$E$2:$E$501,"IN")-SUMIFS('Stock Movement'!$F$2:$F$501,'Stock Movement'!$D$2:$D$501,E468,'Stock Movement'!$E$2:$E$501,"OUT"))</f>
        <v/>
      </c>
      <c r="K468" s="77" t="str">
        <f t="array" ref="K468">IF(G468="","",IFERROR(INDEX('Material Master'!$D$2:$D$201,IFERROR(MATCH(G468,'Material Master'!$F$2:$F$201,0),MATCH(G468,'Material Master'!$A$2:$A$201,0))),""))</f>
        <v/>
      </c>
      <c r="L468" s="69"/>
      <c r="M468" s="69"/>
    </row>
    <row r="469" ht="15.75" customHeight="1">
      <c r="A469" s="147"/>
      <c r="B469" s="148"/>
      <c r="C469" s="147"/>
      <c r="D469" s="149"/>
      <c r="E469" s="87" t="str">
        <f t="shared" si="1"/>
        <v/>
      </c>
      <c r="F469" s="83" t="str">
        <f t="shared" si="2"/>
        <v/>
      </c>
      <c r="G469" s="85"/>
      <c r="H469" s="85" t="str">
        <f t="array" ref="H469">IF(G469="","",IFERROR(INDEX('Material Master'!$B$2:$B$201,IFERROR(MATCH(G469,'Material Master'!$F$2:$F$201,0),MATCH(G469,'Material Master'!$A$2:$A$201,0))),""))</f>
        <v/>
      </c>
      <c r="I469" s="85" t="str">
        <f t="array" ref="I469">IF(G469="","",IFERROR(INDEX('Material Master'!$C$2:$C$201,IFERROR(MATCH(G469,'Material Master'!$F$2:$F$201,0),MATCH(G469,'Material Master'!$A$2:$A$201,0))),""))</f>
        <v/>
      </c>
      <c r="J469" s="86" t="str">
        <f>IF(E469="","",SUMIFS('Stock Movement'!$F$2:$F$501,'Stock Movement'!$D$2:$D$501,E469,'Stock Movement'!$E$2:$E$501,"IN")-SUMIFS('Stock Movement'!$F$2:$F$501,'Stock Movement'!$D$2:$D$501,E469,'Stock Movement'!$E$2:$E$501,"OUT"))</f>
        <v/>
      </c>
      <c r="K469" s="87" t="str">
        <f t="array" ref="K469">IF(G469="","",IFERROR(INDEX('Material Master'!$D$2:$D$201,IFERROR(MATCH(G469,'Material Master'!$F$2:$F$201,0),MATCH(G469,'Material Master'!$A$2:$A$201,0))),""))</f>
        <v/>
      </c>
      <c r="L469" s="85"/>
      <c r="M469" s="85"/>
    </row>
    <row r="470" ht="15.75" customHeight="1">
      <c r="A470" s="150"/>
      <c r="B470" s="151"/>
      <c r="C470" s="150"/>
      <c r="D470" s="152"/>
      <c r="E470" s="77" t="str">
        <f t="shared" si="1"/>
        <v/>
      </c>
      <c r="F470" s="91" t="str">
        <f t="shared" si="2"/>
        <v/>
      </c>
      <c r="G470" s="69"/>
      <c r="H470" s="69" t="str">
        <f t="array" ref="H470">IF(G470="","",IFERROR(INDEX('Material Master'!$B$2:$B$201,IFERROR(MATCH(G470,'Material Master'!$F$2:$F$201,0),MATCH(G470,'Material Master'!$A$2:$A$201,0))),""))</f>
        <v/>
      </c>
      <c r="I470" s="69" t="str">
        <f t="array" ref="I470">IF(G470="","",IFERROR(INDEX('Material Master'!$C$2:$C$201,IFERROR(MATCH(G470,'Material Master'!$F$2:$F$201,0),MATCH(G470,'Material Master'!$A$2:$A$201,0))),""))</f>
        <v/>
      </c>
      <c r="J470" s="75" t="str">
        <f>IF(E470="","",SUMIFS('Stock Movement'!$F$2:$F$501,'Stock Movement'!$D$2:$D$501,E470,'Stock Movement'!$E$2:$E$501,"IN")-SUMIFS('Stock Movement'!$F$2:$F$501,'Stock Movement'!$D$2:$D$501,E470,'Stock Movement'!$E$2:$E$501,"OUT"))</f>
        <v/>
      </c>
      <c r="K470" s="77" t="str">
        <f t="array" ref="K470">IF(G470="","",IFERROR(INDEX('Material Master'!$D$2:$D$201,IFERROR(MATCH(G470,'Material Master'!$F$2:$F$201,0),MATCH(G470,'Material Master'!$A$2:$A$201,0))),""))</f>
        <v/>
      </c>
      <c r="L470" s="69"/>
      <c r="M470" s="69"/>
    </row>
    <row r="471" ht="15.75" customHeight="1">
      <c r="A471" s="147"/>
      <c r="B471" s="148"/>
      <c r="C471" s="147"/>
      <c r="D471" s="149"/>
      <c r="E471" s="87" t="str">
        <f t="shared" si="1"/>
        <v/>
      </c>
      <c r="F471" s="83" t="str">
        <f t="shared" si="2"/>
        <v/>
      </c>
      <c r="G471" s="85"/>
      <c r="H471" s="85" t="str">
        <f t="array" ref="H471">IF(G471="","",IFERROR(INDEX('Material Master'!$B$2:$B$201,IFERROR(MATCH(G471,'Material Master'!$F$2:$F$201,0),MATCH(G471,'Material Master'!$A$2:$A$201,0))),""))</f>
        <v/>
      </c>
      <c r="I471" s="85" t="str">
        <f t="array" ref="I471">IF(G471="","",IFERROR(INDEX('Material Master'!$C$2:$C$201,IFERROR(MATCH(G471,'Material Master'!$F$2:$F$201,0),MATCH(G471,'Material Master'!$A$2:$A$201,0))),""))</f>
        <v/>
      </c>
      <c r="J471" s="86" t="str">
        <f>IF(E471="","",SUMIFS('Stock Movement'!$F$2:$F$501,'Stock Movement'!$D$2:$D$501,E471,'Stock Movement'!$E$2:$E$501,"IN")-SUMIFS('Stock Movement'!$F$2:$F$501,'Stock Movement'!$D$2:$D$501,E471,'Stock Movement'!$E$2:$E$501,"OUT"))</f>
        <v/>
      </c>
      <c r="K471" s="87" t="str">
        <f t="array" ref="K471">IF(G471="","",IFERROR(INDEX('Material Master'!$D$2:$D$201,IFERROR(MATCH(G471,'Material Master'!$F$2:$F$201,0),MATCH(G471,'Material Master'!$A$2:$A$201,0))),""))</f>
        <v/>
      </c>
      <c r="L471" s="85"/>
      <c r="M471" s="85"/>
    </row>
    <row r="472" ht="15.75" customHeight="1">
      <c r="A472" s="150"/>
      <c r="B472" s="151"/>
      <c r="C472" s="150"/>
      <c r="D472" s="152"/>
      <c r="E472" s="77" t="str">
        <f t="shared" si="1"/>
        <v/>
      </c>
      <c r="F472" s="91" t="str">
        <f t="shared" si="2"/>
        <v/>
      </c>
      <c r="G472" s="69"/>
      <c r="H472" s="69" t="str">
        <f t="array" ref="H472">IF(G472="","",IFERROR(INDEX('Material Master'!$B$2:$B$201,IFERROR(MATCH(G472,'Material Master'!$F$2:$F$201,0),MATCH(G472,'Material Master'!$A$2:$A$201,0))),""))</f>
        <v/>
      </c>
      <c r="I472" s="69" t="str">
        <f t="array" ref="I472">IF(G472="","",IFERROR(INDEX('Material Master'!$C$2:$C$201,IFERROR(MATCH(G472,'Material Master'!$F$2:$F$201,0),MATCH(G472,'Material Master'!$A$2:$A$201,0))),""))</f>
        <v/>
      </c>
      <c r="J472" s="75" t="str">
        <f>IF(E472="","",SUMIFS('Stock Movement'!$F$2:$F$501,'Stock Movement'!$D$2:$D$501,E472,'Stock Movement'!$E$2:$E$501,"IN")-SUMIFS('Stock Movement'!$F$2:$F$501,'Stock Movement'!$D$2:$D$501,E472,'Stock Movement'!$E$2:$E$501,"OUT"))</f>
        <v/>
      </c>
      <c r="K472" s="77" t="str">
        <f t="array" ref="K472">IF(G472="","",IFERROR(INDEX('Material Master'!$D$2:$D$201,IFERROR(MATCH(G472,'Material Master'!$F$2:$F$201,0),MATCH(G472,'Material Master'!$A$2:$A$201,0))),""))</f>
        <v/>
      </c>
      <c r="L472" s="69"/>
      <c r="M472" s="69"/>
    </row>
    <row r="473" ht="15.75" customHeight="1">
      <c r="A473" s="147"/>
      <c r="B473" s="148"/>
      <c r="C473" s="147"/>
      <c r="D473" s="149"/>
      <c r="E473" s="87" t="str">
        <f t="shared" si="1"/>
        <v/>
      </c>
      <c r="F473" s="83" t="str">
        <f t="shared" si="2"/>
        <v/>
      </c>
      <c r="G473" s="85"/>
      <c r="H473" s="85" t="str">
        <f t="array" ref="H473">IF(G473="","",IFERROR(INDEX('Material Master'!$B$2:$B$201,IFERROR(MATCH(G473,'Material Master'!$F$2:$F$201,0),MATCH(G473,'Material Master'!$A$2:$A$201,0))),""))</f>
        <v/>
      </c>
      <c r="I473" s="85" t="str">
        <f t="array" ref="I473">IF(G473="","",IFERROR(INDEX('Material Master'!$C$2:$C$201,IFERROR(MATCH(G473,'Material Master'!$F$2:$F$201,0),MATCH(G473,'Material Master'!$A$2:$A$201,0))),""))</f>
        <v/>
      </c>
      <c r="J473" s="86" t="str">
        <f>IF(E473="","",SUMIFS('Stock Movement'!$F$2:$F$501,'Stock Movement'!$D$2:$D$501,E473,'Stock Movement'!$E$2:$E$501,"IN")-SUMIFS('Stock Movement'!$F$2:$F$501,'Stock Movement'!$D$2:$D$501,E473,'Stock Movement'!$E$2:$E$501,"OUT"))</f>
        <v/>
      </c>
      <c r="K473" s="87" t="str">
        <f t="array" ref="K473">IF(G473="","",IFERROR(INDEX('Material Master'!$D$2:$D$201,IFERROR(MATCH(G473,'Material Master'!$F$2:$F$201,0),MATCH(G473,'Material Master'!$A$2:$A$201,0))),""))</f>
        <v/>
      </c>
      <c r="L473" s="85"/>
      <c r="M473" s="85"/>
    </row>
    <row r="474" ht="15.75" customHeight="1">
      <c r="A474" s="150"/>
      <c r="B474" s="151"/>
      <c r="C474" s="150"/>
      <c r="D474" s="152"/>
      <c r="E474" s="77" t="str">
        <f t="shared" si="1"/>
        <v/>
      </c>
      <c r="F474" s="91" t="str">
        <f t="shared" si="2"/>
        <v/>
      </c>
      <c r="G474" s="69"/>
      <c r="H474" s="69" t="str">
        <f t="array" ref="H474">IF(G474="","",IFERROR(INDEX('Material Master'!$B$2:$B$201,IFERROR(MATCH(G474,'Material Master'!$F$2:$F$201,0),MATCH(G474,'Material Master'!$A$2:$A$201,0))),""))</f>
        <v/>
      </c>
      <c r="I474" s="69" t="str">
        <f t="array" ref="I474">IF(G474="","",IFERROR(INDEX('Material Master'!$C$2:$C$201,IFERROR(MATCH(G474,'Material Master'!$F$2:$F$201,0),MATCH(G474,'Material Master'!$A$2:$A$201,0))),""))</f>
        <v/>
      </c>
      <c r="J474" s="75" t="str">
        <f>IF(E474="","",SUMIFS('Stock Movement'!$F$2:$F$501,'Stock Movement'!$D$2:$D$501,E474,'Stock Movement'!$E$2:$E$501,"IN")-SUMIFS('Stock Movement'!$F$2:$F$501,'Stock Movement'!$D$2:$D$501,E474,'Stock Movement'!$E$2:$E$501,"OUT"))</f>
        <v/>
      </c>
      <c r="K474" s="77" t="str">
        <f t="array" ref="K474">IF(G474="","",IFERROR(INDEX('Material Master'!$D$2:$D$201,IFERROR(MATCH(G474,'Material Master'!$F$2:$F$201,0),MATCH(G474,'Material Master'!$A$2:$A$201,0))),""))</f>
        <v/>
      </c>
      <c r="L474" s="69"/>
      <c r="M474" s="69"/>
    </row>
    <row r="475" ht="15.75" customHeight="1">
      <c r="A475" s="147"/>
      <c r="B475" s="148"/>
      <c r="C475" s="147"/>
      <c r="D475" s="149"/>
      <c r="E475" s="87" t="str">
        <f t="shared" si="1"/>
        <v/>
      </c>
      <c r="F475" s="83" t="str">
        <f t="shared" si="2"/>
        <v/>
      </c>
      <c r="G475" s="85"/>
      <c r="H475" s="85" t="str">
        <f t="array" ref="H475">IF(G475="","",IFERROR(INDEX('Material Master'!$B$2:$B$201,IFERROR(MATCH(G475,'Material Master'!$F$2:$F$201,0),MATCH(G475,'Material Master'!$A$2:$A$201,0))),""))</f>
        <v/>
      </c>
      <c r="I475" s="85" t="str">
        <f t="array" ref="I475">IF(G475="","",IFERROR(INDEX('Material Master'!$C$2:$C$201,IFERROR(MATCH(G475,'Material Master'!$F$2:$F$201,0),MATCH(G475,'Material Master'!$A$2:$A$201,0))),""))</f>
        <v/>
      </c>
      <c r="J475" s="86" t="str">
        <f>IF(E475="","",SUMIFS('Stock Movement'!$F$2:$F$501,'Stock Movement'!$D$2:$D$501,E475,'Stock Movement'!$E$2:$E$501,"IN")-SUMIFS('Stock Movement'!$F$2:$F$501,'Stock Movement'!$D$2:$D$501,E475,'Stock Movement'!$E$2:$E$501,"OUT"))</f>
        <v/>
      </c>
      <c r="K475" s="87" t="str">
        <f t="array" ref="K475">IF(G475="","",IFERROR(INDEX('Material Master'!$D$2:$D$201,IFERROR(MATCH(G475,'Material Master'!$F$2:$F$201,0),MATCH(G475,'Material Master'!$A$2:$A$201,0))),""))</f>
        <v/>
      </c>
      <c r="L475" s="85"/>
      <c r="M475" s="85"/>
    </row>
    <row r="476" ht="15.75" customHeight="1">
      <c r="A476" s="150"/>
      <c r="B476" s="151"/>
      <c r="C476" s="150"/>
      <c r="D476" s="152"/>
      <c r="E476" s="77" t="str">
        <f t="shared" si="1"/>
        <v/>
      </c>
      <c r="F476" s="91" t="str">
        <f t="shared" si="2"/>
        <v/>
      </c>
      <c r="G476" s="69"/>
      <c r="H476" s="69" t="str">
        <f t="array" ref="H476">IF(G476="","",IFERROR(INDEX('Material Master'!$B$2:$B$201,IFERROR(MATCH(G476,'Material Master'!$F$2:$F$201,0),MATCH(G476,'Material Master'!$A$2:$A$201,0))),""))</f>
        <v/>
      </c>
      <c r="I476" s="69" t="str">
        <f t="array" ref="I476">IF(G476="","",IFERROR(INDEX('Material Master'!$C$2:$C$201,IFERROR(MATCH(G476,'Material Master'!$F$2:$F$201,0),MATCH(G476,'Material Master'!$A$2:$A$201,0))),""))</f>
        <v/>
      </c>
      <c r="J476" s="75" t="str">
        <f>IF(E476="","",SUMIFS('Stock Movement'!$F$2:$F$501,'Stock Movement'!$D$2:$D$501,E476,'Stock Movement'!$E$2:$E$501,"IN")-SUMIFS('Stock Movement'!$F$2:$F$501,'Stock Movement'!$D$2:$D$501,E476,'Stock Movement'!$E$2:$E$501,"OUT"))</f>
        <v/>
      </c>
      <c r="K476" s="77" t="str">
        <f t="array" ref="K476">IF(G476="","",IFERROR(INDEX('Material Master'!$D$2:$D$201,IFERROR(MATCH(G476,'Material Master'!$F$2:$F$201,0),MATCH(G476,'Material Master'!$A$2:$A$201,0))),""))</f>
        <v/>
      </c>
      <c r="L476" s="69"/>
      <c r="M476" s="69"/>
    </row>
    <row r="477" ht="15.75" customHeight="1">
      <c r="A477" s="147"/>
      <c r="B477" s="148"/>
      <c r="C477" s="147"/>
      <c r="D477" s="149"/>
      <c r="E477" s="87" t="str">
        <f t="shared" si="1"/>
        <v/>
      </c>
      <c r="F477" s="83" t="str">
        <f t="shared" si="2"/>
        <v/>
      </c>
      <c r="G477" s="85"/>
      <c r="H477" s="85" t="str">
        <f t="array" ref="H477">IF(G477="","",IFERROR(INDEX('Material Master'!$B$2:$B$201,IFERROR(MATCH(G477,'Material Master'!$F$2:$F$201,0),MATCH(G477,'Material Master'!$A$2:$A$201,0))),""))</f>
        <v/>
      </c>
      <c r="I477" s="85" t="str">
        <f t="array" ref="I477">IF(G477="","",IFERROR(INDEX('Material Master'!$C$2:$C$201,IFERROR(MATCH(G477,'Material Master'!$F$2:$F$201,0),MATCH(G477,'Material Master'!$A$2:$A$201,0))),""))</f>
        <v/>
      </c>
      <c r="J477" s="86" t="str">
        <f>IF(E477="","",SUMIFS('Stock Movement'!$F$2:$F$501,'Stock Movement'!$D$2:$D$501,E477,'Stock Movement'!$E$2:$E$501,"IN")-SUMIFS('Stock Movement'!$F$2:$F$501,'Stock Movement'!$D$2:$D$501,E477,'Stock Movement'!$E$2:$E$501,"OUT"))</f>
        <v/>
      </c>
      <c r="K477" s="87" t="str">
        <f t="array" ref="K477">IF(G477="","",IFERROR(INDEX('Material Master'!$D$2:$D$201,IFERROR(MATCH(G477,'Material Master'!$F$2:$F$201,0),MATCH(G477,'Material Master'!$A$2:$A$201,0))),""))</f>
        <v/>
      </c>
      <c r="L477" s="85"/>
      <c r="M477" s="85"/>
    </row>
    <row r="478" ht="15.75" customHeight="1">
      <c r="A478" s="150"/>
      <c r="B478" s="151"/>
      <c r="C478" s="150"/>
      <c r="D478" s="152"/>
      <c r="E478" s="77" t="str">
        <f t="shared" si="1"/>
        <v/>
      </c>
      <c r="F478" s="91" t="str">
        <f t="shared" si="2"/>
        <v/>
      </c>
      <c r="G478" s="69"/>
      <c r="H478" s="69" t="str">
        <f t="array" ref="H478">IF(G478="","",IFERROR(INDEX('Material Master'!$B$2:$B$201,IFERROR(MATCH(G478,'Material Master'!$F$2:$F$201,0),MATCH(G478,'Material Master'!$A$2:$A$201,0))),""))</f>
        <v/>
      </c>
      <c r="I478" s="69" t="str">
        <f t="array" ref="I478">IF(G478="","",IFERROR(INDEX('Material Master'!$C$2:$C$201,IFERROR(MATCH(G478,'Material Master'!$F$2:$F$201,0),MATCH(G478,'Material Master'!$A$2:$A$201,0))),""))</f>
        <v/>
      </c>
      <c r="J478" s="75" t="str">
        <f>IF(E478="","",SUMIFS('Stock Movement'!$F$2:$F$501,'Stock Movement'!$D$2:$D$501,E478,'Stock Movement'!$E$2:$E$501,"IN")-SUMIFS('Stock Movement'!$F$2:$F$501,'Stock Movement'!$D$2:$D$501,E478,'Stock Movement'!$E$2:$E$501,"OUT"))</f>
        <v/>
      </c>
      <c r="K478" s="77" t="str">
        <f t="array" ref="K478">IF(G478="","",IFERROR(INDEX('Material Master'!$D$2:$D$201,IFERROR(MATCH(G478,'Material Master'!$F$2:$F$201,0),MATCH(G478,'Material Master'!$A$2:$A$201,0))),""))</f>
        <v/>
      </c>
      <c r="L478" s="69"/>
      <c r="M478" s="69"/>
    </row>
    <row r="479" ht="15.75" customHeight="1">
      <c r="A479" s="147"/>
      <c r="B479" s="148"/>
      <c r="C479" s="147"/>
      <c r="D479" s="149"/>
      <c r="E479" s="87" t="str">
        <f t="shared" si="1"/>
        <v/>
      </c>
      <c r="F479" s="83" t="str">
        <f t="shared" si="2"/>
        <v/>
      </c>
      <c r="G479" s="85"/>
      <c r="H479" s="85" t="str">
        <f t="array" ref="H479">IF(G479="","",IFERROR(INDEX('Material Master'!$B$2:$B$201,IFERROR(MATCH(G479,'Material Master'!$F$2:$F$201,0),MATCH(G479,'Material Master'!$A$2:$A$201,0))),""))</f>
        <v/>
      </c>
      <c r="I479" s="85" t="str">
        <f t="array" ref="I479">IF(G479="","",IFERROR(INDEX('Material Master'!$C$2:$C$201,IFERROR(MATCH(G479,'Material Master'!$F$2:$F$201,0),MATCH(G479,'Material Master'!$A$2:$A$201,0))),""))</f>
        <v/>
      </c>
      <c r="J479" s="86" t="str">
        <f>IF(E479="","",SUMIFS('Stock Movement'!$F$2:$F$501,'Stock Movement'!$D$2:$D$501,E479,'Stock Movement'!$E$2:$E$501,"IN")-SUMIFS('Stock Movement'!$F$2:$F$501,'Stock Movement'!$D$2:$D$501,E479,'Stock Movement'!$E$2:$E$501,"OUT"))</f>
        <v/>
      </c>
      <c r="K479" s="87" t="str">
        <f t="array" ref="K479">IF(G479="","",IFERROR(INDEX('Material Master'!$D$2:$D$201,IFERROR(MATCH(G479,'Material Master'!$F$2:$F$201,0),MATCH(G479,'Material Master'!$A$2:$A$201,0))),""))</f>
        <v/>
      </c>
      <c r="L479" s="85"/>
      <c r="M479" s="85"/>
    </row>
    <row r="480" ht="15.75" customHeight="1">
      <c r="A480" s="150"/>
      <c r="B480" s="151"/>
      <c r="C480" s="150"/>
      <c r="D480" s="152"/>
      <c r="E480" s="77" t="str">
        <f t="shared" si="1"/>
        <v/>
      </c>
      <c r="F480" s="91" t="str">
        <f t="shared" si="2"/>
        <v/>
      </c>
      <c r="G480" s="69"/>
      <c r="H480" s="69" t="str">
        <f t="array" ref="H480">IF(G480="","",IFERROR(INDEX('Material Master'!$B$2:$B$201,IFERROR(MATCH(G480,'Material Master'!$F$2:$F$201,0),MATCH(G480,'Material Master'!$A$2:$A$201,0))),""))</f>
        <v/>
      </c>
      <c r="I480" s="69" t="str">
        <f t="array" ref="I480">IF(G480="","",IFERROR(INDEX('Material Master'!$C$2:$C$201,IFERROR(MATCH(G480,'Material Master'!$F$2:$F$201,0),MATCH(G480,'Material Master'!$A$2:$A$201,0))),""))</f>
        <v/>
      </c>
      <c r="J480" s="75" t="str">
        <f>IF(E480="","",SUMIFS('Stock Movement'!$F$2:$F$501,'Stock Movement'!$D$2:$D$501,E480,'Stock Movement'!$E$2:$E$501,"IN")-SUMIFS('Stock Movement'!$F$2:$F$501,'Stock Movement'!$D$2:$D$501,E480,'Stock Movement'!$E$2:$E$501,"OUT"))</f>
        <v/>
      </c>
      <c r="K480" s="77" t="str">
        <f t="array" ref="K480">IF(G480="","",IFERROR(INDEX('Material Master'!$D$2:$D$201,IFERROR(MATCH(G480,'Material Master'!$F$2:$F$201,0),MATCH(G480,'Material Master'!$A$2:$A$201,0))),""))</f>
        <v/>
      </c>
      <c r="L480" s="69"/>
      <c r="M480" s="69"/>
    </row>
    <row r="481" ht="15.75" customHeight="1">
      <c r="A481" s="147"/>
      <c r="B481" s="148"/>
      <c r="C481" s="147"/>
      <c r="D481" s="149"/>
      <c r="E481" s="87" t="str">
        <f t="shared" si="1"/>
        <v/>
      </c>
      <c r="F481" s="83" t="str">
        <f t="shared" si="2"/>
        <v/>
      </c>
      <c r="G481" s="85"/>
      <c r="H481" s="85" t="str">
        <f t="array" ref="H481">IF(G481="","",IFERROR(INDEX('Material Master'!$B$2:$B$201,IFERROR(MATCH(G481,'Material Master'!$F$2:$F$201,0),MATCH(G481,'Material Master'!$A$2:$A$201,0))),""))</f>
        <v/>
      </c>
      <c r="I481" s="85" t="str">
        <f t="array" ref="I481">IF(G481="","",IFERROR(INDEX('Material Master'!$C$2:$C$201,IFERROR(MATCH(G481,'Material Master'!$F$2:$F$201,0),MATCH(G481,'Material Master'!$A$2:$A$201,0))),""))</f>
        <v/>
      </c>
      <c r="J481" s="86" t="str">
        <f>IF(E481="","",SUMIFS('Stock Movement'!$F$2:$F$501,'Stock Movement'!$D$2:$D$501,E481,'Stock Movement'!$E$2:$E$501,"IN")-SUMIFS('Stock Movement'!$F$2:$F$501,'Stock Movement'!$D$2:$D$501,E481,'Stock Movement'!$E$2:$E$501,"OUT"))</f>
        <v/>
      </c>
      <c r="K481" s="87" t="str">
        <f t="array" ref="K481">IF(G481="","",IFERROR(INDEX('Material Master'!$D$2:$D$201,IFERROR(MATCH(G481,'Material Master'!$F$2:$F$201,0),MATCH(G481,'Material Master'!$A$2:$A$201,0))),""))</f>
        <v/>
      </c>
      <c r="L481" s="85"/>
      <c r="M481" s="85"/>
    </row>
    <row r="482" ht="15.75" customHeight="1">
      <c r="A482" s="150"/>
      <c r="B482" s="151"/>
      <c r="C482" s="150"/>
      <c r="D482" s="152"/>
      <c r="E482" s="77" t="str">
        <f t="shared" si="1"/>
        <v/>
      </c>
      <c r="F482" s="91" t="str">
        <f t="shared" si="2"/>
        <v/>
      </c>
      <c r="G482" s="69"/>
      <c r="H482" s="69" t="str">
        <f t="array" ref="H482">IF(G482="","",IFERROR(INDEX('Material Master'!$B$2:$B$201,IFERROR(MATCH(G482,'Material Master'!$F$2:$F$201,0),MATCH(G482,'Material Master'!$A$2:$A$201,0))),""))</f>
        <v/>
      </c>
      <c r="I482" s="69" t="str">
        <f t="array" ref="I482">IF(G482="","",IFERROR(INDEX('Material Master'!$C$2:$C$201,IFERROR(MATCH(G482,'Material Master'!$F$2:$F$201,0),MATCH(G482,'Material Master'!$A$2:$A$201,0))),""))</f>
        <v/>
      </c>
      <c r="J482" s="75" t="str">
        <f>IF(E482="","",SUMIFS('Stock Movement'!$F$2:$F$501,'Stock Movement'!$D$2:$D$501,E482,'Stock Movement'!$E$2:$E$501,"IN")-SUMIFS('Stock Movement'!$F$2:$F$501,'Stock Movement'!$D$2:$D$501,E482,'Stock Movement'!$E$2:$E$501,"OUT"))</f>
        <v/>
      </c>
      <c r="K482" s="77" t="str">
        <f t="array" ref="K482">IF(G482="","",IFERROR(INDEX('Material Master'!$D$2:$D$201,IFERROR(MATCH(G482,'Material Master'!$F$2:$F$201,0),MATCH(G482,'Material Master'!$A$2:$A$201,0))),""))</f>
        <v/>
      </c>
      <c r="L482" s="69"/>
      <c r="M482" s="69"/>
    </row>
    <row r="483" ht="15.75" customHeight="1">
      <c r="A483" s="147"/>
      <c r="B483" s="148"/>
      <c r="C483" s="147"/>
      <c r="D483" s="149"/>
      <c r="E483" s="87" t="str">
        <f t="shared" si="1"/>
        <v/>
      </c>
      <c r="F483" s="83" t="str">
        <f t="shared" si="2"/>
        <v/>
      </c>
      <c r="G483" s="85"/>
      <c r="H483" s="85" t="str">
        <f t="array" ref="H483">IF(G483="","",IFERROR(INDEX('Material Master'!$B$2:$B$201,IFERROR(MATCH(G483,'Material Master'!$F$2:$F$201,0),MATCH(G483,'Material Master'!$A$2:$A$201,0))),""))</f>
        <v/>
      </c>
      <c r="I483" s="85" t="str">
        <f t="array" ref="I483">IF(G483="","",IFERROR(INDEX('Material Master'!$C$2:$C$201,IFERROR(MATCH(G483,'Material Master'!$F$2:$F$201,0),MATCH(G483,'Material Master'!$A$2:$A$201,0))),""))</f>
        <v/>
      </c>
      <c r="J483" s="86" t="str">
        <f>IF(E483="","",SUMIFS('Stock Movement'!$F$2:$F$501,'Stock Movement'!$D$2:$D$501,E483,'Stock Movement'!$E$2:$E$501,"IN")-SUMIFS('Stock Movement'!$F$2:$F$501,'Stock Movement'!$D$2:$D$501,E483,'Stock Movement'!$E$2:$E$501,"OUT"))</f>
        <v/>
      </c>
      <c r="K483" s="87" t="str">
        <f t="array" ref="K483">IF(G483="","",IFERROR(INDEX('Material Master'!$D$2:$D$201,IFERROR(MATCH(G483,'Material Master'!$F$2:$F$201,0),MATCH(G483,'Material Master'!$A$2:$A$201,0))),""))</f>
        <v/>
      </c>
      <c r="L483" s="85"/>
      <c r="M483" s="85"/>
    </row>
    <row r="484" ht="15.75" customHeight="1">
      <c r="A484" s="150"/>
      <c r="B484" s="151"/>
      <c r="C484" s="150"/>
      <c r="D484" s="152"/>
      <c r="E484" s="77" t="str">
        <f t="shared" si="1"/>
        <v/>
      </c>
      <c r="F484" s="91" t="str">
        <f t="shared" si="2"/>
        <v/>
      </c>
      <c r="G484" s="69"/>
      <c r="H484" s="69" t="str">
        <f t="array" ref="H484">IF(G484="","",IFERROR(INDEX('Material Master'!$B$2:$B$201,IFERROR(MATCH(G484,'Material Master'!$F$2:$F$201,0),MATCH(G484,'Material Master'!$A$2:$A$201,0))),""))</f>
        <v/>
      </c>
      <c r="I484" s="69" t="str">
        <f t="array" ref="I484">IF(G484="","",IFERROR(INDEX('Material Master'!$C$2:$C$201,IFERROR(MATCH(G484,'Material Master'!$F$2:$F$201,0),MATCH(G484,'Material Master'!$A$2:$A$201,0))),""))</f>
        <v/>
      </c>
      <c r="J484" s="75" t="str">
        <f>IF(E484="","",SUMIFS('Stock Movement'!$F$2:$F$501,'Stock Movement'!$D$2:$D$501,E484,'Stock Movement'!$E$2:$E$501,"IN")-SUMIFS('Stock Movement'!$F$2:$F$501,'Stock Movement'!$D$2:$D$501,E484,'Stock Movement'!$E$2:$E$501,"OUT"))</f>
        <v/>
      </c>
      <c r="K484" s="77" t="str">
        <f t="array" ref="K484">IF(G484="","",IFERROR(INDEX('Material Master'!$D$2:$D$201,IFERROR(MATCH(G484,'Material Master'!$F$2:$F$201,0),MATCH(G484,'Material Master'!$A$2:$A$201,0))),""))</f>
        <v/>
      </c>
      <c r="L484" s="69"/>
      <c r="M484" s="69"/>
    </row>
    <row r="485" ht="15.75" customHeight="1">
      <c r="A485" s="147"/>
      <c r="B485" s="148"/>
      <c r="C485" s="147"/>
      <c r="D485" s="149"/>
      <c r="E485" s="87" t="str">
        <f t="shared" si="1"/>
        <v/>
      </c>
      <c r="F485" s="83" t="str">
        <f t="shared" si="2"/>
        <v/>
      </c>
      <c r="G485" s="85"/>
      <c r="H485" s="85" t="str">
        <f t="array" ref="H485">IF(G485="","",IFERROR(INDEX('Material Master'!$B$2:$B$201,IFERROR(MATCH(G485,'Material Master'!$F$2:$F$201,0),MATCH(G485,'Material Master'!$A$2:$A$201,0))),""))</f>
        <v/>
      </c>
      <c r="I485" s="85" t="str">
        <f t="array" ref="I485">IF(G485="","",IFERROR(INDEX('Material Master'!$C$2:$C$201,IFERROR(MATCH(G485,'Material Master'!$F$2:$F$201,0),MATCH(G485,'Material Master'!$A$2:$A$201,0))),""))</f>
        <v/>
      </c>
      <c r="J485" s="86" t="str">
        <f>IF(E485="","",SUMIFS('Stock Movement'!$F$2:$F$501,'Stock Movement'!$D$2:$D$501,E485,'Stock Movement'!$E$2:$E$501,"IN")-SUMIFS('Stock Movement'!$F$2:$F$501,'Stock Movement'!$D$2:$D$501,E485,'Stock Movement'!$E$2:$E$501,"OUT"))</f>
        <v/>
      </c>
      <c r="K485" s="87" t="str">
        <f t="array" ref="K485">IF(G485="","",IFERROR(INDEX('Material Master'!$D$2:$D$201,IFERROR(MATCH(G485,'Material Master'!$F$2:$F$201,0),MATCH(G485,'Material Master'!$A$2:$A$201,0))),""))</f>
        <v/>
      </c>
      <c r="L485" s="85"/>
      <c r="M485" s="85"/>
    </row>
    <row r="486" ht="15.75" customHeight="1">
      <c r="A486" s="150"/>
      <c r="B486" s="151"/>
      <c r="C486" s="150"/>
      <c r="D486" s="152"/>
      <c r="E486" s="77" t="str">
        <f t="shared" si="1"/>
        <v/>
      </c>
      <c r="F486" s="91" t="str">
        <f t="shared" si="2"/>
        <v/>
      </c>
      <c r="G486" s="69"/>
      <c r="H486" s="69" t="str">
        <f t="array" ref="H486">IF(G486="","",IFERROR(INDEX('Material Master'!$B$2:$B$201,IFERROR(MATCH(G486,'Material Master'!$F$2:$F$201,0),MATCH(G486,'Material Master'!$A$2:$A$201,0))),""))</f>
        <v/>
      </c>
      <c r="I486" s="69" t="str">
        <f t="array" ref="I486">IF(G486="","",IFERROR(INDEX('Material Master'!$C$2:$C$201,IFERROR(MATCH(G486,'Material Master'!$F$2:$F$201,0),MATCH(G486,'Material Master'!$A$2:$A$201,0))),""))</f>
        <v/>
      </c>
      <c r="J486" s="75" t="str">
        <f>IF(E486="","",SUMIFS('Stock Movement'!$F$2:$F$501,'Stock Movement'!$D$2:$D$501,E486,'Stock Movement'!$E$2:$E$501,"IN")-SUMIFS('Stock Movement'!$F$2:$F$501,'Stock Movement'!$D$2:$D$501,E486,'Stock Movement'!$E$2:$E$501,"OUT"))</f>
        <v/>
      </c>
      <c r="K486" s="77" t="str">
        <f t="array" ref="K486">IF(G486="","",IFERROR(INDEX('Material Master'!$D$2:$D$201,IFERROR(MATCH(G486,'Material Master'!$F$2:$F$201,0),MATCH(G486,'Material Master'!$A$2:$A$201,0))),""))</f>
        <v/>
      </c>
      <c r="L486" s="69"/>
      <c r="M486" s="69"/>
    </row>
    <row r="487" ht="15.75" customHeight="1">
      <c r="A487" s="147"/>
      <c r="B487" s="148"/>
      <c r="C487" s="147"/>
      <c r="D487" s="149"/>
      <c r="E487" s="87" t="str">
        <f t="shared" si="1"/>
        <v/>
      </c>
      <c r="F487" s="83" t="str">
        <f t="shared" si="2"/>
        <v/>
      </c>
      <c r="G487" s="85"/>
      <c r="H487" s="85" t="str">
        <f t="array" ref="H487">IF(G487="","",IFERROR(INDEX('Material Master'!$B$2:$B$201,IFERROR(MATCH(G487,'Material Master'!$F$2:$F$201,0),MATCH(G487,'Material Master'!$A$2:$A$201,0))),""))</f>
        <v/>
      </c>
      <c r="I487" s="85" t="str">
        <f t="array" ref="I487">IF(G487="","",IFERROR(INDEX('Material Master'!$C$2:$C$201,IFERROR(MATCH(G487,'Material Master'!$F$2:$F$201,0),MATCH(G487,'Material Master'!$A$2:$A$201,0))),""))</f>
        <v/>
      </c>
      <c r="J487" s="86" t="str">
        <f>IF(E487="","",SUMIFS('Stock Movement'!$F$2:$F$501,'Stock Movement'!$D$2:$D$501,E487,'Stock Movement'!$E$2:$E$501,"IN")-SUMIFS('Stock Movement'!$F$2:$F$501,'Stock Movement'!$D$2:$D$501,E487,'Stock Movement'!$E$2:$E$501,"OUT"))</f>
        <v/>
      </c>
      <c r="K487" s="87" t="str">
        <f t="array" ref="K487">IF(G487="","",IFERROR(INDEX('Material Master'!$D$2:$D$201,IFERROR(MATCH(G487,'Material Master'!$F$2:$F$201,0),MATCH(G487,'Material Master'!$A$2:$A$201,0))),""))</f>
        <v/>
      </c>
      <c r="L487" s="85"/>
      <c r="M487" s="85"/>
    </row>
    <row r="488" ht="15.75" customHeight="1">
      <c r="A488" s="150"/>
      <c r="B488" s="151"/>
      <c r="C488" s="150"/>
      <c r="D488" s="152"/>
      <c r="E488" s="77" t="str">
        <f t="shared" si="1"/>
        <v/>
      </c>
      <c r="F488" s="91" t="str">
        <f t="shared" si="2"/>
        <v/>
      </c>
      <c r="G488" s="69"/>
      <c r="H488" s="69" t="str">
        <f t="array" ref="H488">IF(G488="","",IFERROR(INDEX('Material Master'!$B$2:$B$201,IFERROR(MATCH(G488,'Material Master'!$F$2:$F$201,0),MATCH(G488,'Material Master'!$A$2:$A$201,0))),""))</f>
        <v/>
      </c>
      <c r="I488" s="69" t="str">
        <f t="array" ref="I488">IF(G488="","",IFERROR(INDEX('Material Master'!$C$2:$C$201,IFERROR(MATCH(G488,'Material Master'!$F$2:$F$201,0),MATCH(G488,'Material Master'!$A$2:$A$201,0))),""))</f>
        <v/>
      </c>
      <c r="J488" s="75" t="str">
        <f>IF(E488="","",SUMIFS('Stock Movement'!$F$2:$F$501,'Stock Movement'!$D$2:$D$501,E488,'Stock Movement'!$E$2:$E$501,"IN")-SUMIFS('Stock Movement'!$F$2:$F$501,'Stock Movement'!$D$2:$D$501,E488,'Stock Movement'!$E$2:$E$501,"OUT"))</f>
        <v/>
      </c>
      <c r="K488" s="77" t="str">
        <f t="array" ref="K488">IF(G488="","",IFERROR(INDEX('Material Master'!$D$2:$D$201,IFERROR(MATCH(G488,'Material Master'!$F$2:$F$201,0),MATCH(G488,'Material Master'!$A$2:$A$201,0))),""))</f>
        <v/>
      </c>
      <c r="L488" s="69"/>
      <c r="M488" s="69"/>
    </row>
    <row r="489" ht="15.75" customHeight="1">
      <c r="A489" s="147"/>
      <c r="B489" s="148"/>
      <c r="C489" s="147"/>
      <c r="D489" s="149"/>
      <c r="E489" s="87" t="str">
        <f t="shared" si="1"/>
        <v/>
      </c>
      <c r="F489" s="83" t="str">
        <f t="shared" si="2"/>
        <v/>
      </c>
      <c r="G489" s="85"/>
      <c r="H489" s="85" t="str">
        <f t="array" ref="H489">IF(G489="","",IFERROR(INDEX('Material Master'!$B$2:$B$201,IFERROR(MATCH(G489,'Material Master'!$F$2:$F$201,0),MATCH(G489,'Material Master'!$A$2:$A$201,0))),""))</f>
        <v/>
      </c>
      <c r="I489" s="85" t="str">
        <f t="array" ref="I489">IF(G489="","",IFERROR(INDEX('Material Master'!$C$2:$C$201,IFERROR(MATCH(G489,'Material Master'!$F$2:$F$201,0),MATCH(G489,'Material Master'!$A$2:$A$201,0))),""))</f>
        <v/>
      </c>
      <c r="J489" s="86" t="str">
        <f>IF(E489="","",SUMIFS('Stock Movement'!$F$2:$F$501,'Stock Movement'!$D$2:$D$501,E489,'Stock Movement'!$E$2:$E$501,"IN")-SUMIFS('Stock Movement'!$F$2:$F$501,'Stock Movement'!$D$2:$D$501,E489,'Stock Movement'!$E$2:$E$501,"OUT"))</f>
        <v/>
      </c>
      <c r="K489" s="87" t="str">
        <f t="array" ref="K489">IF(G489="","",IFERROR(INDEX('Material Master'!$D$2:$D$201,IFERROR(MATCH(G489,'Material Master'!$F$2:$F$201,0),MATCH(G489,'Material Master'!$A$2:$A$201,0))),""))</f>
        <v/>
      </c>
      <c r="L489" s="85"/>
      <c r="M489" s="85"/>
    </row>
    <row r="490" ht="15.75" customHeight="1">
      <c r="A490" s="150"/>
      <c r="B490" s="151"/>
      <c r="C490" s="150"/>
      <c r="D490" s="152"/>
      <c r="E490" s="77" t="str">
        <f t="shared" si="1"/>
        <v/>
      </c>
      <c r="F490" s="91" t="str">
        <f t="shared" si="2"/>
        <v/>
      </c>
      <c r="G490" s="69"/>
      <c r="H490" s="69" t="str">
        <f t="array" ref="H490">IF(G490="","",IFERROR(INDEX('Material Master'!$B$2:$B$201,IFERROR(MATCH(G490,'Material Master'!$F$2:$F$201,0),MATCH(G490,'Material Master'!$A$2:$A$201,0))),""))</f>
        <v/>
      </c>
      <c r="I490" s="69" t="str">
        <f t="array" ref="I490">IF(G490="","",IFERROR(INDEX('Material Master'!$C$2:$C$201,IFERROR(MATCH(G490,'Material Master'!$F$2:$F$201,0),MATCH(G490,'Material Master'!$A$2:$A$201,0))),""))</f>
        <v/>
      </c>
      <c r="J490" s="75" t="str">
        <f>IF(E490="","",SUMIFS('Stock Movement'!$F$2:$F$501,'Stock Movement'!$D$2:$D$501,E490,'Stock Movement'!$E$2:$E$501,"IN")-SUMIFS('Stock Movement'!$F$2:$F$501,'Stock Movement'!$D$2:$D$501,E490,'Stock Movement'!$E$2:$E$501,"OUT"))</f>
        <v/>
      </c>
      <c r="K490" s="77" t="str">
        <f t="array" ref="K490">IF(G490="","",IFERROR(INDEX('Material Master'!$D$2:$D$201,IFERROR(MATCH(G490,'Material Master'!$F$2:$F$201,0),MATCH(G490,'Material Master'!$A$2:$A$201,0))),""))</f>
        <v/>
      </c>
      <c r="L490" s="69"/>
      <c r="M490" s="69"/>
    </row>
    <row r="491" ht="15.75" customHeight="1">
      <c r="A491" s="147"/>
      <c r="B491" s="148"/>
      <c r="C491" s="147"/>
      <c r="D491" s="149"/>
      <c r="E491" s="87" t="str">
        <f t="shared" si="1"/>
        <v/>
      </c>
      <c r="F491" s="83" t="str">
        <f t="shared" si="2"/>
        <v/>
      </c>
      <c r="G491" s="85"/>
      <c r="H491" s="85" t="str">
        <f t="array" ref="H491">IF(G491="","",IFERROR(INDEX('Material Master'!$B$2:$B$201,IFERROR(MATCH(G491,'Material Master'!$F$2:$F$201,0),MATCH(G491,'Material Master'!$A$2:$A$201,0))),""))</f>
        <v/>
      </c>
      <c r="I491" s="85" t="str">
        <f t="array" ref="I491">IF(G491="","",IFERROR(INDEX('Material Master'!$C$2:$C$201,IFERROR(MATCH(G491,'Material Master'!$F$2:$F$201,0),MATCH(G491,'Material Master'!$A$2:$A$201,0))),""))</f>
        <v/>
      </c>
      <c r="J491" s="86" t="str">
        <f>IF(E491="","",SUMIFS('Stock Movement'!$F$2:$F$501,'Stock Movement'!$D$2:$D$501,E491,'Stock Movement'!$E$2:$E$501,"IN")-SUMIFS('Stock Movement'!$F$2:$F$501,'Stock Movement'!$D$2:$D$501,E491,'Stock Movement'!$E$2:$E$501,"OUT"))</f>
        <v/>
      </c>
      <c r="K491" s="87" t="str">
        <f t="array" ref="K491">IF(G491="","",IFERROR(INDEX('Material Master'!$D$2:$D$201,IFERROR(MATCH(G491,'Material Master'!$F$2:$F$201,0),MATCH(G491,'Material Master'!$A$2:$A$201,0))),""))</f>
        <v/>
      </c>
      <c r="L491" s="85"/>
      <c r="M491" s="85"/>
    </row>
    <row r="492" ht="15.75" customHeight="1">
      <c r="A492" s="150"/>
      <c r="B492" s="151"/>
      <c r="C492" s="150"/>
      <c r="D492" s="152"/>
      <c r="E492" s="77" t="str">
        <f t="shared" si="1"/>
        <v/>
      </c>
      <c r="F492" s="91" t="str">
        <f t="shared" si="2"/>
        <v/>
      </c>
      <c r="G492" s="69"/>
      <c r="H492" s="69" t="str">
        <f t="array" ref="H492">IF(G492="","",IFERROR(INDEX('Material Master'!$B$2:$B$201,IFERROR(MATCH(G492,'Material Master'!$F$2:$F$201,0),MATCH(G492,'Material Master'!$A$2:$A$201,0))),""))</f>
        <v/>
      </c>
      <c r="I492" s="69" t="str">
        <f t="array" ref="I492">IF(G492="","",IFERROR(INDEX('Material Master'!$C$2:$C$201,IFERROR(MATCH(G492,'Material Master'!$F$2:$F$201,0),MATCH(G492,'Material Master'!$A$2:$A$201,0))),""))</f>
        <v/>
      </c>
      <c r="J492" s="75" t="str">
        <f>IF(E492="","",SUMIFS('Stock Movement'!$F$2:$F$501,'Stock Movement'!$D$2:$D$501,E492,'Stock Movement'!$E$2:$E$501,"IN")-SUMIFS('Stock Movement'!$F$2:$F$501,'Stock Movement'!$D$2:$D$501,E492,'Stock Movement'!$E$2:$E$501,"OUT"))</f>
        <v/>
      </c>
      <c r="K492" s="77" t="str">
        <f t="array" ref="K492">IF(G492="","",IFERROR(INDEX('Material Master'!$D$2:$D$201,IFERROR(MATCH(G492,'Material Master'!$F$2:$F$201,0),MATCH(G492,'Material Master'!$A$2:$A$201,0))),""))</f>
        <v/>
      </c>
      <c r="L492" s="69"/>
      <c r="M492" s="69"/>
    </row>
    <row r="493" ht="15.75" customHeight="1">
      <c r="A493" s="147"/>
      <c r="B493" s="148"/>
      <c r="C493" s="147"/>
      <c r="D493" s="149"/>
      <c r="E493" s="87" t="str">
        <f t="shared" si="1"/>
        <v/>
      </c>
      <c r="F493" s="83" t="str">
        <f t="shared" si="2"/>
        <v/>
      </c>
      <c r="G493" s="85"/>
      <c r="H493" s="85" t="str">
        <f t="array" ref="H493">IF(G493="","",IFERROR(INDEX('Material Master'!$B$2:$B$201,IFERROR(MATCH(G493,'Material Master'!$F$2:$F$201,0),MATCH(G493,'Material Master'!$A$2:$A$201,0))),""))</f>
        <v/>
      </c>
      <c r="I493" s="85" t="str">
        <f t="array" ref="I493">IF(G493="","",IFERROR(INDEX('Material Master'!$C$2:$C$201,IFERROR(MATCH(G493,'Material Master'!$F$2:$F$201,0),MATCH(G493,'Material Master'!$A$2:$A$201,0))),""))</f>
        <v/>
      </c>
      <c r="J493" s="86" t="str">
        <f>IF(E493="","",SUMIFS('Stock Movement'!$F$2:$F$501,'Stock Movement'!$D$2:$D$501,E493,'Stock Movement'!$E$2:$E$501,"IN")-SUMIFS('Stock Movement'!$F$2:$F$501,'Stock Movement'!$D$2:$D$501,E493,'Stock Movement'!$E$2:$E$501,"OUT"))</f>
        <v/>
      </c>
      <c r="K493" s="87" t="str">
        <f t="array" ref="K493">IF(G493="","",IFERROR(INDEX('Material Master'!$D$2:$D$201,IFERROR(MATCH(G493,'Material Master'!$F$2:$F$201,0),MATCH(G493,'Material Master'!$A$2:$A$201,0))),""))</f>
        <v/>
      </c>
      <c r="L493" s="85"/>
      <c r="M493" s="85"/>
    </row>
    <row r="494" ht="15.75" customHeight="1">
      <c r="A494" s="150"/>
      <c r="B494" s="151"/>
      <c r="C494" s="150"/>
      <c r="D494" s="152"/>
      <c r="E494" s="77" t="str">
        <f t="shared" si="1"/>
        <v/>
      </c>
      <c r="F494" s="91" t="str">
        <f t="shared" si="2"/>
        <v/>
      </c>
      <c r="G494" s="69"/>
      <c r="H494" s="69" t="str">
        <f t="array" ref="H494">IF(G494="","",IFERROR(INDEX('Material Master'!$B$2:$B$201,IFERROR(MATCH(G494,'Material Master'!$F$2:$F$201,0),MATCH(G494,'Material Master'!$A$2:$A$201,0))),""))</f>
        <v/>
      </c>
      <c r="I494" s="69" t="str">
        <f t="array" ref="I494">IF(G494="","",IFERROR(INDEX('Material Master'!$C$2:$C$201,IFERROR(MATCH(G494,'Material Master'!$F$2:$F$201,0),MATCH(G494,'Material Master'!$A$2:$A$201,0))),""))</f>
        <v/>
      </c>
      <c r="J494" s="75" t="str">
        <f>IF(E494="","",SUMIFS('Stock Movement'!$F$2:$F$501,'Stock Movement'!$D$2:$D$501,E494,'Stock Movement'!$E$2:$E$501,"IN")-SUMIFS('Stock Movement'!$F$2:$F$501,'Stock Movement'!$D$2:$D$501,E494,'Stock Movement'!$E$2:$E$501,"OUT"))</f>
        <v/>
      </c>
      <c r="K494" s="77" t="str">
        <f t="array" ref="K494">IF(G494="","",IFERROR(INDEX('Material Master'!$D$2:$D$201,IFERROR(MATCH(G494,'Material Master'!$F$2:$F$201,0),MATCH(G494,'Material Master'!$A$2:$A$201,0))),""))</f>
        <v/>
      </c>
      <c r="L494" s="69"/>
      <c r="M494" s="69"/>
    </row>
    <row r="495" ht="15.75" customHeight="1">
      <c r="A495" s="147"/>
      <c r="B495" s="148"/>
      <c r="C495" s="147"/>
      <c r="D495" s="149"/>
      <c r="E495" s="87" t="str">
        <f t="shared" si="1"/>
        <v/>
      </c>
      <c r="F495" s="83" t="str">
        <f t="shared" si="2"/>
        <v/>
      </c>
      <c r="G495" s="85"/>
      <c r="H495" s="85" t="str">
        <f t="array" ref="H495">IF(G495="","",IFERROR(INDEX('Material Master'!$B$2:$B$201,IFERROR(MATCH(G495,'Material Master'!$F$2:$F$201,0),MATCH(G495,'Material Master'!$A$2:$A$201,0))),""))</f>
        <v/>
      </c>
      <c r="I495" s="85" t="str">
        <f t="array" ref="I495">IF(G495="","",IFERROR(INDEX('Material Master'!$C$2:$C$201,IFERROR(MATCH(G495,'Material Master'!$F$2:$F$201,0),MATCH(G495,'Material Master'!$A$2:$A$201,0))),""))</f>
        <v/>
      </c>
      <c r="J495" s="86" t="str">
        <f>IF(E495="","",SUMIFS('Stock Movement'!$F$2:$F$501,'Stock Movement'!$D$2:$D$501,E495,'Stock Movement'!$E$2:$E$501,"IN")-SUMIFS('Stock Movement'!$F$2:$F$501,'Stock Movement'!$D$2:$D$501,E495,'Stock Movement'!$E$2:$E$501,"OUT"))</f>
        <v/>
      </c>
      <c r="K495" s="87" t="str">
        <f t="array" ref="K495">IF(G495="","",IFERROR(INDEX('Material Master'!$D$2:$D$201,IFERROR(MATCH(G495,'Material Master'!$F$2:$F$201,0),MATCH(G495,'Material Master'!$A$2:$A$201,0))),""))</f>
        <v/>
      </c>
      <c r="L495" s="85"/>
      <c r="M495" s="85"/>
    </row>
    <row r="496" ht="15.75" customHeight="1">
      <c r="A496" s="150"/>
      <c r="B496" s="151"/>
      <c r="C496" s="150"/>
      <c r="D496" s="152"/>
      <c r="E496" s="77" t="str">
        <f t="shared" si="1"/>
        <v/>
      </c>
      <c r="F496" s="91" t="str">
        <f t="shared" si="2"/>
        <v/>
      </c>
      <c r="G496" s="69"/>
      <c r="H496" s="69" t="str">
        <f t="array" ref="H496">IF(G496="","",IFERROR(INDEX('Material Master'!$B$2:$B$201,IFERROR(MATCH(G496,'Material Master'!$F$2:$F$201,0),MATCH(G496,'Material Master'!$A$2:$A$201,0))),""))</f>
        <v/>
      </c>
      <c r="I496" s="69" t="str">
        <f t="array" ref="I496">IF(G496="","",IFERROR(INDEX('Material Master'!$C$2:$C$201,IFERROR(MATCH(G496,'Material Master'!$F$2:$F$201,0),MATCH(G496,'Material Master'!$A$2:$A$201,0))),""))</f>
        <v/>
      </c>
      <c r="J496" s="75" t="str">
        <f>IF(E496="","",SUMIFS('Stock Movement'!$F$2:$F$501,'Stock Movement'!$D$2:$D$501,E496,'Stock Movement'!$E$2:$E$501,"IN")-SUMIFS('Stock Movement'!$F$2:$F$501,'Stock Movement'!$D$2:$D$501,E496,'Stock Movement'!$E$2:$E$501,"OUT"))</f>
        <v/>
      </c>
      <c r="K496" s="77" t="str">
        <f t="array" ref="K496">IF(G496="","",IFERROR(INDEX('Material Master'!$D$2:$D$201,IFERROR(MATCH(G496,'Material Master'!$F$2:$F$201,0),MATCH(G496,'Material Master'!$A$2:$A$201,0))),""))</f>
        <v/>
      </c>
      <c r="L496" s="69"/>
      <c r="M496" s="69"/>
    </row>
    <row r="497" ht="15.75" customHeight="1">
      <c r="A497" s="147"/>
      <c r="B497" s="148"/>
      <c r="C497" s="147"/>
      <c r="D497" s="149"/>
      <c r="E497" s="87" t="str">
        <f t="shared" si="1"/>
        <v/>
      </c>
      <c r="F497" s="83" t="str">
        <f t="shared" si="2"/>
        <v/>
      </c>
      <c r="G497" s="85"/>
      <c r="H497" s="85" t="str">
        <f t="array" ref="H497">IF(G497="","",IFERROR(INDEX('Material Master'!$B$2:$B$201,IFERROR(MATCH(G497,'Material Master'!$F$2:$F$201,0),MATCH(G497,'Material Master'!$A$2:$A$201,0))),""))</f>
        <v/>
      </c>
      <c r="I497" s="85" t="str">
        <f t="array" ref="I497">IF(G497="","",IFERROR(INDEX('Material Master'!$C$2:$C$201,IFERROR(MATCH(G497,'Material Master'!$F$2:$F$201,0),MATCH(G497,'Material Master'!$A$2:$A$201,0))),""))</f>
        <v/>
      </c>
      <c r="J497" s="86" t="str">
        <f>IF(E497="","",SUMIFS('Stock Movement'!$F$2:$F$501,'Stock Movement'!$D$2:$D$501,E497,'Stock Movement'!$E$2:$E$501,"IN")-SUMIFS('Stock Movement'!$F$2:$F$501,'Stock Movement'!$D$2:$D$501,E497,'Stock Movement'!$E$2:$E$501,"OUT"))</f>
        <v/>
      </c>
      <c r="K497" s="87" t="str">
        <f t="array" ref="K497">IF(G497="","",IFERROR(INDEX('Material Master'!$D$2:$D$201,IFERROR(MATCH(G497,'Material Master'!$F$2:$F$201,0),MATCH(G497,'Material Master'!$A$2:$A$201,0))),""))</f>
        <v/>
      </c>
      <c r="L497" s="85"/>
      <c r="M497" s="85"/>
    </row>
    <row r="498" ht="15.75" customHeight="1">
      <c r="A498" s="150"/>
      <c r="B498" s="151"/>
      <c r="C498" s="150"/>
      <c r="D498" s="152"/>
      <c r="E498" s="77" t="str">
        <f t="shared" si="1"/>
        <v/>
      </c>
      <c r="F498" s="91" t="str">
        <f t="shared" si="2"/>
        <v/>
      </c>
      <c r="G498" s="69"/>
      <c r="H498" s="69" t="str">
        <f t="array" ref="H498">IF(G498="","",IFERROR(INDEX('Material Master'!$B$2:$B$201,IFERROR(MATCH(G498,'Material Master'!$F$2:$F$201,0),MATCH(G498,'Material Master'!$A$2:$A$201,0))),""))</f>
        <v/>
      </c>
      <c r="I498" s="69" t="str">
        <f t="array" ref="I498">IF(G498="","",IFERROR(INDEX('Material Master'!$C$2:$C$201,IFERROR(MATCH(G498,'Material Master'!$F$2:$F$201,0),MATCH(G498,'Material Master'!$A$2:$A$201,0))),""))</f>
        <v/>
      </c>
      <c r="J498" s="75" t="str">
        <f>IF(E498="","",SUMIFS('Stock Movement'!$F$2:$F$501,'Stock Movement'!$D$2:$D$501,E498,'Stock Movement'!$E$2:$E$501,"IN")-SUMIFS('Stock Movement'!$F$2:$F$501,'Stock Movement'!$D$2:$D$501,E498,'Stock Movement'!$E$2:$E$501,"OUT"))</f>
        <v/>
      </c>
      <c r="K498" s="77" t="str">
        <f t="array" ref="K498">IF(G498="","",IFERROR(INDEX('Material Master'!$D$2:$D$201,IFERROR(MATCH(G498,'Material Master'!$F$2:$F$201,0),MATCH(G498,'Material Master'!$A$2:$A$201,0))),""))</f>
        <v/>
      </c>
      <c r="L498" s="69"/>
      <c r="M498" s="69"/>
    </row>
    <row r="499" ht="15.75" customHeight="1">
      <c r="A499" s="147"/>
      <c r="B499" s="148"/>
      <c r="C499" s="147"/>
      <c r="D499" s="149"/>
      <c r="E499" s="87" t="str">
        <f t="shared" si="1"/>
        <v/>
      </c>
      <c r="F499" s="83" t="str">
        <f t="shared" si="2"/>
        <v/>
      </c>
      <c r="G499" s="85"/>
      <c r="H499" s="85" t="str">
        <f t="array" ref="H499">IF(G499="","",IFERROR(INDEX('Material Master'!$B$2:$B$201,IFERROR(MATCH(G499,'Material Master'!$F$2:$F$201,0),MATCH(G499,'Material Master'!$A$2:$A$201,0))),""))</f>
        <v/>
      </c>
      <c r="I499" s="85" t="str">
        <f t="array" ref="I499">IF(G499="","",IFERROR(INDEX('Material Master'!$C$2:$C$201,IFERROR(MATCH(G499,'Material Master'!$F$2:$F$201,0),MATCH(G499,'Material Master'!$A$2:$A$201,0))),""))</f>
        <v/>
      </c>
      <c r="J499" s="86" t="str">
        <f>IF(E499="","",SUMIFS('Stock Movement'!$F$2:$F$501,'Stock Movement'!$D$2:$D$501,E499,'Stock Movement'!$E$2:$E$501,"IN")-SUMIFS('Stock Movement'!$F$2:$F$501,'Stock Movement'!$D$2:$D$501,E499,'Stock Movement'!$E$2:$E$501,"OUT"))</f>
        <v/>
      </c>
      <c r="K499" s="87" t="str">
        <f t="array" ref="K499">IF(G499="","",IFERROR(INDEX('Material Master'!$D$2:$D$201,IFERROR(MATCH(G499,'Material Master'!$F$2:$F$201,0),MATCH(G499,'Material Master'!$A$2:$A$201,0))),""))</f>
        <v/>
      </c>
      <c r="L499" s="85"/>
      <c r="M499" s="85"/>
    </row>
    <row r="500" ht="15.75" customHeight="1">
      <c r="A500" s="150"/>
      <c r="B500" s="151"/>
      <c r="C500" s="150"/>
      <c r="D500" s="152"/>
      <c r="E500" s="77" t="str">
        <f t="shared" si="1"/>
        <v/>
      </c>
      <c r="F500" s="91" t="str">
        <f t="shared" si="2"/>
        <v/>
      </c>
      <c r="G500" s="69"/>
      <c r="H500" s="69" t="str">
        <f t="array" ref="H500">IF(G500="","",IFERROR(INDEX('Material Master'!$B$2:$B$201,IFERROR(MATCH(G500,'Material Master'!$F$2:$F$201,0),MATCH(G500,'Material Master'!$A$2:$A$201,0))),""))</f>
        <v/>
      </c>
      <c r="I500" s="69" t="str">
        <f t="array" ref="I500">IF(G500="","",IFERROR(INDEX('Material Master'!$C$2:$C$201,IFERROR(MATCH(G500,'Material Master'!$F$2:$F$201,0),MATCH(G500,'Material Master'!$A$2:$A$201,0))),""))</f>
        <v/>
      </c>
      <c r="J500" s="75" t="str">
        <f>IF(E500="","",SUMIFS('Stock Movement'!$F$2:$F$501,'Stock Movement'!$D$2:$D$501,E500,'Stock Movement'!$E$2:$E$501,"IN")-SUMIFS('Stock Movement'!$F$2:$F$501,'Stock Movement'!$D$2:$D$501,E500,'Stock Movement'!$E$2:$E$501,"OUT"))</f>
        <v/>
      </c>
      <c r="K500" s="77" t="str">
        <f t="array" ref="K500">IF(G500="","",IFERROR(INDEX('Material Master'!$D$2:$D$201,IFERROR(MATCH(G500,'Material Master'!$F$2:$F$201,0),MATCH(G500,'Material Master'!$A$2:$A$201,0))),""))</f>
        <v/>
      </c>
      <c r="L500" s="69"/>
      <c r="M500" s="69"/>
    </row>
    <row r="501" ht="15.75" customHeight="1">
      <c r="A501" s="147"/>
      <c r="B501" s="148"/>
      <c r="C501" s="147"/>
      <c r="D501" s="149"/>
      <c r="E501" s="87" t="str">
        <f t="shared" si="1"/>
        <v/>
      </c>
      <c r="F501" s="83" t="str">
        <f t="shared" si="2"/>
        <v/>
      </c>
      <c r="G501" s="85"/>
      <c r="H501" s="85" t="str">
        <f t="array" ref="H501">IF(G501="","",IFERROR(INDEX('Material Master'!$B$2:$B$201,IFERROR(MATCH(G501,'Material Master'!$F$2:$F$201,0),MATCH(G501,'Material Master'!$A$2:$A$201,0))),""))</f>
        <v/>
      </c>
      <c r="I501" s="85" t="str">
        <f t="array" ref="I501">IF(G501="","",IFERROR(INDEX('Material Master'!$C$2:$C$201,IFERROR(MATCH(G501,'Material Master'!$F$2:$F$201,0),MATCH(G501,'Material Master'!$A$2:$A$201,0))),""))</f>
        <v/>
      </c>
      <c r="J501" s="86" t="str">
        <f>IF(E501="","",SUMIFS('Stock Movement'!$F$2:$F$501,'Stock Movement'!$D$2:$D$501,E501,'Stock Movement'!$E$2:$E$501,"IN")-SUMIFS('Stock Movement'!$F$2:$F$501,'Stock Movement'!$D$2:$D$501,E501,'Stock Movement'!$E$2:$E$501,"OUT"))</f>
        <v/>
      </c>
      <c r="K501" s="87" t="str">
        <f t="array" ref="K501">IF(G501="","",IFERROR(INDEX('Material Master'!$D$2:$D$201,IFERROR(MATCH(G501,'Material Master'!$F$2:$F$201,0),MATCH(G501,'Material Master'!$A$2:$A$201,0))),""))</f>
        <v/>
      </c>
      <c r="L501" s="85"/>
      <c r="M501" s="85"/>
    </row>
    <row r="502" ht="15.75" customHeight="1">
      <c r="A502" s="150"/>
      <c r="B502" s="151"/>
      <c r="C502" s="150"/>
      <c r="D502" s="152"/>
      <c r="E502" s="77" t="str">
        <f t="shared" si="1"/>
        <v/>
      </c>
      <c r="F502" s="91" t="str">
        <f t="shared" si="2"/>
        <v/>
      </c>
      <c r="G502" s="69"/>
      <c r="H502" s="69" t="str">
        <f t="array" ref="H502">IF(G502="","",IFERROR(INDEX('Material Master'!$B$2:$B$201,IFERROR(MATCH(G502,'Material Master'!$F$2:$F$201,0),MATCH(G502,'Material Master'!$A$2:$A$201,0))),""))</f>
        <v/>
      </c>
      <c r="I502" s="69" t="str">
        <f t="array" ref="I502">IF(G502="","",IFERROR(INDEX('Material Master'!$C$2:$C$201,IFERROR(MATCH(G502,'Material Master'!$F$2:$F$201,0),MATCH(G502,'Material Master'!$A$2:$A$201,0))),""))</f>
        <v/>
      </c>
      <c r="J502" s="75" t="str">
        <f>IF(E502="","",SUMIFS('Stock Movement'!$F$2:$F$501,'Stock Movement'!$D$2:$D$501,E502,'Stock Movement'!$E$2:$E$501,"IN")-SUMIFS('Stock Movement'!$F$2:$F$501,'Stock Movement'!$D$2:$D$501,E502,'Stock Movement'!$E$2:$E$501,"OUT"))</f>
        <v/>
      </c>
      <c r="K502" s="77" t="str">
        <f t="array" ref="K502">IF(G502="","",IFERROR(INDEX('Material Master'!$D$2:$D$201,IFERROR(MATCH(G502,'Material Master'!$F$2:$F$201,0),MATCH(G502,'Material Master'!$A$2:$A$201,0))),""))</f>
        <v/>
      </c>
      <c r="L502" s="69"/>
      <c r="M502" s="69"/>
    </row>
    <row r="503" ht="15.75" customHeight="1">
      <c r="A503" s="147" t="s">
        <v>19</v>
      </c>
      <c r="B503" s="148">
        <v>1.0</v>
      </c>
      <c r="C503" s="147" t="s">
        <v>246</v>
      </c>
      <c r="D503" s="149" t="s">
        <v>133</v>
      </c>
      <c r="E503" s="87" t="str">
        <f t="shared" si="1"/>
        <v>R01-B01-SL6-A</v>
      </c>
      <c r="F503" s="83" t="str">
        <f t="shared" si="2"/>
        <v>Available</v>
      </c>
      <c r="G503" s="85" t="s">
        <v>207</v>
      </c>
      <c r="H503" s="85" t="str">
        <f t="array" ref="H503">IF(G503="","",IFERROR(INDEX('Material Master'!$B$2:$B$201,IFERROR(MATCH(G503,'Material Master'!$F$2:$F$201,0),MATCH(G503,'Material Master'!$A$2:$A$201,0))),""))</f>
        <v/>
      </c>
      <c r="I503" s="85" t="str">
        <f t="array" ref="I503">IF(G503="","",IFERROR(INDEX('Material Master'!$C$2:$C$201,IFERROR(MATCH(G503,'Material Master'!$F$2:$F$201,0),MATCH(G503,'Material Master'!$A$2:$A$201,0))),""))</f>
        <v/>
      </c>
      <c r="J503" s="86">
        <f>IF(E503="","",SUMIFS('Stock Movement'!$F$2:$F$501,'Stock Movement'!$D$2:$D$501,E503,'Stock Movement'!$E$2:$E$501,"IN")-SUMIFS('Stock Movement'!$F$2:$F$501,'Stock Movement'!$D$2:$D$501,E503,'Stock Movement'!$E$2:$E$501,"OUT"))</f>
        <v>0</v>
      </c>
      <c r="K503" s="87" t="str">
        <f t="array" ref="K503">IF(G503="","",IFERROR(INDEX('Material Master'!$D$2:$D$201,IFERROR(MATCH(G503,'Material Master'!$F$2:$F$201,0),MATCH(G503,'Material Master'!$A$2:$A$201,0))),""))</f>
        <v/>
      </c>
      <c r="L503" s="85" t="s">
        <v>207</v>
      </c>
      <c r="M503" s="85" t="s">
        <v>491</v>
      </c>
    </row>
    <row r="504" ht="15.75" customHeight="1">
      <c r="A504" s="150" t="s">
        <v>19</v>
      </c>
      <c r="B504" s="151">
        <v>1.0</v>
      </c>
      <c r="C504" s="150" t="s">
        <v>246</v>
      </c>
      <c r="D504" s="152" t="s">
        <v>105</v>
      </c>
      <c r="E504" s="77" t="str">
        <f t="shared" si="1"/>
        <v>R01-B01-SL6-B</v>
      </c>
      <c r="F504" s="91" t="str">
        <f t="shared" si="2"/>
        <v>Available</v>
      </c>
      <c r="G504" s="69" t="s">
        <v>207</v>
      </c>
      <c r="H504" s="69" t="str">
        <f t="array" ref="H504">IF(G504="","",IFERROR(INDEX('Material Master'!$B$2:$B$201,IFERROR(MATCH(G504,'Material Master'!$F$2:$F$201,0),MATCH(G504,'Material Master'!$A$2:$A$201,0))),""))</f>
        <v/>
      </c>
      <c r="I504" s="69" t="str">
        <f t="array" ref="I504">IF(G504="","",IFERROR(INDEX('Material Master'!$C$2:$C$201,IFERROR(MATCH(G504,'Material Master'!$F$2:$F$201,0),MATCH(G504,'Material Master'!$A$2:$A$201,0))),""))</f>
        <v/>
      </c>
      <c r="J504" s="75">
        <f>IF(E504="","",SUMIFS('Stock Movement'!$F$2:$F$501,'Stock Movement'!$D$2:$D$501,E504,'Stock Movement'!$E$2:$E$501,"IN")-SUMIFS('Stock Movement'!$F$2:$F$501,'Stock Movement'!$D$2:$D$501,E504,'Stock Movement'!$E$2:$E$501,"OUT"))</f>
        <v>0</v>
      </c>
      <c r="K504" s="77" t="str">
        <f t="array" ref="K504">IF(G504="","",IFERROR(INDEX('Material Master'!$D$2:$D$201,IFERROR(MATCH(G504,'Material Master'!$F$2:$F$201,0),MATCH(G504,'Material Master'!$A$2:$A$201,0))),""))</f>
        <v/>
      </c>
      <c r="L504" s="69" t="s">
        <v>207</v>
      </c>
      <c r="M504" s="69" t="s">
        <v>491</v>
      </c>
    </row>
    <row r="505" ht="15.75" customHeight="1">
      <c r="A505" s="147" t="s">
        <v>19</v>
      </c>
      <c r="B505" s="148">
        <v>1.0</v>
      </c>
      <c r="C505" s="147" t="s">
        <v>243</v>
      </c>
      <c r="D505" s="149" t="s">
        <v>133</v>
      </c>
      <c r="E505" s="87" t="str">
        <f t="shared" si="1"/>
        <v>R01-B01-SL5-A</v>
      </c>
      <c r="F505" s="83" t="str">
        <f t="shared" si="2"/>
        <v>Available</v>
      </c>
      <c r="G505" s="85" t="s">
        <v>207</v>
      </c>
      <c r="H505" s="85" t="str">
        <f t="array" ref="H505">IF(G505="","",IFERROR(INDEX('Material Master'!$B$2:$B$201,IFERROR(MATCH(G505,'Material Master'!$F$2:$F$201,0),MATCH(G505,'Material Master'!$A$2:$A$201,0))),""))</f>
        <v/>
      </c>
      <c r="I505" s="85" t="str">
        <f t="array" ref="I505">IF(G505="","",IFERROR(INDEX('Material Master'!$C$2:$C$201,IFERROR(MATCH(G505,'Material Master'!$F$2:$F$201,0),MATCH(G505,'Material Master'!$A$2:$A$201,0))),""))</f>
        <v/>
      </c>
      <c r="J505" s="86">
        <f>IF(E505="","",SUMIFS('Stock Movement'!$F$2:$F$501,'Stock Movement'!$D$2:$D$501,E505,'Stock Movement'!$E$2:$E$501,"IN")-SUMIFS('Stock Movement'!$F$2:$F$501,'Stock Movement'!$D$2:$D$501,E505,'Stock Movement'!$E$2:$E$501,"OUT"))</f>
        <v>0</v>
      </c>
      <c r="K505" s="87" t="str">
        <f t="array" ref="K505">IF(G505="","",IFERROR(INDEX('Material Master'!$D$2:$D$201,IFERROR(MATCH(G505,'Material Master'!$F$2:$F$201,0),MATCH(G505,'Material Master'!$A$2:$A$201,0))),""))</f>
        <v/>
      </c>
      <c r="L505" s="85" t="s">
        <v>207</v>
      </c>
      <c r="M505" s="85" t="s">
        <v>491</v>
      </c>
    </row>
    <row r="506" ht="15.75" customHeight="1">
      <c r="A506" s="150" t="s">
        <v>19</v>
      </c>
      <c r="B506" s="151">
        <v>1.0</v>
      </c>
      <c r="C506" s="150" t="s">
        <v>243</v>
      </c>
      <c r="D506" s="152" t="s">
        <v>105</v>
      </c>
      <c r="E506" s="77" t="str">
        <f t="shared" si="1"/>
        <v>R01-B01-SL5-B</v>
      </c>
      <c r="F506" s="91" t="str">
        <f t="shared" si="2"/>
        <v>Available</v>
      </c>
      <c r="G506" s="69" t="s">
        <v>207</v>
      </c>
      <c r="H506" s="69" t="str">
        <f t="array" ref="H506">IF(G506="","",IFERROR(INDEX('Material Master'!$B$2:$B$201,IFERROR(MATCH(G506,'Material Master'!$F$2:$F$201,0),MATCH(G506,'Material Master'!$A$2:$A$201,0))),""))</f>
        <v/>
      </c>
      <c r="I506" s="69" t="str">
        <f t="array" ref="I506">IF(G506="","",IFERROR(INDEX('Material Master'!$C$2:$C$201,IFERROR(MATCH(G506,'Material Master'!$F$2:$F$201,0),MATCH(G506,'Material Master'!$A$2:$A$201,0))),""))</f>
        <v/>
      </c>
      <c r="J506" s="75">
        <f>IF(E506="","",SUMIFS('Stock Movement'!$F$2:$F$501,'Stock Movement'!$D$2:$D$501,E506,'Stock Movement'!$E$2:$E$501,"IN")-SUMIFS('Stock Movement'!$F$2:$F$501,'Stock Movement'!$D$2:$D$501,E506,'Stock Movement'!$E$2:$E$501,"OUT"))</f>
        <v>0</v>
      </c>
      <c r="K506" s="77" t="str">
        <f t="array" ref="K506">IF(G506="","",IFERROR(INDEX('Material Master'!$D$2:$D$201,IFERROR(MATCH(G506,'Material Master'!$F$2:$F$201,0),MATCH(G506,'Material Master'!$A$2:$A$201,0))),""))</f>
        <v/>
      </c>
      <c r="L506" s="69" t="s">
        <v>207</v>
      </c>
      <c r="M506" s="69" t="s">
        <v>491</v>
      </c>
    </row>
    <row r="507" ht="15.75" customHeight="1">
      <c r="A507" s="147" t="s">
        <v>19</v>
      </c>
      <c r="B507" s="148">
        <v>1.0</v>
      </c>
      <c r="C507" s="147" t="s">
        <v>240</v>
      </c>
      <c r="D507" s="149" t="s">
        <v>133</v>
      </c>
      <c r="E507" s="87" t="str">
        <f t="shared" si="1"/>
        <v>R01-B01-SL4-A</v>
      </c>
      <c r="F507" s="83" t="str">
        <f t="shared" si="2"/>
        <v>Available</v>
      </c>
      <c r="G507" s="85" t="s">
        <v>207</v>
      </c>
      <c r="H507" s="85" t="str">
        <f t="array" ref="H507">IF(G507="","",IFERROR(INDEX('Material Master'!$B$2:$B$201,IFERROR(MATCH(G507,'Material Master'!$F$2:$F$201,0),MATCH(G507,'Material Master'!$A$2:$A$201,0))),""))</f>
        <v/>
      </c>
      <c r="I507" s="85" t="str">
        <f t="array" ref="I507">IF(G507="","",IFERROR(INDEX('Material Master'!$C$2:$C$201,IFERROR(MATCH(G507,'Material Master'!$F$2:$F$201,0),MATCH(G507,'Material Master'!$A$2:$A$201,0))),""))</f>
        <v/>
      </c>
      <c r="J507" s="86">
        <f>IF(E507="","",SUMIFS('Stock Movement'!$F$2:$F$501,'Stock Movement'!$D$2:$D$501,E507,'Stock Movement'!$E$2:$E$501,"IN")-SUMIFS('Stock Movement'!$F$2:$F$501,'Stock Movement'!$D$2:$D$501,E507,'Stock Movement'!$E$2:$E$501,"OUT"))</f>
        <v>0</v>
      </c>
      <c r="K507" s="87" t="str">
        <f t="array" ref="K507">IF(G507="","",IFERROR(INDEX('Material Master'!$D$2:$D$201,IFERROR(MATCH(G507,'Material Master'!$F$2:$F$201,0),MATCH(G507,'Material Master'!$A$2:$A$201,0))),""))</f>
        <v/>
      </c>
      <c r="L507" s="85" t="s">
        <v>207</v>
      </c>
      <c r="M507" s="85" t="s">
        <v>491</v>
      </c>
    </row>
    <row r="508" ht="15.75" customHeight="1">
      <c r="A508" s="150" t="s">
        <v>19</v>
      </c>
      <c r="B508" s="151">
        <v>1.0</v>
      </c>
      <c r="C508" s="150" t="s">
        <v>240</v>
      </c>
      <c r="D508" s="152" t="s">
        <v>105</v>
      </c>
      <c r="E508" s="77" t="str">
        <f t="shared" si="1"/>
        <v>R01-B01-SL4-B</v>
      </c>
      <c r="F508" s="91" t="str">
        <f t="shared" si="2"/>
        <v>Available</v>
      </c>
      <c r="G508" s="69" t="s">
        <v>207</v>
      </c>
      <c r="H508" s="69" t="str">
        <f t="array" ref="H508">IF(G508="","",IFERROR(INDEX('Material Master'!$B$2:$B$201,IFERROR(MATCH(G508,'Material Master'!$F$2:$F$201,0),MATCH(G508,'Material Master'!$A$2:$A$201,0))),""))</f>
        <v/>
      </c>
      <c r="I508" s="69" t="str">
        <f t="array" ref="I508">IF(G508="","",IFERROR(INDEX('Material Master'!$C$2:$C$201,IFERROR(MATCH(G508,'Material Master'!$F$2:$F$201,0),MATCH(G508,'Material Master'!$A$2:$A$201,0))),""))</f>
        <v/>
      </c>
      <c r="J508" s="75">
        <f>IF(E508="","",SUMIFS('Stock Movement'!$F$2:$F$501,'Stock Movement'!$D$2:$D$501,E508,'Stock Movement'!$E$2:$E$501,"IN")-SUMIFS('Stock Movement'!$F$2:$F$501,'Stock Movement'!$D$2:$D$501,E508,'Stock Movement'!$E$2:$E$501,"OUT"))</f>
        <v>0</v>
      </c>
      <c r="K508" s="77" t="str">
        <f t="array" ref="K508">IF(G508="","",IFERROR(INDEX('Material Master'!$D$2:$D$201,IFERROR(MATCH(G508,'Material Master'!$F$2:$F$201,0),MATCH(G508,'Material Master'!$A$2:$A$201,0))),""))</f>
        <v/>
      </c>
      <c r="L508" s="69" t="s">
        <v>207</v>
      </c>
      <c r="M508" s="69" t="s">
        <v>491</v>
      </c>
    </row>
    <row r="509" ht="15.75" customHeight="1">
      <c r="A509" s="147" t="s">
        <v>19</v>
      </c>
      <c r="B509" s="148">
        <v>2.0</v>
      </c>
      <c r="C509" s="147" t="s">
        <v>246</v>
      </c>
      <c r="D509" s="149" t="s">
        <v>133</v>
      </c>
      <c r="E509" s="87" t="str">
        <f t="shared" si="1"/>
        <v>R01-B02-SL6-A</v>
      </c>
      <c r="F509" s="83" t="str">
        <f t="shared" si="2"/>
        <v>Available</v>
      </c>
      <c r="G509" s="85" t="s">
        <v>207</v>
      </c>
      <c r="H509" s="85" t="str">
        <f t="array" ref="H509">IF(G509="","",IFERROR(INDEX('Material Master'!$B$2:$B$201,IFERROR(MATCH(G509,'Material Master'!$F$2:$F$201,0),MATCH(G509,'Material Master'!$A$2:$A$201,0))),""))</f>
        <v/>
      </c>
      <c r="I509" s="85" t="str">
        <f t="array" ref="I509">IF(G509="","",IFERROR(INDEX('Material Master'!$C$2:$C$201,IFERROR(MATCH(G509,'Material Master'!$F$2:$F$201,0),MATCH(G509,'Material Master'!$A$2:$A$201,0))),""))</f>
        <v/>
      </c>
      <c r="J509" s="86">
        <f>IF(E509="","",SUMIFS('Stock Movement'!$F$2:$F$501,'Stock Movement'!$D$2:$D$501,E509,'Stock Movement'!$E$2:$E$501,"IN")-SUMIFS('Stock Movement'!$F$2:$F$501,'Stock Movement'!$D$2:$D$501,E509,'Stock Movement'!$E$2:$E$501,"OUT"))</f>
        <v>0</v>
      </c>
      <c r="K509" s="87" t="str">
        <f t="array" ref="K509">IF(G509="","",IFERROR(INDEX('Material Master'!$D$2:$D$201,IFERROR(MATCH(G509,'Material Master'!$F$2:$F$201,0),MATCH(G509,'Material Master'!$A$2:$A$201,0))),""))</f>
        <v/>
      </c>
      <c r="L509" s="85" t="s">
        <v>207</v>
      </c>
      <c r="M509" s="85" t="s">
        <v>491</v>
      </c>
    </row>
    <row r="510" ht="15.75" customHeight="1">
      <c r="A510" s="150" t="s">
        <v>19</v>
      </c>
      <c r="B510" s="151">
        <v>2.0</v>
      </c>
      <c r="C510" s="150" t="s">
        <v>246</v>
      </c>
      <c r="D510" s="152" t="s">
        <v>105</v>
      </c>
      <c r="E510" s="77" t="str">
        <f t="shared" si="1"/>
        <v>R01-B02-SL6-B</v>
      </c>
      <c r="F510" s="91" t="str">
        <f t="shared" si="2"/>
        <v>Available</v>
      </c>
      <c r="G510" s="69" t="s">
        <v>207</v>
      </c>
      <c r="H510" s="69" t="str">
        <f t="array" ref="H510">IF(G510="","",IFERROR(INDEX('Material Master'!$B$2:$B$201,IFERROR(MATCH(G510,'Material Master'!$F$2:$F$201,0),MATCH(G510,'Material Master'!$A$2:$A$201,0))),""))</f>
        <v/>
      </c>
      <c r="I510" s="69" t="str">
        <f t="array" ref="I510">IF(G510="","",IFERROR(INDEX('Material Master'!$C$2:$C$201,IFERROR(MATCH(G510,'Material Master'!$F$2:$F$201,0),MATCH(G510,'Material Master'!$A$2:$A$201,0))),""))</f>
        <v/>
      </c>
      <c r="J510" s="75">
        <f>IF(E510="","",SUMIFS('Stock Movement'!$F$2:$F$501,'Stock Movement'!$D$2:$D$501,E510,'Stock Movement'!$E$2:$E$501,"IN")-SUMIFS('Stock Movement'!$F$2:$F$501,'Stock Movement'!$D$2:$D$501,E510,'Stock Movement'!$E$2:$E$501,"OUT"))</f>
        <v>0</v>
      </c>
      <c r="K510" s="77" t="str">
        <f t="array" ref="K510">IF(G510="","",IFERROR(INDEX('Material Master'!$D$2:$D$201,IFERROR(MATCH(G510,'Material Master'!$F$2:$F$201,0),MATCH(G510,'Material Master'!$A$2:$A$201,0))),""))</f>
        <v/>
      </c>
      <c r="L510" s="69" t="s">
        <v>207</v>
      </c>
      <c r="M510" s="69" t="s">
        <v>491</v>
      </c>
    </row>
    <row r="511" ht="15.75" customHeight="1">
      <c r="A511" s="147" t="s">
        <v>19</v>
      </c>
      <c r="B511" s="148">
        <v>2.0</v>
      </c>
      <c r="C511" s="147" t="s">
        <v>243</v>
      </c>
      <c r="D511" s="149" t="s">
        <v>133</v>
      </c>
      <c r="E511" s="87" t="str">
        <f t="shared" si="1"/>
        <v>R01-B02-SL5-A</v>
      </c>
      <c r="F511" s="83" t="str">
        <f t="shared" si="2"/>
        <v>Available</v>
      </c>
      <c r="G511" s="85" t="s">
        <v>207</v>
      </c>
      <c r="H511" s="85" t="str">
        <f t="array" ref="H511">IF(G511="","",IFERROR(INDEX('Material Master'!$B$2:$B$201,IFERROR(MATCH(G511,'Material Master'!$F$2:$F$201,0),MATCH(G511,'Material Master'!$A$2:$A$201,0))),""))</f>
        <v/>
      </c>
      <c r="I511" s="85" t="str">
        <f t="array" ref="I511">IF(G511="","",IFERROR(INDEX('Material Master'!$C$2:$C$201,IFERROR(MATCH(G511,'Material Master'!$F$2:$F$201,0),MATCH(G511,'Material Master'!$A$2:$A$201,0))),""))</f>
        <v/>
      </c>
      <c r="J511" s="86">
        <f>IF(E511="","",SUMIFS('Stock Movement'!$F$2:$F$501,'Stock Movement'!$D$2:$D$501,E511,'Stock Movement'!$E$2:$E$501,"IN")-SUMIFS('Stock Movement'!$F$2:$F$501,'Stock Movement'!$D$2:$D$501,E511,'Stock Movement'!$E$2:$E$501,"OUT"))</f>
        <v>0</v>
      </c>
      <c r="K511" s="87" t="str">
        <f t="array" ref="K511">IF(G511="","",IFERROR(INDEX('Material Master'!$D$2:$D$201,IFERROR(MATCH(G511,'Material Master'!$F$2:$F$201,0),MATCH(G511,'Material Master'!$A$2:$A$201,0))),""))</f>
        <v/>
      </c>
      <c r="L511" s="85" t="s">
        <v>207</v>
      </c>
      <c r="M511" s="85" t="s">
        <v>491</v>
      </c>
    </row>
    <row r="512" ht="15.75" customHeight="1">
      <c r="A512" s="150" t="s">
        <v>19</v>
      </c>
      <c r="B512" s="151">
        <v>2.0</v>
      </c>
      <c r="C512" s="150" t="s">
        <v>243</v>
      </c>
      <c r="D512" s="152" t="s">
        <v>105</v>
      </c>
      <c r="E512" s="77" t="str">
        <f t="shared" si="1"/>
        <v>R01-B02-SL5-B</v>
      </c>
      <c r="F512" s="91" t="str">
        <f t="shared" si="2"/>
        <v>Available</v>
      </c>
      <c r="G512" s="69" t="s">
        <v>207</v>
      </c>
      <c r="H512" s="69" t="str">
        <f t="array" ref="H512">IF(G512="","",IFERROR(INDEX('Material Master'!$B$2:$B$201,IFERROR(MATCH(G512,'Material Master'!$F$2:$F$201,0),MATCH(G512,'Material Master'!$A$2:$A$201,0))),""))</f>
        <v/>
      </c>
      <c r="I512" s="69" t="str">
        <f t="array" ref="I512">IF(G512="","",IFERROR(INDEX('Material Master'!$C$2:$C$201,IFERROR(MATCH(G512,'Material Master'!$F$2:$F$201,0),MATCH(G512,'Material Master'!$A$2:$A$201,0))),""))</f>
        <v/>
      </c>
      <c r="J512" s="75">
        <f>IF(E512="","",SUMIFS('Stock Movement'!$F$2:$F$501,'Stock Movement'!$D$2:$D$501,E512,'Stock Movement'!$E$2:$E$501,"IN")-SUMIFS('Stock Movement'!$F$2:$F$501,'Stock Movement'!$D$2:$D$501,E512,'Stock Movement'!$E$2:$E$501,"OUT"))</f>
        <v>0</v>
      </c>
      <c r="K512" s="77" t="str">
        <f t="array" ref="K512">IF(G512="","",IFERROR(INDEX('Material Master'!$D$2:$D$201,IFERROR(MATCH(G512,'Material Master'!$F$2:$F$201,0),MATCH(G512,'Material Master'!$A$2:$A$201,0))),""))</f>
        <v/>
      </c>
      <c r="L512" s="69" t="s">
        <v>207</v>
      </c>
      <c r="M512" s="69" t="s">
        <v>491</v>
      </c>
    </row>
    <row r="513" ht="15.75" customHeight="1">
      <c r="A513" s="147" t="s">
        <v>19</v>
      </c>
      <c r="B513" s="148">
        <v>2.0</v>
      </c>
      <c r="C513" s="147" t="s">
        <v>240</v>
      </c>
      <c r="D513" s="149" t="s">
        <v>133</v>
      </c>
      <c r="E513" s="87" t="str">
        <f t="shared" si="1"/>
        <v>R01-B02-SL4-A</v>
      </c>
      <c r="F513" s="83" t="str">
        <f t="shared" si="2"/>
        <v>Available</v>
      </c>
      <c r="G513" s="85" t="s">
        <v>207</v>
      </c>
      <c r="H513" s="85" t="str">
        <f t="array" ref="H513">IF(G513="","",IFERROR(INDEX('Material Master'!$B$2:$B$201,IFERROR(MATCH(G513,'Material Master'!$F$2:$F$201,0),MATCH(G513,'Material Master'!$A$2:$A$201,0))),""))</f>
        <v/>
      </c>
      <c r="I513" s="85" t="str">
        <f t="array" ref="I513">IF(G513="","",IFERROR(INDEX('Material Master'!$C$2:$C$201,IFERROR(MATCH(G513,'Material Master'!$F$2:$F$201,0),MATCH(G513,'Material Master'!$A$2:$A$201,0))),""))</f>
        <v/>
      </c>
      <c r="J513" s="86">
        <f>IF(E513="","",SUMIFS('Stock Movement'!$F$2:$F$501,'Stock Movement'!$D$2:$D$501,E513,'Stock Movement'!$E$2:$E$501,"IN")-SUMIFS('Stock Movement'!$F$2:$F$501,'Stock Movement'!$D$2:$D$501,E513,'Stock Movement'!$E$2:$E$501,"OUT"))</f>
        <v>0</v>
      </c>
      <c r="K513" s="87" t="str">
        <f t="array" ref="K513">IF(G513="","",IFERROR(INDEX('Material Master'!$D$2:$D$201,IFERROR(MATCH(G513,'Material Master'!$F$2:$F$201,0),MATCH(G513,'Material Master'!$A$2:$A$201,0))),""))</f>
        <v/>
      </c>
      <c r="L513" s="85" t="s">
        <v>207</v>
      </c>
      <c r="M513" s="85" t="s">
        <v>491</v>
      </c>
    </row>
    <row r="514" ht="15.75" customHeight="1">
      <c r="A514" s="150" t="s">
        <v>19</v>
      </c>
      <c r="B514" s="151">
        <v>2.0</v>
      </c>
      <c r="C514" s="150" t="s">
        <v>240</v>
      </c>
      <c r="D514" s="152" t="s">
        <v>105</v>
      </c>
      <c r="E514" s="77" t="str">
        <f t="shared" si="1"/>
        <v>R01-B02-SL4-B</v>
      </c>
      <c r="F514" s="91" t="str">
        <f t="shared" si="2"/>
        <v>Available</v>
      </c>
      <c r="G514" s="69" t="s">
        <v>207</v>
      </c>
      <c r="H514" s="69" t="str">
        <f t="array" ref="H514">IF(G514="","",IFERROR(INDEX('Material Master'!$B$2:$B$201,IFERROR(MATCH(G514,'Material Master'!$F$2:$F$201,0),MATCH(G514,'Material Master'!$A$2:$A$201,0))),""))</f>
        <v/>
      </c>
      <c r="I514" s="69" t="str">
        <f t="array" ref="I514">IF(G514="","",IFERROR(INDEX('Material Master'!$C$2:$C$201,IFERROR(MATCH(G514,'Material Master'!$F$2:$F$201,0),MATCH(G514,'Material Master'!$A$2:$A$201,0))),""))</f>
        <v/>
      </c>
      <c r="J514" s="75">
        <f>IF(E514="","",SUMIFS('Stock Movement'!$F$2:$F$501,'Stock Movement'!$D$2:$D$501,E514,'Stock Movement'!$E$2:$E$501,"IN")-SUMIFS('Stock Movement'!$F$2:$F$501,'Stock Movement'!$D$2:$D$501,E514,'Stock Movement'!$E$2:$E$501,"OUT"))</f>
        <v>0</v>
      </c>
      <c r="K514" s="77" t="str">
        <f t="array" ref="K514">IF(G514="","",IFERROR(INDEX('Material Master'!$D$2:$D$201,IFERROR(MATCH(G514,'Material Master'!$F$2:$F$201,0),MATCH(G514,'Material Master'!$A$2:$A$201,0))),""))</f>
        <v/>
      </c>
      <c r="L514" s="69" t="s">
        <v>207</v>
      </c>
      <c r="M514" s="69" t="s">
        <v>491</v>
      </c>
    </row>
    <row r="515" ht="15.75" customHeight="1">
      <c r="A515" s="147" t="s">
        <v>19</v>
      </c>
      <c r="B515" s="148">
        <v>2.0</v>
      </c>
      <c r="C515" s="147" t="s">
        <v>157</v>
      </c>
      <c r="D515" s="149" t="s">
        <v>105</v>
      </c>
      <c r="E515" s="87" t="str">
        <f t="shared" si="1"/>
        <v>R01-B02-GL3-B</v>
      </c>
      <c r="F515" s="83" t="str">
        <f t="shared" si="2"/>
        <v>Available</v>
      </c>
      <c r="G515" s="85" t="s">
        <v>207</v>
      </c>
      <c r="H515" s="85" t="str">
        <f t="array" ref="H515">IF(G515="","",IFERROR(INDEX('Material Master'!$B$2:$B$201,IFERROR(MATCH(G515,'Material Master'!$F$2:$F$201,0),MATCH(G515,'Material Master'!$A$2:$A$201,0))),""))</f>
        <v/>
      </c>
      <c r="I515" s="85" t="str">
        <f t="array" ref="I515">IF(G515="","",IFERROR(INDEX('Material Master'!$C$2:$C$201,IFERROR(MATCH(G515,'Material Master'!$F$2:$F$201,0),MATCH(G515,'Material Master'!$A$2:$A$201,0))),""))</f>
        <v/>
      </c>
      <c r="J515" s="86">
        <f>IF(E515="","",SUMIFS('Stock Movement'!$F$2:$F$501,'Stock Movement'!$D$2:$D$501,E515,'Stock Movement'!$E$2:$E$501,"IN")-SUMIFS('Stock Movement'!$F$2:$F$501,'Stock Movement'!$D$2:$D$501,E515,'Stock Movement'!$E$2:$E$501,"OUT"))</f>
        <v>0</v>
      </c>
      <c r="K515" s="87" t="str">
        <f t="array" ref="K515">IF(G515="","",IFERROR(INDEX('Material Master'!$D$2:$D$201,IFERROR(MATCH(G515,'Material Master'!$F$2:$F$201,0),MATCH(G515,'Material Master'!$A$2:$A$201,0))),""))</f>
        <v/>
      </c>
      <c r="L515" s="85" t="s">
        <v>207</v>
      </c>
      <c r="M515" s="85" t="s">
        <v>491</v>
      </c>
    </row>
    <row r="516" ht="15.75" customHeight="1">
      <c r="A516" s="150" t="s">
        <v>19</v>
      </c>
      <c r="B516" s="151">
        <v>3.0</v>
      </c>
      <c r="C516" s="150" t="s">
        <v>246</v>
      </c>
      <c r="D516" s="152" t="s">
        <v>133</v>
      </c>
      <c r="E516" s="77" t="str">
        <f t="shared" si="1"/>
        <v>R01-B03-SL6-A</v>
      </c>
      <c r="F516" s="91" t="str">
        <f t="shared" si="2"/>
        <v>Available</v>
      </c>
      <c r="G516" s="69" t="s">
        <v>207</v>
      </c>
      <c r="H516" s="69" t="str">
        <f t="array" ref="H516">IF(G516="","",IFERROR(INDEX('Material Master'!$B$2:$B$201,IFERROR(MATCH(G516,'Material Master'!$F$2:$F$201,0),MATCH(G516,'Material Master'!$A$2:$A$201,0))),""))</f>
        <v/>
      </c>
      <c r="I516" s="69" t="str">
        <f t="array" ref="I516">IF(G516="","",IFERROR(INDEX('Material Master'!$C$2:$C$201,IFERROR(MATCH(G516,'Material Master'!$F$2:$F$201,0),MATCH(G516,'Material Master'!$A$2:$A$201,0))),""))</f>
        <v/>
      </c>
      <c r="J516" s="75">
        <f>IF(E516="","",SUMIFS('Stock Movement'!$F$2:$F$501,'Stock Movement'!$D$2:$D$501,E516,'Stock Movement'!$E$2:$E$501,"IN")-SUMIFS('Stock Movement'!$F$2:$F$501,'Stock Movement'!$D$2:$D$501,E516,'Stock Movement'!$E$2:$E$501,"OUT"))</f>
        <v>0</v>
      </c>
      <c r="K516" s="77" t="str">
        <f t="array" ref="K516">IF(G516="","",IFERROR(INDEX('Material Master'!$D$2:$D$201,IFERROR(MATCH(G516,'Material Master'!$F$2:$F$201,0),MATCH(G516,'Material Master'!$A$2:$A$201,0))),""))</f>
        <v/>
      </c>
      <c r="L516" s="69" t="s">
        <v>207</v>
      </c>
      <c r="M516" s="69" t="s">
        <v>491</v>
      </c>
    </row>
    <row r="517" ht="15.75" customHeight="1">
      <c r="A517" s="147" t="s">
        <v>19</v>
      </c>
      <c r="B517" s="148">
        <v>3.0</v>
      </c>
      <c r="C517" s="147" t="s">
        <v>246</v>
      </c>
      <c r="D517" s="149" t="s">
        <v>105</v>
      </c>
      <c r="E517" s="87" t="str">
        <f t="shared" si="1"/>
        <v>R01-B03-SL6-B</v>
      </c>
      <c r="F517" s="83" t="str">
        <f t="shared" si="2"/>
        <v>Available</v>
      </c>
      <c r="G517" s="85" t="s">
        <v>207</v>
      </c>
      <c r="H517" s="85" t="str">
        <f t="array" ref="H517">IF(G517="","",IFERROR(INDEX('Material Master'!$B$2:$B$201,IFERROR(MATCH(G517,'Material Master'!$F$2:$F$201,0),MATCH(G517,'Material Master'!$A$2:$A$201,0))),""))</f>
        <v/>
      </c>
      <c r="I517" s="85" t="str">
        <f t="array" ref="I517">IF(G517="","",IFERROR(INDEX('Material Master'!$C$2:$C$201,IFERROR(MATCH(G517,'Material Master'!$F$2:$F$201,0),MATCH(G517,'Material Master'!$A$2:$A$201,0))),""))</f>
        <v/>
      </c>
      <c r="J517" s="86">
        <f>IF(E517="","",SUMIFS('Stock Movement'!$F$2:$F$501,'Stock Movement'!$D$2:$D$501,E517,'Stock Movement'!$E$2:$E$501,"IN")-SUMIFS('Stock Movement'!$F$2:$F$501,'Stock Movement'!$D$2:$D$501,E517,'Stock Movement'!$E$2:$E$501,"OUT"))</f>
        <v>0</v>
      </c>
      <c r="K517" s="87" t="str">
        <f t="array" ref="K517">IF(G517="","",IFERROR(INDEX('Material Master'!$D$2:$D$201,IFERROR(MATCH(G517,'Material Master'!$F$2:$F$201,0),MATCH(G517,'Material Master'!$A$2:$A$201,0))),""))</f>
        <v/>
      </c>
      <c r="L517" s="85" t="s">
        <v>207</v>
      </c>
      <c r="M517" s="85" t="s">
        <v>491</v>
      </c>
    </row>
    <row r="518" ht="15.75" customHeight="1">
      <c r="A518" s="150" t="s">
        <v>19</v>
      </c>
      <c r="B518" s="151">
        <v>3.0</v>
      </c>
      <c r="C518" s="150" t="s">
        <v>243</v>
      </c>
      <c r="D518" s="152" t="s">
        <v>133</v>
      </c>
      <c r="E518" s="77" t="str">
        <f t="shared" si="1"/>
        <v>R01-B03-SL5-A</v>
      </c>
      <c r="F518" s="91" t="str">
        <f t="shared" si="2"/>
        <v>Available</v>
      </c>
      <c r="G518" s="69" t="s">
        <v>207</v>
      </c>
      <c r="H518" s="69" t="str">
        <f t="array" ref="H518">IF(G518="","",IFERROR(INDEX('Material Master'!$B$2:$B$201,IFERROR(MATCH(G518,'Material Master'!$F$2:$F$201,0),MATCH(G518,'Material Master'!$A$2:$A$201,0))),""))</f>
        <v/>
      </c>
      <c r="I518" s="69" t="str">
        <f t="array" ref="I518">IF(G518="","",IFERROR(INDEX('Material Master'!$C$2:$C$201,IFERROR(MATCH(G518,'Material Master'!$F$2:$F$201,0),MATCH(G518,'Material Master'!$A$2:$A$201,0))),""))</f>
        <v/>
      </c>
      <c r="J518" s="75">
        <f>IF(E518="","",SUMIFS('Stock Movement'!$F$2:$F$501,'Stock Movement'!$D$2:$D$501,E518,'Stock Movement'!$E$2:$E$501,"IN")-SUMIFS('Stock Movement'!$F$2:$F$501,'Stock Movement'!$D$2:$D$501,E518,'Stock Movement'!$E$2:$E$501,"OUT"))</f>
        <v>0</v>
      </c>
      <c r="K518" s="77" t="str">
        <f t="array" ref="K518">IF(G518="","",IFERROR(INDEX('Material Master'!$D$2:$D$201,IFERROR(MATCH(G518,'Material Master'!$F$2:$F$201,0),MATCH(G518,'Material Master'!$A$2:$A$201,0))),""))</f>
        <v/>
      </c>
      <c r="L518" s="69" t="s">
        <v>207</v>
      </c>
      <c r="M518" s="69" t="s">
        <v>491</v>
      </c>
    </row>
    <row r="519" ht="15.75" customHeight="1">
      <c r="A519" s="147" t="s">
        <v>19</v>
      </c>
      <c r="B519" s="148">
        <v>3.0</v>
      </c>
      <c r="C519" s="147" t="s">
        <v>243</v>
      </c>
      <c r="D519" s="149" t="s">
        <v>105</v>
      </c>
      <c r="E519" s="87" t="str">
        <f t="shared" si="1"/>
        <v>R01-B03-SL5-B</v>
      </c>
      <c r="F519" s="83" t="str">
        <f t="shared" si="2"/>
        <v>Available</v>
      </c>
      <c r="G519" s="85" t="s">
        <v>207</v>
      </c>
      <c r="H519" s="85" t="str">
        <f t="array" ref="H519">IF(G519="","",IFERROR(INDEX('Material Master'!$B$2:$B$201,IFERROR(MATCH(G519,'Material Master'!$F$2:$F$201,0),MATCH(G519,'Material Master'!$A$2:$A$201,0))),""))</f>
        <v/>
      </c>
      <c r="I519" s="85" t="str">
        <f t="array" ref="I519">IF(G519="","",IFERROR(INDEX('Material Master'!$C$2:$C$201,IFERROR(MATCH(G519,'Material Master'!$F$2:$F$201,0),MATCH(G519,'Material Master'!$A$2:$A$201,0))),""))</f>
        <v/>
      </c>
      <c r="J519" s="86">
        <f>IF(E519="","",SUMIFS('Stock Movement'!$F$2:$F$501,'Stock Movement'!$D$2:$D$501,E519,'Stock Movement'!$E$2:$E$501,"IN")-SUMIFS('Stock Movement'!$F$2:$F$501,'Stock Movement'!$D$2:$D$501,E519,'Stock Movement'!$E$2:$E$501,"OUT"))</f>
        <v>0</v>
      </c>
      <c r="K519" s="87" t="str">
        <f t="array" ref="K519">IF(G519="","",IFERROR(INDEX('Material Master'!$D$2:$D$201,IFERROR(MATCH(G519,'Material Master'!$F$2:$F$201,0),MATCH(G519,'Material Master'!$A$2:$A$201,0))),""))</f>
        <v/>
      </c>
      <c r="L519" s="85" t="s">
        <v>207</v>
      </c>
      <c r="M519" s="85" t="s">
        <v>491</v>
      </c>
    </row>
    <row r="520" ht="15.75" customHeight="1">
      <c r="A520" s="150" t="s">
        <v>19</v>
      </c>
      <c r="B520" s="151">
        <v>3.0</v>
      </c>
      <c r="C520" s="150" t="s">
        <v>240</v>
      </c>
      <c r="D520" s="152" t="s">
        <v>133</v>
      </c>
      <c r="E520" s="77" t="str">
        <f t="shared" si="1"/>
        <v>R01-B03-SL4-A</v>
      </c>
      <c r="F520" s="91" t="str">
        <f t="shared" si="2"/>
        <v>Available</v>
      </c>
      <c r="G520" s="69" t="s">
        <v>207</v>
      </c>
      <c r="H520" s="69" t="str">
        <f t="array" ref="H520">IF(G520="","",IFERROR(INDEX('Material Master'!$B$2:$B$201,IFERROR(MATCH(G520,'Material Master'!$F$2:$F$201,0),MATCH(G520,'Material Master'!$A$2:$A$201,0))),""))</f>
        <v/>
      </c>
      <c r="I520" s="69" t="str">
        <f t="array" ref="I520">IF(G520="","",IFERROR(INDEX('Material Master'!$C$2:$C$201,IFERROR(MATCH(G520,'Material Master'!$F$2:$F$201,0),MATCH(G520,'Material Master'!$A$2:$A$201,0))),""))</f>
        <v/>
      </c>
      <c r="J520" s="75">
        <f>IF(E520="","",SUMIFS('Stock Movement'!$F$2:$F$501,'Stock Movement'!$D$2:$D$501,E520,'Stock Movement'!$E$2:$E$501,"IN")-SUMIFS('Stock Movement'!$F$2:$F$501,'Stock Movement'!$D$2:$D$501,E520,'Stock Movement'!$E$2:$E$501,"OUT"))</f>
        <v>0</v>
      </c>
      <c r="K520" s="77" t="str">
        <f t="array" ref="K520">IF(G520="","",IFERROR(INDEX('Material Master'!$D$2:$D$201,IFERROR(MATCH(G520,'Material Master'!$F$2:$F$201,0),MATCH(G520,'Material Master'!$A$2:$A$201,0))),""))</f>
        <v/>
      </c>
      <c r="L520" s="69" t="s">
        <v>207</v>
      </c>
      <c r="M520" s="69" t="s">
        <v>491</v>
      </c>
    </row>
    <row r="521" ht="15.75" customHeight="1">
      <c r="A521" s="147" t="s">
        <v>19</v>
      </c>
      <c r="B521" s="148">
        <v>3.0</v>
      </c>
      <c r="C521" s="147" t="s">
        <v>240</v>
      </c>
      <c r="D521" s="149" t="s">
        <v>105</v>
      </c>
      <c r="E521" s="87" t="str">
        <f t="shared" si="1"/>
        <v>R01-B03-SL4-B</v>
      </c>
      <c r="F521" s="83" t="str">
        <f t="shared" si="2"/>
        <v>Available</v>
      </c>
      <c r="G521" s="85" t="s">
        <v>207</v>
      </c>
      <c r="H521" s="85" t="str">
        <f t="array" ref="H521">IF(G521="","",IFERROR(INDEX('Material Master'!$B$2:$B$201,IFERROR(MATCH(G521,'Material Master'!$F$2:$F$201,0),MATCH(G521,'Material Master'!$A$2:$A$201,0))),""))</f>
        <v/>
      </c>
      <c r="I521" s="85" t="str">
        <f t="array" ref="I521">IF(G521="","",IFERROR(INDEX('Material Master'!$C$2:$C$201,IFERROR(MATCH(G521,'Material Master'!$F$2:$F$201,0),MATCH(G521,'Material Master'!$A$2:$A$201,0))),""))</f>
        <v/>
      </c>
      <c r="J521" s="86">
        <f>IF(E521="","",SUMIFS('Stock Movement'!$F$2:$F$501,'Stock Movement'!$D$2:$D$501,E521,'Stock Movement'!$E$2:$E$501,"IN")-SUMIFS('Stock Movement'!$F$2:$F$501,'Stock Movement'!$D$2:$D$501,E521,'Stock Movement'!$E$2:$E$501,"OUT"))</f>
        <v>0</v>
      </c>
      <c r="K521" s="87" t="str">
        <f t="array" ref="K521">IF(G521="","",IFERROR(INDEX('Material Master'!$D$2:$D$201,IFERROR(MATCH(G521,'Material Master'!$F$2:$F$201,0),MATCH(G521,'Material Master'!$A$2:$A$201,0))),""))</f>
        <v/>
      </c>
      <c r="L521" s="85" t="s">
        <v>207</v>
      </c>
      <c r="M521" s="85" t="s">
        <v>491</v>
      </c>
    </row>
    <row r="522" ht="15.75" customHeight="1">
      <c r="A522" s="150" t="s">
        <v>19</v>
      </c>
      <c r="B522" s="151">
        <v>3.0</v>
      </c>
      <c r="C522" s="150" t="s">
        <v>157</v>
      </c>
      <c r="D522" s="152" t="s">
        <v>133</v>
      </c>
      <c r="E522" s="77" t="str">
        <f t="shared" si="1"/>
        <v>R01-B03-GL3-A</v>
      </c>
      <c r="F522" s="91" t="str">
        <f t="shared" si="2"/>
        <v>Available</v>
      </c>
      <c r="G522" s="69" t="s">
        <v>207</v>
      </c>
      <c r="H522" s="69" t="str">
        <f t="array" ref="H522">IF(G522="","",IFERROR(INDEX('Material Master'!$B$2:$B$201,IFERROR(MATCH(G522,'Material Master'!$F$2:$F$201,0),MATCH(G522,'Material Master'!$A$2:$A$201,0))),""))</f>
        <v/>
      </c>
      <c r="I522" s="69" t="str">
        <f t="array" ref="I522">IF(G522="","",IFERROR(INDEX('Material Master'!$C$2:$C$201,IFERROR(MATCH(G522,'Material Master'!$F$2:$F$201,0),MATCH(G522,'Material Master'!$A$2:$A$201,0))),""))</f>
        <v/>
      </c>
      <c r="J522" s="75">
        <f>IF(E522="","",SUMIFS('Stock Movement'!$F$2:$F$501,'Stock Movement'!$D$2:$D$501,E522,'Stock Movement'!$E$2:$E$501,"IN")-SUMIFS('Stock Movement'!$F$2:$F$501,'Stock Movement'!$D$2:$D$501,E522,'Stock Movement'!$E$2:$E$501,"OUT"))</f>
        <v>0</v>
      </c>
      <c r="K522" s="77" t="str">
        <f t="array" ref="K522">IF(G522="","",IFERROR(INDEX('Material Master'!$D$2:$D$201,IFERROR(MATCH(G522,'Material Master'!$F$2:$F$201,0),MATCH(G522,'Material Master'!$A$2:$A$201,0))),""))</f>
        <v/>
      </c>
      <c r="L522" s="69" t="s">
        <v>207</v>
      </c>
      <c r="M522" s="69" t="s">
        <v>491</v>
      </c>
    </row>
    <row r="523" ht="15.75" customHeight="1">
      <c r="A523" s="147" t="s">
        <v>19</v>
      </c>
      <c r="B523" s="148">
        <v>3.0</v>
      </c>
      <c r="C523" s="147" t="s">
        <v>157</v>
      </c>
      <c r="D523" s="149" t="s">
        <v>105</v>
      </c>
      <c r="E523" s="87" t="str">
        <f t="shared" si="1"/>
        <v>R01-B03-GL3-B</v>
      </c>
      <c r="F523" s="83" t="str">
        <f t="shared" si="2"/>
        <v>Available</v>
      </c>
      <c r="G523" s="85" t="s">
        <v>207</v>
      </c>
      <c r="H523" s="85" t="str">
        <f t="array" ref="H523">IF(G523="","",IFERROR(INDEX('Material Master'!$B$2:$B$201,IFERROR(MATCH(G523,'Material Master'!$F$2:$F$201,0),MATCH(G523,'Material Master'!$A$2:$A$201,0))),""))</f>
        <v/>
      </c>
      <c r="I523" s="85" t="str">
        <f t="array" ref="I523">IF(G523="","",IFERROR(INDEX('Material Master'!$C$2:$C$201,IFERROR(MATCH(G523,'Material Master'!$F$2:$F$201,0),MATCH(G523,'Material Master'!$A$2:$A$201,0))),""))</f>
        <v/>
      </c>
      <c r="J523" s="86">
        <f>IF(E523="","",SUMIFS('Stock Movement'!$F$2:$F$501,'Stock Movement'!$D$2:$D$501,E523,'Stock Movement'!$E$2:$E$501,"IN")-SUMIFS('Stock Movement'!$F$2:$F$501,'Stock Movement'!$D$2:$D$501,E523,'Stock Movement'!$E$2:$E$501,"OUT"))</f>
        <v>0</v>
      </c>
      <c r="K523" s="87" t="str">
        <f t="array" ref="K523">IF(G523="","",IFERROR(INDEX('Material Master'!$D$2:$D$201,IFERROR(MATCH(G523,'Material Master'!$F$2:$F$201,0),MATCH(G523,'Material Master'!$A$2:$A$201,0))),""))</f>
        <v/>
      </c>
      <c r="L523" s="85" t="s">
        <v>207</v>
      </c>
      <c r="M523" s="85" t="s">
        <v>491</v>
      </c>
    </row>
    <row r="524" ht="15.75" customHeight="1">
      <c r="A524" s="150" t="s">
        <v>19</v>
      </c>
      <c r="B524" s="151">
        <v>3.0</v>
      </c>
      <c r="C524" s="150" t="s">
        <v>132</v>
      </c>
      <c r="D524" s="152" t="s">
        <v>133</v>
      </c>
      <c r="E524" s="77" t="str">
        <f t="shared" si="1"/>
        <v>R01-B03-GL2-A</v>
      </c>
      <c r="F524" s="91" t="str">
        <f t="shared" si="2"/>
        <v>Available</v>
      </c>
      <c r="G524" s="69" t="s">
        <v>207</v>
      </c>
      <c r="H524" s="69" t="str">
        <f t="array" ref="H524">IF(G524="","",IFERROR(INDEX('Material Master'!$B$2:$B$201,IFERROR(MATCH(G524,'Material Master'!$F$2:$F$201,0),MATCH(G524,'Material Master'!$A$2:$A$201,0))),""))</f>
        <v/>
      </c>
      <c r="I524" s="69" t="str">
        <f t="array" ref="I524">IF(G524="","",IFERROR(INDEX('Material Master'!$C$2:$C$201,IFERROR(MATCH(G524,'Material Master'!$F$2:$F$201,0),MATCH(G524,'Material Master'!$A$2:$A$201,0))),""))</f>
        <v/>
      </c>
      <c r="J524" s="75">
        <f>IF(E524="","",SUMIFS('Stock Movement'!$F$2:$F$501,'Stock Movement'!$D$2:$D$501,E524,'Stock Movement'!$E$2:$E$501,"IN")-SUMIFS('Stock Movement'!$F$2:$F$501,'Stock Movement'!$D$2:$D$501,E524,'Stock Movement'!$E$2:$E$501,"OUT"))</f>
        <v>0</v>
      </c>
      <c r="K524" s="77" t="str">
        <f t="array" ref="K524">IF(G524="","",IFERROR(INDEX('Material Master'!$D$2:$D$201,IFERROR(MATCH(G524,'Material Master'!$F$2:$F$201,0),MATCH(G524,'Material Master'!$A$2:$A$201,0))),""))</f>
        <v/>
      </c>
      <c r="L524" s="69" t="s">
        <v>207</v>
      </c>
      <c r="M524" s="69" t="s">
        <v>491</v>
      </c>
    </row>
    <row r="525" ht="15.75" customHeight="1">
      <c r="A525" s="147" t="s">
        <v>19</v>
      </c>
      <c r="B525" s="148">
        <v>3.0</v>
      </c>
      <c r="C525" s="147" t="s">
        <v>132</v>
      </c>
      <c r="D525" s="149" t="s">
        <v>105</v>
      </c>
      <c r="E525" s="87" t="str">
        <f t="shared" si="1"/>
        <v>R01-B03-GL2-B</v>
      </c>
      <c r="F525" s="83" t="str">
        <f t="shared" si="2"/>
        <v>Available</v>
      </c>
      <c r="G525" s="85" t="s">
        <v>207</v>
      </c>
      <c r="H525" s="85" t="str">
        <f t="array" ref="H525">IF(G525="","",IFERROR(INDEX('Material Master'!$B$2:$B$201,IFERROR(MATCH(G525,'Material Master'!$F$2:$F$201,0),MATCH(G525,'Material Master'!$A$2:$A$201,0))),""))</f>
        <v/>
      </c>
      <c r="I525" s="85" t="str">
        <f t="array" ref="I525">IF(G525="","",IFERROR(INDEX('Material Master'!$C$2:$C$201,IFERROR(MATCH(G525,'Material Master'!$F$2:$F$201,0),MATCH(G525,'Material Master'!$A$2:$A$201,0))),""))</f>
        <v/>
      </c>
      <c r="J525" s="86">
        <f>IF(E525="","",SUMIFS('Stock Movement'!$F$2:$F$501,'Stock Movement'!$D$2:$D$501,E525,'Stock Movement'!$E$2:$E$501,"IN")-SUMIFS('Stock Movement'!$F$2:$F$501,'Stock Movement'!$D$2:$D$501,E525,'Stock Movement'!$E$2:$E$501,"OUT"))</f>
        <v>0</v>
      </c>
      <c r="K525" s="87" t="str">
        <f t="array" ref="K525">IF(G525="","",IFERROR(INDEX('Material Master'!$D$2:$D$201,IFERROR(MATCH(G525,'Material Master'!$F$2:$F$201,0),MATCH(G525,'Material Master'!$A$2:$A$201,0))),""))</f>
        <v/>
      </c>
      <c r="L525" s="85" t="s">
        <v>207</v>
      </c>
      <c r="M525" s="85" t="s">
        <v>491</v>
      </c>
    </row>
    <row r="526" ht="15.75" customHeight="1">
      <c r="A526" s="150" t="s">
        <v>19</v>
      </c>
      <c r="B526" s="151">
        <v>3.0</v>
      </c>
      <c r="C526" s="150" t="s">
        <v>22</v>
      </c>
      <c r="D526" s="152" t="s">
        <v>133</v>
      </c>
      <c r="E526" s="77" t="str">
        <f t="shared" si="1"/>
        <v>R01-B03-GL1-A</v>
      </c>
      <c r="F526" s="91" t="str">
        <f t="shared" si="2"/>
        <v>Available</v>
      </c>
      <c r="G526" s="69" t="s">
        <v>207</v>
      </c>
      <c r="H526" s="69" t="str">
        <f t="array" ref="H526">IF(G526="","",IFERROR(INDEX('Material Master'!$B$2:$B$201,IFERROR(MATCH(G526,'Material Master'!$F$2:$F$201,0),MATCH(G526,'Material Master'!$A$2:$A$201,0))),""))</f>
        <v/>
      </c>
      <c r="I526" s="69" t="str">
        <f t="array" ref="I526">IF(G526="","",IFERROR(INDEX('Material Master'!$C$2:$C$201,IFERROR(MATCH(G526,'Material Master'!$F$2:$F$201,0),MATCH(G526,'Material Master'!$A$2:$A$201,0))),""))</f>
        <v/>
      </c>
      <c r="J526" s="75">
        <f>IF(E526="","",SUMIFS('Stock Movement'!$F$2:$F$501,'Stock Movement'!$D$2:$D$501,E526,'Stock Movement'!$E$2:$E$501,"IN")-SUMIFS('Stock Movement'!$F$2:$F$501,'Stock Movement'!$D$2:$D$501,E526,'Stock Movement'!$E$2:$E$501,"OUT"))</f>
        <v>0</v>
      </c>
      <c r="K526" s="77" t="str">
        <f t="array" ref="K526">IF(G526="","",IFERROR(INDEX('Material Master'!$D$2:$D$201,IFERROR(MATCH(G526,'Material Master'!$F$2:$F$201,0),MATCH(G526,'Material Master'!$A$2:$A$201,0))),""))</f>
        <v/>
      </c>
      <c r="L526" s="69" t="s">
        <v>207</v>
      </c>
      <c r="M526" s="69" t="s">
        <v>491</v>
      </c>
    </row>
    <row r="527" ht="15.75" customHeight="1">
      <c r="A527" s="147" t="s">
        <v>19</v>
      </c>
      <c r="B527" s="148">
        <v>3.0</v>
      </c>
      <c r="C527" s="147" t="s">
        <v>22</v>
      </c>
      <c r="D527" s="149" t="s">
        <v>105</v>
      </c>
      <c r="E527" s="87" t="str">
        <f t="shared" si="1"/>
        <v>R01-B03-GL1-B</v>
      </c>
      <c r="F527" s="83" t="str">
        <f t="shared" si="2"/>
        <v>Available</v>
      </c>
      <c r="G527" s="85" t="s">
        <v>207</v>
      </c>
      <c r="H527" s="85" t="str">
        <f t="array" ref="H527">IF(G527="","",IFERROR(INDEX('Material Master'!$B$2:$B$201,IFERROR(MATCH(G527,'Material Master'!$F$2:$F$201,0),MATCH(G527,'Material Master'!$A$2:$A$201,0))),""))</f>
        <v/>
      </c>
      <c r="I527" s="85" t="str">
        <f t="array" ref="I527">IF(G527="","",IFERROR(INDEX('Material Master'!$C$2:$C$201,IFERROR(MATCH(G527,'Material Master'!$F$2:$F$201,0),MATCH(G527,'Material Master'!$A$2:$A$201,0))),""))</f>
        <v/>
      </c>
      <c r="J527" s="86">
        <f>IF(E527="","",SUMIFS('Stock Movement'!$F$2:$F$501,'Stock Movement'!$D$2:$D$501,E527,'Stock Movement'!$E$2:$E$501,"IN")-SUMIFS('Stock Movement'!$F$2:$F$501,'Stock Movement'!$D$2:$D$501,E527,'Stock Movement'!$E$2:$E$501,"OUT"))</f>
        <v>0</v>
      </c>
      <c r="K527" s="87" t="str">
        <f t="array" ref="K527">IF(G527="","",IFERROR(INDEX('Material Master'!$D$2:$D$201,IFERROR(MATCH(G527,'Material Master'!$F$2:$F$201,0),MATCH(G527,'Material Master'!$A$2:$A$201,0))),""))</f>
        <v/>
      </c>
      <c r="L527" s="85" t="s">
        <v>207</v>
      </c>
      <c r="M527" s="85" t="s">
        <v>491</v>
      </c>
    </row>
    <row r="528" ht="15.75" customHeight="1">
      <c r="A528" s="150" t="s">
        <v>19</v>
      </c>
      <c r="B528" s="151">
        <v>4.0</v>
      </c>
      <c r="C528" s="150" t="s">
        <v>246</v>
      </c>
      <c r="D528" s="152" t="s">
        <v>133</v>
      </c>
      <c r="E528" s="77" t="str">
        <f t="shared" si="1"/>
        <v>R01-B04-SL6-A</v>
      </c>
      <c r="F528" s="91" t="str">
        <f t="shared" si="2"/>
        <v>Available</v>
      </c>
      <c r="G528" s="69" t="s">
        <v>207</v>
      </c>
      <c r="H528" s="69" t="str">
        <f t="array" ref="H528">IF(G528="","",IFERROR(INDEX('Material Master'!$B$2:$B$201,IFERROR(MATCH(G528,'Material Master'!$F$2:$F$201,0),MATCH(G528,'Material Master'!$A$2:$A$201,0))),""))</f>
        <v/>
      </c>
      <c r="I528" s="69" t="str">
        <f t="array" ref="I528">IF(G528="","",IFERROR(INDEX('Material Master'!$C$2:$C$201,IFERROR(MATCH(G528,'Material Master'!$F$2:$F$201,0),MATCH(G528,'Material Master'!$A$2:$A$201,0))),""))</f>
        <v/>
      </c>
      <c r="J528" s="75">
        <f>IF(E528="","",SUMIFS('Stock Movement'!$F$2:$F$501,'Stock Movement'!$D$2:$D$501,E528,'Stock Movement'!$E$2:$E$501,"IN")-SUMIFS('Stock Movement'!$F$2:$F$501,'Stock Movement'!$D$2:$D$501,E528,'Stock Movement'!$E$2:$E$501,"OUT"))</f>
        <v>0</v>
      </c>
      <c r="K528" s="77" t="str">
        <f t="array" ref="K528">IF(G528="","",IFERROR(INDEX('Material Master'!$D$2:$D$201,IFERROR(MATCH(G528,'Material Master'!$F$2:$F$201,0),MATCH(G528,'Material Master'!$A$2:$A$201,0))),""))</f>
        <v/>
      </c>
      <c r="L528" s="69" t="s">
        <v>207</v>
      </c>
      <c r="M528" s="69" t="s">
        <v>491</v>
      </c>
    </row>
    <row r="529" ht="15.75" customHeight="1">
      <c r="A529" s="147" t="s">
        <v>19</v>
      </c>
      <c r="B529" s="148">
        <v>4.0</v>
      </c>
      <c r="C529" s="147" t="s">
        <v>246</v>
      </c>
      <c r="D529" s="149" t="s">
        <v>105</v>
      </c>
      <c r="E529" s="87" t="str">
        <f t="shared" si="1"/>
        <v>R01-B04-SL6-B</v>
      </c>
      <c r="F529" s="83" t="str">
        <f t="shared" si="2"/>
        <v>Available</v>
      </c>
      <c r="G529" s="85" t="s">
        <v>207</v>
      </c>
      <c r="H529" s="85" t="str">
        <f t="array" ref="H529">IF(G529="","",IFERROR(INDEX('Material Master'!$B$2:$B$201,IFERROR(MATCH(G529,'Material Master'!$F$2:$F$201,0),MATCH(G529,'Material Master'!$A$2:$A$201,0))),""))</f>
        <v/>
      </c>
      <c r="I529" s="85" t="str">
        <f t="array" ref="I529">IF(G529="","",IFERROR(INDEX('Material Master'!$C$2:$C$201,IFERROR(MATCH(G529,'Material Master'!$F$2:$F$201,0),MATCH(G529,'Material Master'!$A$2:$A$201,0))),""))</f>
        <v/>
      </c>
      <c r="J529" s="86">
        <f>IF(E529="","",SUMIFS('Stock Movement'!$F$2:$F$501,'Stock Movement'!$D$2:$D$501,E529,'Stock Movement'!$E$2:$E$501,"IN")-SUMIFS('Stock Movement'!$F$2:$F$501,'Stock Movement'!$D$2:$D$501,E529,'Stock Movement'!$E$2:$E$501,"OUT"))</f>
        <v>0</v>
      </c>
      <c r="K529" s="87" t="str">
        <f t="array" ref="K529">IF(G529="","",IFERROR(INDEX('Material Master'!$D$2:$D$201,IFERROR(MATCH(G529,'Material Master'!$F$2:$F$201,0),MATCH(G529,'Material Master'!$A$2:$A$201,0))),""))</f>
        <v/>
      </c>
      <c r="L529" s="85" t="s">
        <v>207</v>
      </c>
      <c r="M529" s="85" t="s">
        <v>491</v>
      </c>
    </row>
    <row r="530" ht="15.75" customHeight="1">
      <c r="A530" s="150" t="s">
        <v>19</v>
      </c>
      <c r="B530" s="151">
        <v>4.0</v>
      </c>
      <c r="C530" s="150" t="s">
        <v>243</v>
      </c>
      <c r="D530" s="152" t="s">
        <v>133</v>
      </c>
      <c r="E530" s="77" t="str">
        <f t="shared" si="1"/>
        <v>R01-B04-SL5-A</v>
      </c>
      <c r="F530" s="91" t="str">
        <f t="shared" si="2"/>
        <v>Available</v>
      </c>
      <c r="G530" s="69" t="s">
        <v>207</v>
      </c>
      <c r="H530" s="69" t="str">
        <f t="array" ref="H530">IF(G530="","",IFERROR(INDEX('Material Master'!$B$2:$B$201,IFERROR(MATCH(G530,'Material Master'!$F$2:$F$201,0),MATCH(G530,'Material Master'!$A$2:$A$201,0))),""))</f>
        <v/>
      </c>
      <c r="I530" s="69" t="str">
        <f t="array" ref="I530">IF(G530="","",IFERROR(INDEX('Material Master'!$C$2:$C$201,IFERROR(MATCH(G530,'Material Master'!$F$2:$F$201,0),MATCH(G530,'Material Master'!$A$2:$A$201,0))),""))</f>
        <v/>
      </c>
      <c r="J530" s="75">
        <f>IF(E530="","",SUMIFS('Stock Movement'!$F$2:$F$501,'Stock Movement'!$D$2:$D$501,E530,'Stock Movement'!$E$2:$E$501,"IN")-SUMIFS('Stock Movement'!$F$2:$F$501,'Stock Movement'!$D$2:$D$501,E530,'Stock Movement'!$E$2:$E$501,"OUT"))</f>
        <v>0</v>
      </c>
      <c r="K530" s="77" t="str">
        <f t="array" ref="K530">IF(G530="","",IFERROR(INDEX('Material Master'!$D$2:$D$201,IFERROR(MATCH(G530,'Material Master'!$F$2:$F$201,0),MATCH(G530,'Material Master'!$A$2:$A$201,0))),""))</f>
        <v/>
      </c>
      <c r="L530" s="69" t="s">
        <v>207</v>
      </c>
      <c r="M530" s="69" t="s">
        <v>491</v>
      </c>
    </row>
    <row r="531" ht="15.75" customHeight="1">
      <c r="A531" s="147" t="s">
        <v>19</v>
      </c>
      <c r="B531" s="148">
        <v>4.0</v>
      </c>
      <c r="C531" s="147" t="s">
        <v>243</v>
      </c>
      <c r="D531" s="149" t="s">
        <v>105</v>
      </c>
      <c r="E531" s="87" t="str">
        <f t="shared" si="1"/>
        <v>R01-B04-SL5-B</v>
      </c>
      <c r="F531" s="83" t="str">
        <f t="shared" si="2"/>
        <v>Available</v>
      </c>
      <c r="G531" s="85" t="s">
        <v>207</v>
      </c>
      <c r="H531" s="85" t="str">
        <f t="array" ref="H531">IF(G531="","",IFERROR(INDEX('Material Master'!$B$2:$B$201,IFERROR(MATCH(G531,'Material Master'!$F$2:$F$201,0),MATCH(G531,'Material Master'!$A$2:$A$201,0))),""))</f>
        <v/>
      </c>
      <c r="I531" s="85" t="str">
        <f t="array" ref="I531">IF(G531="","",IFERROR(INDEX('Material Master'!$C$2:$C$201,IFERROR(MATCH(G531,'Material Master'!$F$2:$F$201,0),MATCH(G531,'Material Master'!$A$2:$A$201,0))),""))</f>
        <v/>
      </c>
      <c r="J531" s="86">
        <f>IF(E531="","",SUMIFS('Stock Movement'!$F$2:$F$501,'Stock Movement'!$D$2:$D$501,E531,'Stock Movement'!$E$2:$E$501,"IN")-SUMIFS('Stock Movement'!$F$2:$F$501,'Stock Movement'!$D$2:$D$501,E531,'Stock Movement'!$E$2:$E$501,"OUT"))</f>
        <v>0</v>
      </c>
      <c r="K531" s="87" t="str">
        <f t="array" ref="K531">IF(G531="","",IFERROR(INDEX('Material Master'!$D$2:$D$201,IFERROR(MATCH(G531,'Material Master'!$F$2:$F$201,0),MATCH(G531,'Material Master'!$A$2:$A$201,0))),""))</f>
        <v/>
      </c>
      <c r="L531" s="85" t="s">
        <v>207</v>
      </c>
      <c r="M531" s="85" t="s">
        <v>491</v>
      </c>
    </row>
    <row r="532" ht="15.75" customHeight="1">
      <c r="A532" s="150" t="s">
        <v>19</v>
      </c>
      <c r="B532" s="151">
        <v>4.0</v>
      </c>
      <c r="C532" s="150" t="s">
        <v>240</v>
      </c>
      <c r="D532" s="152" t="s">
        <v>133</v>
      </c>
      <c r="E532" s="77" t="str">
        <f t="shared" si="1"/>
        <v>R01-B04-SL4-A</v>
      </c>
      <c r="F532" s="91" t="str">
        <f t="shared" si="2"/>
        <v>Available</v>
      </c>
      <c r="G532" s="69" t="s">
        <v>207</v>
      </c>
      <c r="H532" s="69" t="str">
        <f t="array" ref="H532">IF(G532="","",IFERROR(INDEX('Material Master'!$B$2:$B$201,IFERROR(MATCH(G532,'Material Master'!$F$2:$F$201,0),MATCH(G532,'Material Master'!$A$2:$A$201,0))),""))</f>
        <v/>
      </c>
      <c r="I532" s="69" t="str">
        <f t="array" ref="I532">IF(G532="","",IFERROR(INDEX('Material Master'!$C$2:$C$201,IFERROR(MATCH(G532,'Material Master'!$F$2:$F$201,0),MATCH(G532,'Material Master'!$A$2:$A$201,0))),""))</f>
        <v/>
      </c>
      <c r="J532" s="75">
        <f>IF(E532="","",SUMIFS('Stock Movement'!$F$2:$F$501,'Stock Movement'!$D$2:$D$501,E532,'Stock Movement'!$E$2:$E$501,"IN")-SUMIFS('Stock Movement'!$F$2:$F$501,'Stock Movement'!$D$2:$D$501,E532,'Stock Movement'!$E$2:$E$501,"OUT"))</f>
        <v>0</v>
      </c>
      <c r="K532" s="77" t="str">
        <f t="array" ref="K532">IF(G532="","",IFERROR(INDEX('Material Master'!$D$2:$D$201,IFERROR(MATCH(G532,'Material Master'!$F$2:$F$201,0),MATCH(G532,'Material Master'!$A$2:$A$201,0))),""))</f>
        <v/>
      </c>
      <c r="L532" s="69" t="s">
        <v>207</v>
      </c>
      <c r="M532" s="69" t="s">
        <v>491</v>
      </c>
    </row>
    <row r="533" ht="15.75" customHeight="1">
      <c r="A533" s="147" t="s">
        <v>19</v>
      </c>
      <c r="B533" s="148">
        <v>4.0</v>
      </c>
      <c r="C533" s="147" t="s">
        <v>240</v>
      </c>
      <c r="D533" s="149" t="s">
        <v>105</v>
      </c>
      <c r="E533" s="87" t="str">
        <f t="shared" si="1"/>
        <v>R01-B04-SL4-B</v>
      </c>
      <c r="F533" s="83" t="str">
        <f t="shared" si="2"/>
        <v>Available</v>
      </c>
      <c r="G533" s="85" t="s">
        <v>207</v>
      </c>
      <c r="H533" s="85" t="str">
        <f t="array" ref="H533">IF(G533="","",IFERROR(INDEX('Material Master'!$B$2:$B$201,IFERROR(MATCH(G533,'Material Master'!$F$2:$F$201,0),MATCH(G533,'Material Master'!$A$2:$A$201,0))),""))</f>
        <v/>
      </c>
      <c r="I533" s="85" t="str">
        <f t="array" ref="I533">IF(G533="","",IFERROR(INDEX('Material Master'!$C$2:$C$201,IFERROR(MATCH(G533,'Material Master'!$F$2:$F$201,0),MATCH(G533,'Material Master'!$A$2:$A$201,0))),""))</f>
        <v/>
      </c>
      <c r="J533" s="86">
        <f>IF(E533="","",SUMIFS('Stock Movement'!$F$2:$F$501,'Stock Movement'!$D$2:$D$501,E533,'Stock Movement'!$E$2:$E$501,"IN")-SUMIFS('Stock Movement'!$F$2:$F$501,'Stock Movement'!$D$2:$D$501,E533,'Stock Movement'!$E$2:$E$501,"OUT"))</f>
        <v>0</v>
      </c>
      <c r="K533" s="87" t="str">
        <f t="array" ref="K533">IF(G533="","",IFERROR(INDEX('Material Master'!$D$2:$D$201,IFERROR(MATCH(G533,'Material Master'!$F$2:$F$201,0),MATCH(G533,'Material Master'!$A$2:$A$201,0))),""))</f>
        <v/>
      </c>
      <c r="L533" s="85" t="s">
        <v>207</v>
      </c>
      <c r="M533" s="85" t="s">
        <v>491</v>
      </c>
    </row>
    <row r="534" ht="15.75" customHeight="1">
      <c r="A534" s="150" t="s">
        <v>19</v>
      </c>
      <c r="B534" s="151">
        <v>4.0</v>
      </c>
      <c r="C534" s="150" t="s">
        <v>157</v>
      </c>
      <c r="D534" s="152" t="s">
        <v>133</v>
      </c>
      <c r="E534" s="77" t="str">
        <f t="shared" si="1"/>
        <v>R01-B04-GL3-A</v>
      </c>
      <c r="F534" s="91" t="str">
        <f t="shared" si="2"/>
        <v>Available</v>
      </c>
      <c r="G534" s="69" t="s">
        <v>207</v>
      </c>
      <c r="H534" s="69" t="str">
        <f t="array" ref="H534">IF(G534="","",IFERROR(INDEX('Material Master'!$B$2:$B$201,IFERROR(MATCH(G534,'Material Master'!$F$2:$F$201,0),MATCH(G534,'Material Master'!$A$2:$A$201,0))),""))</f>
        <v/>
      </c>
      <c r="I534" s="69" t="str">
        <f t="array" ref="I534">IF(G534="","",IFERROR(INDEX('Material Master'!$C$2:$C$201,IFERROR(MATCH(G534,'Material Master'!$F$2:$F$201,0),MATCH(G534,'Material Master'!$A$2:$A$201,0))),""))</f>
        <v/>
      </c>
      <c r="J534" s="75">
        <f>IF(E534="","",SUMIFS('Stock Movement'!$F$2:$F$501,'Stock Movement'!$D$2:$D$501,E534,'Stock Movement'!$E$2:$E$501,"IN")-SUMIFS('Stock Movement'!$F$2:$F$501,'Stock Movement'!$D$2:$D$501,E534,'Stock Movement'!$E$2:$E$501,"OUT"))</f>
        <v>0</v>
      </c>
      <c r="K534" s="77" t="str">
        <f t="array" ref="K534">IF(G534="","",IFERROR(INDEX('Material Master'!$D$2:$D$201,IFERROR(MATCH(G534,'Material Master'!$F$2:$F$201,0),MATCH(G534,'Material Master'!$A$2:$A$201,0))),""))</f>
        <v/>
      </c>
      <c r="L534" s="69" t="s">
        <v>207</v>
      </c>
      <c r="M534" s="69" t="s">
        <v>491</v>
      </c>
    </row>
    <row r="535" ht="15.75" customHeight="1">
      <c r="A535" s="147" t="s">
        <v>19</v>
      </c>
      <c r="B535" s="148">
        <v>4.0</v>
      </c>
      <c r="C535" s="147" t="s">
        <v>157</v>
      </c>
      <c r="D535" s="149" t="s">
        <v>105</v>
      </c>
      <c r="E535" s="87" t="str">
        <f t="shared" si="1"/>
        <v>R01-B04-GL3-B</v>
      </c>
      <c r="F535" s="83" t="str">
        <f t="shared" si="2"/>
        <v>Available</v>
      </c>
      <c r="G535" s="85" t="s">
        <v>207</v>
      </c>
      <c r="H535" s="85" t="str">
        <f t="array" ref="H535">IF(G535="","",IFERROR(INDEX('Material Master'!$B$2:$B$201,IFERROR(MATCH(G535,'Material Master'!$F$2:$F$201,0),MATCH(G535,'Material Master'!$A$2:$A$201,0))),""))</f>
        <v/>
      </c>
      <c r="I535" s="85" t="str">
        <f t="array" ref="I535">IF(G535="","",IFERROR(INDEX('Material Master'!$C$2:$C$201,IFERROR(MATCH(G535,'Material Master'!$F$2:$F$201,0),MATCH(G535,'Material Master'!$A$2:$A$201,0))),""))</f>
        <v/>
      </c>
      <c r="J535" s="86">
        <f>IF(E535="","",SUMIFS('Stock Movement'!$F$2:$F$501,'Stock Movement'!$D$2:$D$501,E535,'Stock Movement'!$E$2:$E$501,"IN")-SUMIFS('Stock Movement'!$F$2:$F$501,'Stock Movement'!$D$2:$D$501,E535,'Stock Movement'!$E$2:$E$501,"OUT"))</f>
        <v>0</v>
      </c>
      <c r="K535" s="87" t="str">
        <f t="array" ref="K535">IF(G535="","",IFERROR(INDEX('Material Master'!$D$2:$D$201,IFERROR(MATCH(G535,'Material Master'!$F$2:$F$201,0),MATCH(G535,'Material Master'!$A$2:$A$201,0))),""))</f>
        <v/>
      </c>
      <c r="L535" s="85" t="s">
        <v>207</v>
      </c>
      <c r="M535" s="85" t="s">
        <v>491</v>
      </c>
    </row>
    <row r="536" ht="15.75" customHeight="1">
      <c r="A536" s="150" t="s">
        <v>19</v>
      </c>
      <c r="B536" s="151">
        <v>4.0</v>
      </c>
      <c r="C536" s="150" t="s">
        <v>132</v>
      </c>
      <c r="D536" s="152" t="s">
        <v>133</v>
      </c>
      <c r="E536" s="77" t="str">
        <f t="shared" si="1"/>
        <v>R01-B04-GL2-A</v>
      </c>
      <c r="F536" s="91" t="str">
        <f t="shared" si="2"/>
        <v>Available</v>
      </c>
      <c r="G536" s="69" t="s">
        <v>207</v>
      </c>
      <c r="H536" s="69" t="str">
        <f t="array" ref="H536">IF(G536="","",IFERROR(INDEX('Material Master'!$B$2:$B$201,IFERROR(MATCH(G536,'Material Master'!$F$2:$F$201,0),MATCH(G536,'Material Master'!$A$2:$A$201,0))),""))</f>
        <v/>
      </c>
      <c r="I536" s="69" t="str">
        <f t="array" ref="I536">IF(G536="","",IFERROR(INDEX('Material Master'!$C$2:$C$201,IFERROR(MATCH(G536,'Material Master'!$F$2:$F$201,0),MATCH(G536,'Material Master'!$A$2:$A$201,0))),""))</f>
        <v/>
      </c>
      <c r="J536" s="75">
        <f>IF(E536="","",SUMIFS('Stock Movement'!$F$2:$F$501,'Stock Movement'!$D$2:$D$501,E536,'Stock Movement'!$E$2:$E$501,"IN")-SUMIFS('Stock Movement'!$F$2:$F$501,'Stock Movement'!$D$2:$D$501,E536,'Stock Movement'!$E$2:$E$501,"OUT"))</f>
        <v>0</v>
      </c>
      <c r="K536" s="77" t="str">
        <f t="array" ref="K536">IF(G536="","",IFERROR(INDEX('Material Master'!$D$2:$D$201,IFERROR(MATCH(G536,'Material Master'!$F$2:$F$201,0),MATCH(G536,'Material Master'!$A$2:$A$201,0))),""))</f>
        <v/>
      </c>
      <c r="L536" s="69" t="s">
        <v>207</v>
      </c>
      <c r="M536" s="69" t="s">
        <v>491</v>
      </c>
    </row>
    <row r="537" ht="15.75" customHeight="1">
      <c r="A537" s="147" t="s">
        <v>19</v>
      </c>
      <c r="B537" s="148">
        <v>4.0</v>
      </c>
      <c r="C537" s="147" t="s">
        <v>132</v>
      </c>
      <c r="D537" s="149" t="s">
        <v>105</v>
      </c>
      <c r="E537" s="87" t="str">
        <f t="shared" si="1"/>
        <v>R01-B04-GL2-B</v>
      </c>
      <c r="F537" s="83" t="str">
        <f t="shared" si="2"/>
        <v>Available</v>
      </c>
      <c r="G537" s="85" t="s">
        <v>207</v>
      </c>
      <c r="H537" s="85" t="str">
        <f t="array" ref="H537">IF(G537="","",IFERROR(INDEX('Material Master'!$B$2:$B$201,IFERROR(MATCH(G537,'Material Master'!$F$2:$F$201,0),MATCH(G537,'Material Master'!$A$2:$A$201,0))),""))</f>
        <v/>
      </c>
      <c r="I537" s="85" t="str">
        <f t="array" ref="I537">IF(G537="","",IFERROR(INDEX('Material Master'!$C$2:$C$201,IFERROR(MATCH(G537,'Material Master'!$F$2:$F$201,0),MATCH(G537,'Material Master'!$A$2:$A$201,0))),""))</f>
        <v/>
      </c>
      <c r="J537" s="86">
        <f>IF(E537="","",SUMIFS('Stock Movement'!$F$2:$F$501,'Stock Movement'!$D$2:$D$501,E537,'Stock Movement'!$E$2:$E$501,"IN")-SUMIFS('Stock Movement'!$F$2:$F$501,'Stock Movement'!$D$2:$D$501,E537,'Stock Movement'!$E$2:$E$501,"OUT"))</f>
        <v>0</v>
      </c>
      <c r="K537" s="87" t="str">
        <f t="array" ref="K537">IF(G537="","",IFERROR(INDEX('Material Master'!$D$2:$D$201,IFERROR(MATCH(G537,'Material Master'!$F$2:$F$201,0),MATCH(G537,'Material Master'!$A$2:$A$201,0))),""))</f>
        <v/>
      </c>
      <c r="L537" s="85" t="s">
        <v>207</v>
      </c>
      <c r="M537" s="85" t="s">
        <v>491</v>
      </c>
    </row>
    <row r="538" ht="15.75" customHeight="1">
      <c r="A538" s="150" t="s">
        <v>19</v>
      </c>
      <c r="B538" s="151">
        <v>4.0</v>
      </c>
      <c r="C538" s="150" t="s">
        <v>22</v>
      </c>
      <c r="D538" s="152" t="s">
        <v>133</v>
      </c>
      <c r="E538" s="77" t="str">
        <f t="shared" si="1"/>
        <v>R01-B04-GL1-A</v>
      </c>
      <c r="F538" s="91" t="str">
        <f t="shared" si="2"/>
        <v>Available</v>
      </c>
      <c r="G538" s="69" t="s">
        <v>207</v>
      </c>
      <c r="H538" s="69" t="str">
        <f t="array" ref="H538">IF(G538="","",IFERROR(INDEX('Material Master'!$B$2:$B$201,IFERROR(MATCH(G538,'Material Master'!$F$2:$F$201,0),MATCH(G538,'Material Master'!$A$2:$A$201,0))),""))</f>
        <v/>
      </c>
      <c r="I538" s="69" t="str">
        <f t="array" ref="I538">IF(G538="","",IFERROR(INDEX('Material Master'!$C$2:$C$201,IFERROR(MATCH(G538,'Material Master'!$F$2:$F$201,0),MATCH(G538,'Material Master'!$A$2:$A$201,0))),""))</f>
        <v/>
      </c>
      <c r="J538" s="75">
        <f>IF(E538="","",SUMIFS('Stock Movement'!$F$2:$F$501,'Stock Movement'!$D$2:$D$501,E538,'Stock Movement'!$E$2:$E$501,"IN")-SUMIFS('Stock Movement'!$F$2:$F$501,'Stock Movement'!$D$2:$D$501,E538,'Stock Movement'!$E$2:$E$501,"OUT"))</f>
        <v>0</v>
      </c>
      <c r="K538" s="77" t="str">
        <f t="array" ref="K538">IF(G538="","",IFERROR(INDEX('Material Master'!$D$2:$D$201,IFERROR(MATCH(G538,'Material Master'!$F$2:$F$201,0),MATCH(G538,'Material Master'!$A$2:$A$201,0))),""))</f>
        <v/>
      </c>
      <c r="L538" s="69" t="s">
        <v>207</v>
      </c>
      <c r="M538" s="69" t="s">
        <v>491</v>
      </c>
    </row>
    <row r="539" ht="15.75" customHeight="1">
      <c r="A539" s="147" t="s">
        <v>19</v>
      </c>
      <c r="B539" s="148">
        <v>4.0</v>
      </c>
      <c r="C539" s="147" t="s">
        <v>22</v>
      </c>
      <c r="D539" s="149" t="s">
        <v>105</v>
      </c>
      <c r="E539" s="87" t="str">
        <f t="shared" si="1"/>
        <v>R01-B04-GL1-B</v>
      </c>
      <c r="F539" s="83" t="str">
        <f t="shared" si="2"/>
        <v>Available</v>
      </c>
      <c r="G539" s="85" t="s">
        <v>207</v>
      </c>
      <c r="H539" s="85" t="str">
        <f t="array" ref="H539">IF(G539="","",IFERROR(INDEX('Material Master'!$B$2:$B$201,IFERROR(MATCH(G539,'Material Master'!$F$2:$F$201,0),MATCH(G539,'Material Master'!$A$2:$A$201,0))),""))</f>
        <v/>
      </c>
      <c r="I539" s="85" t="str">
        <f t="array" ref="I539">IF(G539="","",IFERROR(INDEX('Material Master'!$C$2:$C$201,IFERROR(MATCH(G539,'Material Master'!$F$2:$F$201,0),MATCH(G539,'Material Master'!$A$2:$A$201,0))),""))</f>
        <v/>
      </c>
      <c r="J539" s="86">
        <f>IF(E539="","",SUMIFS('Stock Movement'!$F$2:$F$501,'Stock Movement'!$D$2:$D$501,E539,'Stock Movement'!$E$2:$E$501,"IN")-SUMIFS('Stock Movement'!$F$2:$F$501,'Stock Movement'!$D$2:$D$501,E539,'Stock Movement'!$E$2:$E$501,"OUT"))</f>
        <v>0</v>
      </c>
      <c r="K539" s="87" t="str">
        <f t="array" ref="K539">IF(G539="","",IFERROR(INDEX('Material Master'!$D$2:$D$201,IFERROR(MATCH(G539,'Material Master'!$F$2:$F$201,0),MATCH(G539,'Material Master'!$A$2:$A$201,0))),""))</f>
        <v/>
      </c>
      <c r="L539" s="85" t="s">
        <v>207</v>
      </c>
      <c r="M539" s="85" t="s">
        <v>491</v>
      </c>
    </row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</sheetData>
  <autoFilter ref="$A$1:$E$202"/>
  <customSheetViews>
    <customSheetView guid="{DDEAF7E6-5997-4114-AC3F-7A96208C341F}" filter="1" showAutoFilter="1">
      <autoFilter ref="$A$1:$M$539"/>
    </customSheetView>
  </customSheetViews>
  <conditionalFormatting sqref="F2:F539">
    <cfRule type="expression" dxfId="8" priority="1">
      <formula>$F2="Occupied"</formula>
    </cfRule>
  </conditionalFormatting>
  <conditionalFormatting sqref="F2:F539">
    <cfRule type="expression" dxfId="7" priority="2">
      <formula>$F2="Blocked"</formula>
    </cfRule>
  </conditionalFormatting>
  <dataValidations>
    <dataValidation type="list" allowBlank="1" sqref="A2:A539">
      <formula1>"R01,R02,R03,R04,R05,R06,R07,R08,R09,R10,R11"</formula1>
    </dataValidation>
    <dataValidation type="list" allowBlank="1" sqref="G2:G539">
      <formula1>'Material Master'!$F$2:$F$201</formula1>
    </dataValidation>
    <dataValidation type="list" allowBlank="1" sqref="C2:C539">
      <formula1>"GL1,GL1-A,GL1-B,GL2,GL2-A,GL2-B,GL3,GL3-A,GL3-B,SL1,SL1-A,SL1-B,SL2,SL2-A,SL2-B,SL3,SL3-A,SL3-B,SL4,SL4-A,SL4-B,SL5,SL5-A,SL5-B,SL6,SL6-A,SL6-B"</formula1>
    </dataValidation>
    <dataValidation type="list" allowBlank="1" sqref="D2:D539">
      <formula1>"A,B,C,A1,A2,B1,B2,Single,A3"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13.43"/>
    <col customWidth="1" min="3" max="3" width="24.86"/>
    <col customWidth="1" min="4" max="4" width="16.43"/>
    <col customWidth="1" min="5" max="5" width="14.71"/>
    <col customWidth="1" min="6" max="6" width="18.0"/>
    <col customWidth="1" min="7" max="7" width="16.71"/>
    <col customWidth="1" min="8" max="8" width="12.71"/>
    <col customWidth="1" min="9" max="9" width="18.43"/>
    <col customWidth="1" min="10" max="10" width="27.71"/>
    <col customWidth="1" min="11" max="26" width="8.71"/>
  </cols>
  <sheetData>
    <row r="1" ht="25.5" customHeight="1">
      <c r="A1" s="50" t="s">
        <v>2</v>
      </c>
      <c r="B1" s="52" t="s">
        <v>1</v>
      </c>
      <c r="C1" s="52" t="s">
        <v>4</v>
      </c>
      <c r="D1" s="52" t="s">
        <v>8</v>
      </c>
      <c r="E1" s="52" t="s">
        <v>167</v>
      </c>
      <c r="F1" s="52" t="s">
        <v>13</v>
      </c>
      <c r="G1" s="52" t="s">
        <v>11</v>
      </c>
      <c r="H1" s="52" t="s">
        <v>169</v>
      </c>
      <c r="I1" s="52" t="s">
        <v>170</v>
      </c>
      <c r="J1" s="55" t="s">
        <v>16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59">
        <v>46290.0</v>
      </c>
      <c r="B2" s="67" t="s">
        <v>17</v>
      </c>
      <c r="C2" s="73" t="str">
        <f>IF(B2="","",IFERROR(VLOOKUP(B2,'Material Master'!$A$2:$E$201,2,FALSE),""))</f>
        <v>BUBBLE WRAP</v>
      </c>
      <c r="D2" s="67" t="str">
        <f t="array" ref="D2">IF(B2="","",IFERROR(INDEX('Location Master'!$E$2:$E$502, IFERROR(MATCH(B2,'Location Master'!$G$2:$G$502,0), IFERROR(MATCH(B2&amp;" (*",'Location Master'!$G$2:$G$502,0), MATCH(B2&amp;"*",'Location Master'!$G$2:$G$502,0)))), ""))</f>
        <v>R01-B01-GL1-A1</v>
      </c>
      <c r="E2" s="74" t="s">
        <v>186</v>
      </c>
      <c r="F2" s="76">
        <v>5.0</v>
      </c>
      <c r="G2" s="73" t="str">
        <f>IF(B2="","",IFERROR(VLOOKUP(B2,'Material Master'!$A$2:$E$201,4,FALSE),""))</f>
        <v>PCS</v>
      </c>
      <c r="H2" s="67" t="s">
        <v>190</v>
      </c>
      <c r="I2" s="67" t="s">
        <v>191</v>
      </c>
      <c r="J2" s="79" t="s">
        <v>192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59">
        <v>46293.0</v>
      </c>
      <c r="B3" s="67" t="s">
        <v>17</v>
      </c>
      <c r="C3" s="73" t="str">
        <f>IF(B3="","",IFERROR(VLOOKUP(B3,'Material Master'!$A$2:$E$201,2,FALSE),""))</f>
        <v>BUBBLE WRAP</v>
      </c>
      <c r="D3" s="67" t="str">
        <f t="array" ref="D3">IF(B3="","",IFERROR(INDEX('Location Master'!$E$2:$E$502, IFERROR(MATCH(B3,'Location Master'!$G$2:$G$502,0), IFERROR(MATCH(B3&amp;" (*",'Location Master'!$G$2:$G$502,0), MATCH(B3&amp;"*",'Location Master'!$G$2:$G$502,0)))), ""))</f>
        <v>R01-B01-GL1-A1</v>
      </c>
      <c r="E3" s="74" t="s">
        <v>199</v>
      </c>
      <c r="F3" s="76">
        <v>3.0</v>
      </c>
      <c r="G3" s="73" t="str">
        <f>IF(B3="","",IFERROR(VLOOKUP(B3,'Material Master'!$A$2:$E$201,4,FALSE),""))</f>
        <v>PCS</v>
      </c>
      <c r="H3" s="67" t="s">
        <v>201</v>
      </c>
      <c r="I3" s="67" t="s">
        <v>191</v>
      </c>
      <c r="J3" s="79" t="s">
        <v>203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59">
        <v>46291.0</v>
      </c>
      <c r="B4" s="67" t="s">
        <v>24</v>
      </c>
      <c r="C4" s="73" t="str">
        <f>IF(B4="","",IFERROR(VLOOKUP(B4,'Material Master'!$A$2:$E$201,2,FALSE),""))</f>
        <v>CANDLE_LUGNARE_SCNTD</v>
      </c>
      <c r="D4" s="67" t="str">
        <f t="array" ref="D4">IF(B4="","",IFERROR(INDEX('Location Master'!$E$2:$E$502, IFERROR(MATCH(B4,'Location Master'!$G$2:$G$502,0), IFERROR(MATCH(B4&amp;" (*",'Location Master'!$G$2:$G$502,0), MATCH(B4&amp;"*",'Location Master'!$G$2:$G$502,0)))), ""))</f>
        <v>R01-B01-GL1-B</v>
      </c>
      <c r="E4" s="74" t="s">
        <v>186</v>
      </c>
      <c r="F4" s="76">
        <v>150.0</v>
      </c>
      <c r="G4" s="73" t="str">
        <f>IF(B4="","",IFERROR(VLOOKUP(B4,'Material Master'!$A$2:$E$201,4,FALSE),""))</f>
        <v>PCS</v>
      </c>
      <c r="H4" s="67" t="s">
        <v>210</v>
      </c>
      <c r="I4" s="67" t="s">
        <v>211</v>
      </c>
      <c r="J4" s="79" t="s">
        <v>213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59">
        <v>46294.0</v>
      </c>
      <c r="B5" s="67" t="s">
        <v>24</v>
      </c>
      <c r="C5" s="73" t="str">
        <f>IF(B5="","",IFERROR(VLOOKUP(B5,'Material Master'!$A$2:$E$201,2,FALSE),""))</f>
        <v>CANDLE_LUGNARE_SCNTD</v>
      </c>
      <c r="D5" s="67" t="str">
        <f t="array" ref="D5">IF(B5="","",IFERROR(INDEX('Location Master'!$E$2:$E$502, IFERROR(MATCH(B5,'Location Master'!$G$2:$G$502,0), IFERROR(MATCH(B5&amp;" (*",'Location Master'!$G$2:$G$502,0), MATCH(B5&amp;"*",'Location Master'!$G$2:$G$502,0)))), ""))</f>
        <v>R01-B01-GL1-B</v>
      </c>
      <c r="E5" s="74" t="s">
        <v>199</v>
      </c>
      <c r="F5" s="76">
        <v>12.0</v>
      </c>
      <c r="G5" s="73" t="str">
        <f>IF(B5="","",IFERROR(VLOOKUP(B5,'Material Master'!$A$2:$E$201,4,FALSE),""))</f>
        <v>PCS</v>
      </c>
      <c r="H5" s="67" t="s">
        <v>217</v>
      </c>
      <c r="I5" s="67" t="s">
        <v>211</v>
      </c>
      <c r="J5" s="79" t="s">
        <v>218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59">
        <v>46291.0</v>
      </c>
      <c r="B6" s="67" t="s">
        <v>27</v>
      </c>
      <c r="C6" s="73" t="str">
        <f>IF(B6="","",IFERROR(VLOOKUP(B6,'Material Master'!$A$2:$E$201,2,FALSE),""))</f>
        <v>EXTRA MCB</v>
      </c>
      <c r="D6" s="67" t="str">
        <f t="array" ref="D6">IF(B6="","",IFERROR(INDEX('Location Master'!$E$2:$E$502, IFERROR(MATCH(B6,'Location Master'!$G$2:$G$502,0), IFERROR(MATCH(B6&amp;" (*",'Location Master'!$G$2:$G$502,0), MATCH(B6&amp;"*",'Location Master'!$G$2:$G$502,0)))), ""))</f>
        <v>R01-B01-GL2-A</v>
      </c>
      <c r="E6" s="74" t="s">
        <v>186</v>
      </c>
      <c r="F6" s="76">
        <v>10.0</v>
      </c>
      <c r="G6" s="73" t="str">
        <f>IF(B6="","",IFERROR(VLOOKUP(B6,'Material Master'!$A$2:$E$201,4,FALSE),""))</f>
        <v>PCS</v>
      </c>
      <c r="H6" s="67" t="s">
        <v>249</v>
      </c>
      <c r="I6" s="67" t="s">
        <v>211</v>
      </c>
      <c r="J6" s="79" t="s">
        <v>250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59">
        <v>46294.0</v>
      </c>
      <c r="B7" s="67" t="s">
        <v>27</v>
      </c>
      <c r="C7" s="73" t="str">
        <f>IF(B7="","",IFERROR(VLOOKUP(B7,'Material Master'!$A$2:$E$201,2,FALSE),""))</f>
        <v>EXTRA MCB</v>
      </c>
      <c r="D7" s="67" t="str">
        <f t="array" ref="D7">IF(B7="","",IFERROR(INDEX('Location Master'!$E$2:$E$502, IFERROR(MATCH(B7,'Location Master'!$G$2:$G$502,0), IFERROR(MATCH(B7&amp;" (*",'Location Master'!$G$2:$G$502,0), MATCH(B7&amp;"*",'Location Master'!$G$2:$G$502,0)))), ""))</f>
        <v>R01-B01-GL2-A</v>
      </c>
      <c r="E7" s="74" t="s">
        <v>199</v>
      </c>
      <c r="F7" s="76">
        <v>9.0</v>
      </c>
      <c r="G7" s="73" t="str">
        <f>IF(B7="","",IFERROR(VLOOKUP(B7,'Material Master'!$A$2:$E$201,4,FALSE),""))</f>
        <v>PCS</v>
      </c>
      <c r="H7" s="67" t="s">
        <v>251</v>
      </c>
      <c r="I7" s="67" t="s">
        <v>191</v>
      </c>
      <c r="J7" s="79" t="s">
        <v>252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59">
        <v>46292.0</v>
      </c>
      <c r="B8" s="67" t="s">
        <v>30</v>
      </c>
      <c r="C8" s="73" t="str">
        <f>IF(B8="","",IFERROR(VLOOKUP(B8,'Material Master'!$A$2:$E$201,2,FALSE),""))</f>
        <v>FOSSIAL</v>
      </c>
      <c r="D8" s="67" t="str">
        <f t="array" ref="D8">IF(B8="","",IFERROR(INDEX('Location Master'!$E$2:$E$502, IFERROR(MATCH(B8,'Location Master'!$G$2:$G$502,0), IFERROR(MATCH(B8&amp;" (*",'Location Master'!$G$2:$G$502,0), MATCH(B8&amp;"*",'Location Master'!$G$2:$G$502,0)))), ""))</f>
        <v>R01-B01-GL2-B</v>
      </c>
      <c r="E8" s="74" t="s">
        <v>186</v>
      </c>
      <c r="F8" s="76">
        <v>10.0</v>
      </c>
      <c r="G8" s="73" t="str">
        <f>IF(B8="","",IFERROR(VLOOKUP(B8,'Material Master'!$A$2:$E$201,4,FALSE),""))</f>
        <v>BAG</v>
      </c>
      <c r="H8" s="67" t="s">
        <v>253</v>
      </c>
      <c r="I8" s="67" t="s">
        <v>191</v>
      </c>
      <c r="J8" s="79" t="s">
        <v>254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59">
        <v>46295.0</v>
      </c>
      <c r="B9" s="67" t="s">
        <v>30</v>
      </c>
      <c r="C9" s="73" t="str">
        <f>IF(B9="","",IFERROR(VLOOKUP(B9,'Material Master'!$A$2:$E$201,2,FALSE),""))</f>
        <v>FOSSIAL</v>
      </c>
      <c r="D9" s="67" t="str">
        <f t="array" ref="D9">IF(B9="","",IFERROR(INDEX('Location Master'!$E$2:$E$502, IFERROR(MATCH(B9,'Location Master'!$G$2:$G$502,0), IFERROR(MATCH(B9&amp;" (*",'Location Master'!$G$2:$G$502,0), MATCH(B9&amp;"*",'Location Master'!$G$2:$G$502,0)))), ""))</f>
        <v>R01-B01-GL2-B</v>
      </c>
      <c r="E9" s="74" t="s">
        <v>199</v>
      </c>
      <c r="F9" s="76">
        <v>7.0</v>
      </c>
      <c r="G9" s="73" t="str">
        <f>IF(B9="","",IFERROR(VLOOKUP(B9,'Material Master'!$A$2:$E$201,4,FALSE),""))</f>
        <v>BAG</v>
      </c>
      <c r="H9" s="67" t="s">
        <v>255</v>
      </c>
      <c r="I9" s="67" t="s">
        <v>211</v>
      </c>
      <c r="J9" s="79" t="s">
        <v>256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59">
        <v>46292.0</v>
      </c>
      <c r="B10" s="67" t="s">
        <v>34</v>
      </c>
      <c r="C10" s="73" t="str">
        <f>IF(B10="","",IFERROR(VLOOKUP(B10,'Material Master'!$A$2:$E$201,2,FALSE),""))</f>
        <v>GRANITE_ AVALANCHE</v>
      </c>
      <c r="D10" s="67" t="str">
        <f t="array" ref="D10">IF(B10="","",IFERROR(INDEX('Location Master'!$E$2:$E$502, IFERROR(MATCH(B10,'Location Master'!$G$2:$G$502,0), IFERROR(MATCH(B10&amp;" (*",'Location Master'!$G$2:$G$502,0), MATCH(B10&amp;"*",'Location Master'!$G$2:$G$502,0)))), ""))</f>
        <v>R01-B02-GL1-A</v>
      </c>
      <c r="E10" s="74" t="s">
        <v>186</v>
      </c>
      <c r="F10" s="76">
        <v>50.0</v>
      </c>
      <c r="G10" s="73" t="str">
        <f>IF(B10="","",IFERROR(VLOOKUP(B10,'Material Master'!$A$2:$E$201,4,FALSE),""))</f>
        <v>SQF</v>
      </c>
      <c r="H10" s="67" t="s">
        <v>257</v>
      </c>
      <c r="I10" s="67" t="s">
        <v>191</v>
      </c>
      <c r="J10" s="79" t="s">
        <v>258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59">
        <v>46294.0</v>
      </c>
      <c r="B11" s="67" t="s">
        <v>34</v>
      </c>
      <c r="C11" s="73" t="str">
        <f>IF(B11="","",IFERROR(VLOOKUP(B11,'Material Master'!$A$2:$E$201,2,FALSE),""))</f>
        <v>GRANITE_ AVALANCHE</v>
      </c>
      <c r="D11" s="67" t="str">
        <f t="array" ref="D11">IF(B11="","",IFERROR(INDEX('Location Master'!$E$2:$E$502, IFERROR(MATCH(B11,'Location Master'!$G$2:$G$502,0), IFERROR(MATCH(B11&amp;" (*",'Location Master'!$G$2:$G$502,0), MATCH(B11&amp;"*",'Location Master'!$G$2:$G$502,0)))), ""))</f>
        <v>R01-B02-GL1-A</v>
      </c>
      <c r="E11" s="74" t="s">
        <v>199</v>
      </c>
      <c r="F11" s="76">
        <v>10.87</v>
      </c>
      <c r="G11" s="73" t="str">
        <f>IF(B11="","",IFERROR(VLOOKUP(B11,'Material Master'!$A$2:$E$201,4,FALSE),""))</f>
        <v>SQF</v>
      </c>
      <c r="H11" s="67" t="s">
        <v>259</v>
      </c>
      <c r="I11" s="67" t="s">
        <v>191</v>
      </c>
      <c r="J11" s="79" t="s">
        <v>260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59">
        <v>46293.0</v>
      </c>
      <c r="B12" s="67" t="s">
        <v>47</v>
      </c>
      <c r="C12" s="73" t="str">
        <f>IF(B12="","",IFERROR(VLOOKUP(B12,'Material Master'!$A$2:$E$201,2,FALSE),""))</f>
        <v>SCREW_SELF THREAD_25X6</v>
      </c>
      <c r="D12" s="67" t="str">
        <f t="array" ref="D12">IF(B12="","",IFERROR(INDEX('Location Master'!$E$2:$E$502, IFERROR(MATCH(B12,'Location Master'!$G$2:$G$502,0), IFERROR(MATCH(B12&amp;" (*",'Location Master'!$G$2:$G$502,0), MATCH(B12&amp;"*",'Location Master'!$G$2:$G$502,0)))), ""))</f>
        <v>R01-B02-GL2-A</v>
      </c>
      <c r="E12" s="74" t="s">
        <v>186</v>
      </c>
      <c r="F12" s="76">
        <v>5.0</v>
      </c>
      <c r="G12" s="73" t="str">
        <f>IF(B12="","",IFERROR(VLOOKUP(B12,'Material Master'!$A$2:$E$201,4,FALSE),""))</f>
        <v>PCS</v>
      </c>
      <c r="H12" s="67" t="s">
        <v>261</v>
      </c>
      <c r="I12" s="67" t="s">
        <v>211</v>
      </c>
      <c r="J12" s="79" t="s">
        <v>262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59">
        <v>46295.0</v>
      </c>
      <c r="B13" s="67" t="s">
        <v>47</v>
      </c>
      <c r="C13" s="73" t="str">
        <f>IF(B13="","",IFERROR(VLOOKUP(B13,'Material Master'!$A$2:$E$201,2,FALSE),""))</f>
        <v>SCREW_SELF THREAD_25X6</v>
      </c>
      <c r="D13" s="67" t="str">
        <f t="array" ref="D13">IF(B13="","",IFERROR(INDEX('Location Master'!$E$2:$E$502, IFERROR(MATCH(B13,'Location Master'!$G$2:$G$502,0), IFERROR(MATCH(B13&amp;" (*",'Location Master'!$G$2:$G$502,0), MATCH(B13&amp;"*",'Location Master'!$G$2:$G$502,0)))), ""))</f>
        <v>R01-B02-GL2-A</v>
      </c>
      <c r="E13" s="74" t="s">
        <v>199</v>
      </c>
      <c r="F13" s="76">
        <v>3.0</v>
      </c>
      <c r="G13" s="73" t="str">
        <f>IF(B13="","",IFERROR(VLOOKUP(B13,'Material Master'!$A$2:$E$201,4,FALSE),""))</f>
        <v>PCS</v>
      </c>
      <c r="H13" s="67" t="s">
        <v>263</v>
      </c>
      <c r="I13" s="67" t="s">
        <v>211</v>
      </c>
      <c r="J13" s="79" t="s">
        <v>264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59">
        <v>46293.0</v>
      </c>
      <c r="B14" s="67" t="s">
        <v>51</v>
      </c>
      <c r="C14" s="73" t="str">
        <f>IF(B14="","",IFERROR(VLOOKUP(B14,'Material Master'!$A$2:$E$201,2,FALSE),""))</f>
        <v>SLUE PIPE_20MM</v>
      </c>
      <c r="D14" s="67" t="str">
        <f t="array" ref="D14">IF(B14="","",IFERROR(INDEX('Location Master'!$E$2:$E$502, IFERROR(MATCH(B14,'Location Master'!$G$2:$G$502,0), IFERROR(MATCH(B14&amp;" (*",'Location Master'!$G$2:$G$502,0), MATCH(B14&amp;"*",'Location Master'!$G$2:$G$502,0)))), ""))</f>
        <v>R01-B02-GL2-B</v>
      </c>
      <c r="E14" s="74" t="s">
        <v>186</v>
      </c>
      <c r="F14" s="76">
        <v>4.0</v>
      </c>
      <c r="G14" s="73" t="str">
        <f>IF(B14="","",IFERROR(VLOOKUP(B14,'Material Master'!$A$2:$E$201,4,FALSE),""))</f>
        <v>PCS</v>
      </c>
      <c r="H14" s="67" t="s">
        <v>265</v>
      </c>
      <c r="I14" s="67" t="s">
        <v>191</v>
      </c>
      <c r="J14" s="79" t="s">
        <v>266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59">
        <v>46295.0</v>
      </c>
      <c r="B15" s="67" t="s">
        <v>51</v>
      </c>
      <c r="C15" s="73" t="str">
        <f>IF(B15="","",IFERROR(VLOOKUP(B15,'Material Master'!$A$2:$E$201,2,FALSE),""))</f>
        <v>SLUE PIPE_20MM</v>
      </c>
      <c r="D15" s="67" t="str">
        <f t="array" ref="D15">IF(B15="","",IFERROR(INDEX('Location Master'!$E$2:$E$502, IFERROR(MATCH(B15,'Location Master'!$G$2:$G$502,0), IFERROR(MATCH(B15&amp;" (*",'Location Master'!$G$2:$G$502,0), MATCH(B15&amp;"*",'Location Master'!$G$2:$G$502,0)))), ""))</f>
        <v>R01-B02-GL2-B</v>
      </c>
      <c r="E15" s="74" t="s">
        <v>199</v>
      </c>
      <c r="F15" s="76">
        <v>3.0</v>
      </c>
      <c r="G15" s="73" t="str">
        <f>IF(B15="","",IFERROR(VLOOKUP(B15,'Material Master'!$A$2:$E$201,4,FALSE),""))</f>
        <v>PCS</v>
      </c>
      <c r="H15" s="67" t="s">
        <v>267</v>
      </c>
      <c r="I15" s="67" t="s">
        <v>211</v>
      </c>
      <c r="J15" s="79" t="s">
        <v>268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59">
        <v>46294.0</v>
      </c>
      <c r="B16" s="67" t="s">
        <v>61</v>
      </c>
      <c r="C16" s="73" t="str">
        <f>IF(B16="","",IFERROR(VLOOKUP(B16,'Material Master'!$A$2:$E$201,2,FALSE),""))</f>
        <v>2*10 WIRE NAIL</v>
      </c>
      <c r="D16" s="67" t="str">
        <f t="array" ref="D16">IF(B16="","",IFERROR(INDEX('Location Master'!$E$2:$E$502, IFERROR(MATCH(B16,'Location Master'!$G$2:$G$502,0), IFERROR(MATCH(B16&amp;" (*",'Location Master'!$G$2:$G$502,0), MATCH(B16&amp;"*",'Location Master'!$G$2:$G$502,0)))), ""))</f>
        <v>R01-B01-GL3-A</v>
      </c>
      <c r="E16" s="74" t="s">
        <v>186</v>
      </c>
      <c r="F16" s="76">
        <v>10.0</v>
      </c>
      <c r="G16" s="73" t="str">
        <f>IF(B16="","",IFERROR(VLOOKUP(B16,'Material Master'!$A$2:$E$201,4,FALSE),""))</f>
        <v>PCS</v>
      </c>
      <c r="H16" s="67" t="s">
        <v>269</v>
      </c>
      <c r="I16" s="67" t="s">
        <v>211</v>
      </c>
      <c r="J16" s="79" t="s">
        <v>273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59">
        <v>46295.0</v>
      </c>
      <c r="B17" s="67" t="s">
        <v>61</v>
      </c>
      <c r="C17" s="73" t="str">
        <f>IF(B17="","",IFERROR(VLOOKUP(B17,'Material Master'!$A$2:$E$201,2,FALSE),""))</f>
        <v>2*10 WIRE NAIL</v>
      </c>
      <c r="D17" s="67" t="str">
        <f t="array" ref="D17">IF(B17="","",IFERROR(INDEX('Location Master'!$E$2:$E$502, IFERROR(MATCH(B17,'Location Master'!$G$2:$G$502,0), IFERROR(MATCH(B17&amp;" (*",'Location Master'!$G$2:$G$502,0), MATCH(B17&amp;"*",'Location Master'!$G$2:$G$502,0)))), ""))</f>
        <v>R01-B01-GL3-A</v>
      </c>
      <c r="E17" s="74" t="s">
        <v>199</v>
      </c>
      <c r="F17" s="76">
        <v>6.0</v>
      </c>
      <c r="G17" s="73" t="str">
        <f>IF(B17="","",IFERROR(VLOOKUP(B17,'Material Master'!$A$2:$E$201,4,FALSE),""))</f>
        <v>PCS</v>
      </c>
      <c r="H17" s="67" t="s">
        <v>276</v>
      </c>
      <c r="I17" s="67" t="s">
        <v>191</v>
      </c>
      <c r="J17" s="79" t="s">
        <v>277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59">
        <v>46295.0</v>
      </c>
      <c r="B18" s="104" t="s">
        <v>17</v>
      </c>
      <c r="C18" s="105" t="str">
        <f>IF(B18="","",IFERROR(VLOOKUP(B18,'Material Master'!$A$2:$E$201,2,FALSE),""))</f>
        <v>BUBBLE WRAP</v>
      </c>
      <c r="D18" s="104" t="str">
        <f t="array" ref="D18">IF(B18="","",IFERROR(INDEX('Location Master'!$E$2:$E$502, IFERROR(MATCH(B18,'Location Master'!$G$2:$G$502,0), IFERROR(MATCH(B18&amp;" (*",'Location Master'!$G$2:$G$502,0), MATCH(B18&amp;"*",'Location Master'!$G$2:$G$502,0)))), ""))</f>
        <v>R01-B01-GL1-A1</v>
      </c>
      <c r="E18" s="106" t="s">
        <v>199</v>
      </c>
      <c r="F18" s="107">
        <v>2.0</v>
      </c>
      <c r="G18" s="105" t="str">
        <f>IF(B18="","",IFERROR(VLOOKUP(B18,'Material Master'!$A$2:$E$201,4,FALSE),""))</f>
        <v>PCS</v>
      </c>
      <c r="H18" s="67" t="s">
        <v>201</v>
      </c>
      <c r="I18" s="67" t="s">
        <v>211</v>
      </c>
      <c r="J18" s="79" t="s">
        <v>203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59">
        <v>46295.0</v>
      </c>
      <c r="B19" s="108" t="s">
        <v>101</v>
      </c>
      <c r="C19" s="109" t="str">
        <f>IF(B19="","",IFERROR(VLOOKUP(B19,'Material Master'!$A$2:$E$201,2,FALSE),""))</f>
        <v>ACP_8X4</v>
      </c>
      <c r="D19" s="108" t="str">
        <f t="array" ref="D19">IF(B19="","",IFERROR(INDEX('Location Master'!$E$2:$E$502, IFERROR(MATCH(B19,'Location Master'!$G$2:$G$502,0), IFERROR(MATCH(B19&amp;" (*",'Location Master'!$G$2:$G$502,0), MATCH(B19&amp;"*",'Location Master'!$G$2:$G$502,0)))), ""))</f>
        <v>R01-B01-GL3-B</v>
      </c>
      <c r="E19" s="111" t="s">
        <v>186</v>
      </c>
      <c r="F19" s="112">
        <v>10.0</v>
      </c>
      <c r="G19" s="109" t="str">
        <f>IF(B19="","",IFERROR(VLOOKUP(B19,'Material Master'!$A$2:$E$201,4,FALSE),""))</f>
        <v>PCS</v>
      </c>
      <c r="H19" s="67" t="s">
        <v>217</v>
      </c>
      <c r="I19" s="67" t="s">
        <v>211</v>
      </c>
      <c r="J19" s="79" t="s">
        <v>203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113">
        <v>46295.0</v>
      </c>
      <c r="B20" s="114" t="s">
        <v>17</v>
      </c>
      <c r="C20" s="114" t="str">
        <f>IF(B20="","",IFERROR(VLOOKUP(B20,'Material Master'!$A$2:$E$201,2,FALSE),""))</f>
        <v>BUBBLE WRAP</v>
      </c>
      <c r="D20" s="114" t="str">
        <f t="array" ref="D20">IF(B20="","",IFERROR(INDEX('Location Master'!$E$2:$E$502, IFERROR(MATCH(B20,'Location Master'!$G$2:$G$502,0), IFERROR(MATCH(B20&amp;" (*",'Location Master'!$G$2:$G$502,0), MATCH(B20&amp;"*",'Location Master'!$G$2:$G$502,0)))), ""))</f>
        <v>R01-B01-GL1-A1</v>
      </c>
      <c r="E20" s="116" t="s">
        <v>186</v>
      </c>
      <c r="F20" s="117">
        <v>100.0</v>
      </c>
      <c r="G20" s="114" t="str">
        <f>IF(B20="","",IFERROR(VLOOKUP(B20,'Material Master'!$A$2:$E$201,4,FALSE),""))</f>
        <v>PCS</v>
      </c>
      <c r="H20" s="67" t="s">
        <v>278</v>
      </c>
      <c r="I20" s="114" t="s">
        <v>211</v>
      </c>
      <c r="J20" s="114" t="s">
        <v>279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113">
        <v>46295.0</v>
      </c>
      <c r="B21" s="114" t="s">
        <v>141</v>
      </c>
      <c r="C21" s="114" t="str">
        <f>IF(B21="","",IFERROR(VLOOKUP(B21,'Material Master'!$A$2:$E$201,2,FALSE),""))</f>
        <v>ALL MOTTLED</v>
      </c>
      <c r="D21" s="114" t="str">
        <f t="array" ref="D21">IF(B21="","",IFERROR(INDEX('Location Master'!$E$2:$E$502, IFERROR(MATCH(B21,'Location Master'!$G$2:$G$502,0), IFERROR(MATCH(B21&amp;" (*",'Location Master'!$G$2:$G$502,0), MATCH(B21&amp;"*",'Location Master'!$G$2:$G$502,0)))), ""))</f>
        <v>R01-B02-GL1-B</v>
      </c>
      <c r="E21" s="116" t="s">
        <v>186</v>
      </c>
      <c r="F21" s="117">
        <v>10.0</v>
      </c>
      <c r="G21" s="114" t="str">
        <f>IF(B21="","",IFERROR(VLOOKUP(B21,'Material Master'!$A$2:$E$201,4,FALSE),""))</f>
        <v>PCS</v>
      </c>
      <c r="H21" s="114" t="s">
        <v>280</v>
      </c>
      <c r="I21" s="114" t="s">
        <v>211</v>
      </c>
      <c r="J21" s="114" t="s">
        <v>281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113"/>
      <c r="B22" s="114"/>
      <c r="C22" s="114" t="str">
        <f>IF(B22="","",IFERROR(VLOOKUP(B22,'Material Master'!$A$2:$E$201,2,FALSE),""))</f>
        <v/>
      </c>
      <c r="D22" s="114" t="str">
        <f t="array" ref="D22">IF(B22="","",IFERROR(INDEX('Location Master'!$E$2:$E$502, IFERROR(MATCH(B22,'Location Master'!$G$2:$G$502,0), IFERROR(MATCH(B22&amp;" (*",'Location Master'!$G$2:$G$502,0), MATCH(B22&amp;"*",'Location Master'!$G$2:$G$502,0)))), ""))</f>
        <v/>
      </c>
      <c r="E22" s="116"/>
      <c r="F22" s="117"/>
      <c r="G22" s="114" t="str">
        <f>IF(B22="","",IFERROR(VLOOKUP(B22,'Material Master'!$A$2:$E$201,4,FALSE),""))</f>
        <v/>
      </c>
      <c r="H22" s="114"/>
      <c r="I22" s="114"/>
      <c r="J22" s="11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113"/>
      <c r="B23" s="114"/>
      <c r="C23" s="114" t="str">
        <f>IF(B23="","",IFERROR(VLOOKUP(B23,'Material Master'!$A$2:$E$201,2,FALSE),""))</f>
        <v/>
      </c>
      <c r="D23" s="114" t="str">
        <f t="array" ref="D23">IF(B23="","",IFERROR(INDEX('Location Master'!$E$2:$E$502, IFERROR(MATCH(B23,'Location Master'!$G$2:$G$502,0), IFERROR(MATCH(B23&amp;" (*",'Location Master'!$G$2:$G$502,0), MATCH(B23&amp;"*",'Location Master'!$G$2:$G$502,0)))), ""))</f>
        <v/>
      </c>
      <c r="E23" s="116"/>
      <c r="F23" s="117"/>
      <c r="G23" s="114" t="str">
        <f>IF(B23="","",IFERROR(VLOOKUP(B23,'Material Master'!$A$2:$E$201,4,FALSE),""))</f>
        <v/>
      </c>
      <c r="H23" s="114"/>
      <c r="I23" s="114"/>
      <c r="J23" s="11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113"/>
      <c r="B24" s="114"/>
      <c r="C24" s="114" t="str">
        <f>IF(B24="","",IFERROR(VLOOKUP(B24,'Material Master'!$A$2:$E$201,2,FALSE),""))</f>
        <v/>
      </c>
      <c r="D24" s="114" t="str">
        <f t="array" ref="D24">IF(B24="","",IFERROR(INDEX('Location Master'!$E$2:$E$502, IFERROR(MATCH(B24,'Location Master'!$G$2:$G$502,0), IFERROR(MATCH(B24&amp;" (*",'Location Master'!$G$2:$G$502,0), MATCH(B24&amp;"*",'Location Master'!$G$2:$G$502,0)))), ""))</f>
        <v/>
      </c>
      <c r="E24" s="116"/>
      <c r="F24" s="117"/>
      <c r="G24" s="114" t="str">
        <f>IF(B24="","",IFERROR(VLOOKUP(B24,'Material Master'!$A$2:$E$201,4,FALSE),""))</f>
        <v/>
      </c>
      <c r="H24" s="114"/>
      <c r="I24" s="114"/>
      <c r="J24" s="11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113"/>
      <c r="B25" s="114"/>
      <c r="C25" s="114" t="str">
        <f>IF(B25="","",IFERROR(VLOOKUP(B25,'Material Master'!$A$2:$E$201,2,FALSE),""))</f>
        <v/>
      </c>
      <c r="D25" s="114" t="str">
        <f t="array" ref="D25">IF(B25="","",IFERROR(INDEX('Location Master'!$E$2:$E$502, IFERROR(MATCH(B25,'Location Master'!$G$2:$G$502,0), IFERROR(MATCH(B25&amp;" (*",'Location Master'!$G$2:$G$502,0), MATCH(B25&amp;"*",'Location Master'!$G$2:$G$502,0)))), ""))</f>
        <v/>
      </c>
      <c r="E25" s="116"/>
      <c r="F25" s="117"/>
      <c r="G25" s="114" t="str">
        <f>IF(B25="","",IFERROR(VLOOKUP(B25,'Material Master'!$A$2:$E$201,4,FALSE),""))</f>
        <v/>
      </c>
      <c r="H25" s="114"/>
      <c r="I25" s="114"/>
      <c r="J25" s="11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113"/>
      <c r="B26" s="114"/>
      <c r="C26" s="114" t="str">
        <f>IF(B26="","",IFERROR(VLOOKUP(B26,'Material Master'!$A$2:$E$201,2,FALSE),""))</f>
        <v/>
      </c>
      <c r="D26" s="114" t="str">
        <f t="array" ref="D26">IF(B26="","",IFERROR(INDEX('Location Master'!$E$2:$E$502, IFERROR(MATCH(B26,'Location Master'!$G$2:$G$502,0), IFERROR(MATCH(B26&amp;" (*",'Location Master'!$G$2:$G$502,0), MATCH(B26&amp;"*",'Location Master'!$G$2:$G$502,0)))), ""))</f>
        <v/>
      </c>
      <c r="E26" s="116"/>
      <c r="F26" s="117"/>
      <c r="G26" s="114" t="str">
        <f>IF(B26="","",IFERROR(VLOOKUP(B26,'Material Master'!$A$2:$E$201,4,FALSE),""))</f>
        <v/>
      </c>
      <c r="H26" s="114"/>
      <c r="I26" s="114"/>
      <c r="J26" s="11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113"/>
      <c r="B27" s="114"/>
      <c r="C27" s="114" t="str">
        <f>IF(B27="","",IFERROR(VLOOKUP(B27,'Material Master'!$A$2:$E$201,2,FALSE),""))</f>
        <v/>
      </c>
      <c r="D27" s="114" t="str">
        <f t="array" ref="D27">IF(B27="","",IFERROR(INDEX('Location Master'!$E$2:$E$502, IFERROR(MATCH(B27,'Location Master'!$G$2:$G$502,0), IFERROR(MATCH(B27&amp;" (*",'Location Master'!$G$2:$G$502,0), MATCH(B27&amp;"*",'Location Master'!$G$2:$G$502,0)))), ""))</f>
        <v/>
      </c>
      <c r="E27" s="116"/>
      <c r="F27" s="117"/>
      <c r="G27" s="114" t="str">
        <f>IF(B27="","",IFERROR(VLOOKUP(B27,'Material Master'!$A$2:$E$201,4,FALSE),""))</f>
        <v/>
      </c>
      <c r="H27" s="114"/>
      <c r="I27" s="114"/>
      <c r="J27" s="11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113"/>
      <c r="B28" s="114"/>
      <c r="C28" s="114" t="str">
        <f>IF(B28="","",IFERROR(VLOOKUP(B28,'Material Master'!$A$2:$E$201,2,FALSE),""))</f>
        <v/>
      </c>
      <c r="D28" s="114" t="str">
        <f t="array" ref="D28">IF(B28="","",IFERROR(INDEX('Location Master'!$E$2:$E$502, IFERROR(MATCH(B28,'Location Master'!$G$2:$G$502,0), IFERROR(MATCH(B28&amp;" (*",'Location Master'!$G$2:$G$502,0), MATCH(B28&amp;"*",'Location Master'!$G$2:$G$502,0)))), ""))</f>
        <v/>
      </c>
      <c r="E28" s="116"/>
      <c r="F28" s="117"/>
      <c r="G28" s="114" t="str">
        <f>IF(B28="","",IFERROR(VLOOKUP(B28,'Material Master'!$A$2:$E$201,4,FALSE),""))</f>
        <v/>
      </c>
      <c r="H28" s="114"/>
      <c r="I28" s="114"/>
      <c r="J28" s="11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113"/>
      <c r="B29" s="114"/>
      <c r="C29" s="114" t="str">
        <f>IF(B29="","",IFERROR(VLOOKUP(B29,'Material Master'!$A$2:$E$201,2,FALSE),""))</f>
        <v/>
      </c>
      <c r="D29" s="114" t="str">
        <f t="array" ref="D29">IF(B29="","",IFERROR(INDEX('Location Master'!$E$2:$E$502, IFERROR(MATCH(B29,'Location Master'!$G$2:$G$502,0), IFERROR(MATCH(B29&amp;" (*",'Location Master'!$G$2:$G$502,0), MATCH(B29&amp;"*",'Location Master'!$G$2:$G$502,0)))), ""))</f>
        <v/>
      </c>
      <c r="E29" s="116"/>
      <c r="F29" s="117"/>
      <c r="G29" s="114" t="str">
        <f>IF(B29="","",IFERROR(VLOOKUP(B29,'Material Master'!$A$2:$E$201,4,FALSE),""))</f>
        <v/>
      </c>
      <c r="H29" s="114"/>
      <c r="I29" s="114"/>
      <c r="J29" s="11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113"/>
      <c r="B30" s="114"/>
      <c r="C30" s="114" t="str">
        <f>IF(B30="","",IFERROR(VLOOKUP(B30,'Material Master'!$A$2:$E$201,2,FALSE),""))</f>
        <v/>
      </c>
      <c r="D30" s="114" t="str">
        <f t="array" ref="D30">IF(B30="","",IFERROR(INDEX('Location Master'!$E$2:$E$502, IFERROR(MATCH(B30,'Location Master'!$G$2:$G$502,0), IFERROR(MATCH(B30&amp;" (*",'Location Master'!$G$2:$G$502,0), MATCH(B30&amp;"*",'Location Master'!$G$2:$G$502,0)))), ""))</f>
        <v/>
      </c>
      <c r="E30" s="116"/>
      <c r="F30" s="117"/>
      <c r="G30" s="114" t="str">
        <f>IF(B30="","",IFERROR(VLOOKUP(B30,'Material Master'!$A$2:$E$201,4,FALSE),""))</f>
        <v/>
      </c>
      <c r="H30" s="114"/>
      <c r="I30" s="114"/>
      <c r="J30" s="11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113"/>
      <c r="B31" s="114"/>
      <c r="C31" s="114" t="str">
        <f>IF(B31="","",IFERROR(VLOOKUP(B31,'Material Master'!$A$2:$E$201,2,FALSE),""))</f>
        <v/>
      </c>
      <c r="D31" s="114" t="str">
        <f t="array" ref="D31">IF(B31="","",IFERROR(INDEX('Location Master'!$E$2:$E$502, IFERROR(MATCH(B31,'Location Master'!$G$2:$G$502,0), IFERROR(MATCH(B31&amp;" (*",'Location Master'!$G$2:$G$502,0), MATCH(B31&amp;"*",'Location Master'!$G$2:$G$502,0)))), ""))</f>
        <v/>
      </c>
      <c r="E31" s="116"/>
      <c r="F31" s="117"/>
      <c r="G31" s="114" t="str">
        <f>IF(B31="","",IFERROR(VLOOKUP(B31,'Material Master'!$A$2:$E$201,4,FALSE),""))</f>
        <v/>
      </c>
      <c r="H31" s="114"/>
      <c r="I31" s="114"/>
      <c r="J31" s="11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113"/>
      <c r="B32" s="114"/>
      <c r="C32" s="114" t="str">
        <f>IF(B32="","",IFERROR(VLOOKUP(B32,'Material Master'!$A$2:$E$201,2,FALSE),""))</f>
        <v/>
      </c>
      <c r="D32" s="114" t="str">
        <f t="array" ref="D32">IF(B32="","",IFERROR(INDEX('Location Master'!$E$2:$E$502, IFERROR(MATCH(B32,'Location Master'!$G$2:$G$502,0), IFERROR(MATCH(B32&amp;" (*",'Location Master'!$G$2:$G$502,0), MATCH(B32&amp;"*",'Location Master'!$G$2:$G$502,0)))), ""))</f>
        <v/>
      </c>
      <c r="E32" s="116"/>
      <c r="F32" s="117"/>
      <c r="G32" s="114" t="str">
        <f>IF(B32="","",IFERROR(VLOOKUP(B32,'Material Master'!$A$2:$E$201,4,FALSE),""))</f>
        <v/>
      </c>
      <c r="H32" s="114"/>
      <c r="I32" s="114"/>
      <c r="J32" s="11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113"/>
      <c r="B33" s="114"/>
      <c r="C33" s="114" t="str">
        <f>IF(B33="","",IFERROR(VLOOKUP(B33,'Material Master'!$A$2:$E$201,2,FALSE),""))</f>
        <v/>
      </c>
      <c r="D33" s="114" t="str">
        <f t="array" ref="D33">IF(B33="","",IFERROR(INDEX('Location Master'!$E$2:$E$502, IFERROR(MATCH(B33,'Location Master'!$G$2:$G$502,0), IFERROR(MATCH(B33&amp;" (*",'Location Master'!$G$2:$G$502,0), MATCH(B33&amp;"*",'Location Master'!$G$2:$G$502,0)))), ""))</f>
        <v/>
      </c>
      <c r="E33" s="116"/>
      <c r="F33" s="117"/>
      <c r="G33" s="114" t="str">
        <f>IF(B33="","",IFERROR(VLOOKUP(B33,'Material Master'!$A$2:$E$201,4,FALSE),""))</f>
        <v/>
      </c>
      <c r="H33" s="114"/>
      <c r="I33" s="114"/>
      <c r="J33" s="11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113"/>
      <c r="B34" s="114"/>
      <c r="C34" s="114" t="str">
        <f>IF(B34="","",IFERROR(VLOOKUP(B34,'Material Master'!$A$2:$E$201,2,FALSE),""))</f>
        <v/>
      </c>
      <c r="D34" s="114" t="str">
        <f t="array" ref="D34">IF(B34="","",IFERROR(INDEX('Location Master'!$E$2:$E$502, IFERROR(MATCH(B34,'Location Master'!$G$2:$G$502,0), IFERROR(MATCH(B34&amp;" (*",'Location Master'!$G$2:$G$502,0), MATCH(B34&amp;"*",'Location Master'!$G$2:$G$502,0)))), ""))</f>
        <v/>
      </c>
      <c r="E34" s="116"/>
      <c r="F34" s="117"/>
      <c r="G34" s="114" t="str">
        <f>IF(B34="","",IFERROR(VLOOKUP(B34,'Material Master'!$A$2:$E$201,4,FALSE),""))</f>
        <v/>
      </c>
      <c r="H34" s="114"/>
      <c r="I34" s="114"/>
      <c r="J34" s="11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113"/>
      <c r="B35" s="114"/>
      <c r="C35" s="114" t="str">
        <f>IF(B35="","",IFERROR(VLOOKUP(B35,'Material Master'!$A$2:$E$201,2,FALSE),""))</f>
        <v/>
      </c>
      <c r="D35" s="114" t="str">
        <f t="array" ref="D35">IF(B35="","",IFERROR(INDEX('Location Master'!$E$2:$E$502, IFERROR(MATCH(B35,'Location Master'!$G$2:$G$502,0), IFERROR(MATCH(B35&amp;" (*",'Location Master'!$G$2:$G$502,0), MATCH(B35&amp;"*",'Location Master'!$G$2:$G$502,0)))), ""))</f>
        <v/>
      </c>
      <c r="E35" s="116"/>
      <c r="F35" s="117"/>
      <c r="G35" s="114" t="str">
        <f>IF(B35="","",IFERROR(VLOOKUP(B35,'Material Master'!$A$2:$E$201,4,FALSE),""))</f>
        <v/>
      </c>
      <c r="H35" s="114"/>
      <c r="I35" s="114"/>
      <c r="J35" s="11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113"/>
      <c r="B36" s="114"/>
      <c r="C36" s="114" t="str">
        <f>IF(B36="","",IFERROR(VLOOKUP(B36,'Material Master'!$A$2:$E$201,2,FALSE),""))</f>
        <v/>
      </c>
      <c r="D36" s="114" t="str">
        <f t="array" ref="D36">IF(B36="","",IFERROR(INDEX('Location Master'!$E$2:$E$502, IFERROR(MATCH(B36,'Location Master'!$G$2:$G$502,0), IFERROR(MATCH(B36&amp;" (*",'Location Master'!$G$2:$G$502,0), MATCH(B36&amp;"*",'Location Master'!$G$2:$G$502,0)))), ""))</f>
        <v/>
      </c>
      <c r="E36" s="116"/>
      <c r="F36" s="117"/>
      <c r="G36" s="114" t="str">
        <f>IF(B36="","",IFERROR(VLOOKUP(B36,'Material Master'!$A$2:$E$201,4,FALSE),""))</f>
        <v/>
      </c>
      <c r="H36" s="114"/>
      <c r="I36" s="114"/>
      <c r="J36" s="11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113"/>
      <c r="B37" s="114"/>
      <c r="C37" s="114" t="str">
        <f>IF(B37="","",IFERROR(VLOOKUP(B37,'Material Master'!$A$2:$E$201,2,FALSE),""))</f>
        <v/>
      </c>
      <c r="D37" s="114" t="str">
        <f t="array" ref="D37">IF(B37="","",IFERROR(INDEX('Location Master'!$E$2:$E$502, IFERROR(MATCH(B37,'Location Master'!$G$2:$G$502,0), IFERROR(MATCH(B37&amp;" (*",'Location Master'!$G$2:$G$502,0), MATCH(B37&amp;"*",'Location Master'!$G$2:$G$502,0)))), ""))</f>
        <v/>
      </c>
      <c r="E37" s="116"/>
      <c r="F37" s="117"/>
      <c r="G37" s="114" t="str">
        <f>IF(B37="","",IFERROR(VLOOKUP(B37,'Material Master'!$A$2:$E$201,4,FALSE),""))</f>
        <v/>
      </c>
      <c r="H37" s="114"/>
      <c r="I37" s="114"/>
      <c r="J37" s="11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113"/>
      <c r="B38" s="114"/>
      <c r="C38" s="114" t="str">
        <f>IF(B38="","",IFERROR(VLOOKUP(B38,'Material Master'!$A$2:$E$201,2,FALSE),""))</f>
        <v/>
      </c>
      <c r="D38" s="114" t="str">
        <f t="array" ref="D38">IF(B38="","",IFERROR(INDEX('Location Master'!$E$2:$E$502, IFERROR(MATCH(B38,'Location Master'!$G$2:$G$502,0), IFERROR(MATCH(B38&amp;" (*",'Location Master'!$G$2:$G$502,0), MATCH(B38&amp;"*",'Location Master'!$G$2:$G$502,0)))), ""))</f>
        <v/>
      </c>
      <c r="E38" s="116"/>
      <c r="F38" s="117"/>
      <c r="G38" s="114" t="str">
        <f>IF(B38="","",IFERROR(VLOOKUP(B38,'Material Master'!$A$2:$E$201,4,FALSE),""))</f>
        <v/>
      </c>
      <c r="H38" s="114"/>
      <c r="I38" s="114"/>
      <c r="J38" s="11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113"/>
      <c r="B39" s="114"/>
      <c r="C39" s="114" t="str">
        <f>IF(B39="","",IFERROR(VLOOKUP(B39,'Material Master'!$A$2:$E$201,2,FALSE),""))</f>
        <v/>
      </c>
      <c r="D39" s="114" t="str">
        <f t="array" ref="D39">IF(B39="","",IFERROR(INDEX('Location Master'!$E$2:$E$502, IFERROR(MATCH(B39,'Location Master'!$G$2:$G$502,0), IFERROR(MATCH(B39&amp;" (*",'Location Master'!$G$2:$G$502,0), MATCH(B39&amp;"*",'Location Master'!$G$2:$G$502,0)))), ""))</f>
        <v/>
      </c>
      <c r="E39" s="116"/>
      <c r="F39" s="117"/>
      <c r="G39" s="114" t="str">
        <f>IF(B39="","",IFERROR(VLOOKUP(B39,'Material Master'!$A$2:$E$201,4,FALSE),""))</f>
        <v/>
      </c>
      <c r="H39" s="114"/>
      <c r="I39" s="114"/>
      <c r="J39" s="11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113"/>
      <c r="B40" s="114"/>
      <c r="C40" s="114" t="str">
        <f>IF(B40="","",IFERROR(VLOOKUP(B40,'Material Master'!$A$2:$E$201,2,FALSE),""))</f>
        <v/>
      </c>
      <c r="D40" s="114" t="str">
        <f t="array" ref="D40">IF(B40="","",IFERROR(INDEX('Location Master'!$E$2:$E$502, IFERROR(MATCH(B40,'Location Master'!$G$2:$G$502,0), IFERROR(MATCH(B40&amp;" (*",'Location Master'!$G$2:$G$502,0), MATCH(B40&amp;"*",'Location Master'!$G$2:$G$502,0)))), ""))</f>
        <v/>
      </c>
      <c r="E40" s="116"/>
      <c r="F40" s="117"/>
      <c r="G40" s="114" t="str">
        <f>IF(B40="","",IFERROR(VLOOKUP(B40,'Material Master'!$A$2:$E$201,4,FALSE),""))</f>
        <v/>
      </c>
      <c r="H40" s="114"/>
      <c r="I40" s="114"/>
      <c r="J40" s="11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113"/>
      <c r="B41" s="114"/>
      <c r="C41" s="114" t="str">
        <f>IF(B41="","",IFERROR(VLOOKUP(B41,'Material Master'!$A$2:$E$201,2,FALSE),""))</f>
        <v/>
      </c>
      <c r="D41" s="114" t="str">
        <f t="array" ref="D41">IF(B41="","",IFERROR(INDEX('Location Master'!$E$2:$E$502, IFERROR(MATCH(B41,'Location Master'!$G$2:$G$502,0), IFERROR(MATCH(B41&amp;" (*",'Location Master'!$G$2:$G$502,0), MATCH(B41&amp;"*",'Location Master'!$G$2:$G$502,0)))), ""))</f>
        <v/>
      </c>
      <c r="E41" s="116"/>
      <c r="F41" s="117"/>
      <c r="G41" s="114" t="str">
        <f>IF(B41="","",IFERROR(VLOOKUP(B41,'Material Master'!$A$2:$E$201,4,FALSE),""))</f>
        <v/>
      </c>
      <c r="H41" s="114"/>
      <c r="I41" s="114"/>
      <c r="J41" s="11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113"/>
      <c r="B42" s="114"/>
      <c r="C42" s="114" t="str">
        <f>IF(B42="","",IFERROR(VLOOKUP(B42,'Material Master'!$A$2:$E$201,2,FALSE),""))</f>
        <v/>
      </c>
      <c r="D42" s="114" t="str">
        <f t="array" ref="D42">IF(B42="","",IFERROR(INDEX('Location Master'!$E$2:$E$502, IFERROR(MATCH(B42,'Location Master'!$G$2:$G$502,0), IFERROR(MATCH(B42&amp;" (*",'Location Master'!$G$2:$G$502,0), MATCH(B42&amp;"*",'Location Master'!$G$2:$G$502,0)))), ""))</f>
        <v/>
      </c>
      <c r="E42" s="116"/>
      <c r="F42" s="117"/>
      <c r="G42" s="114" t="str">
        <f>IF(B42="","",IFERROR(VLOOKUP(B42,'Material Master'!$A$2:$E$201,4,FALSE),""))</f>
        <v/>
      </c>
      <c r="H42" s="114"/>
      <c r="I42" s="114"/>
      <c r="J42" s="11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113"/>
      <c r="B43" s="114"/>
      <c r="C43" s="114" t="str">
        <f>IF(B43="","",IFERROR(VLOOKUP(B43,'Material Master'!$A$2:$E$201,2,FALSE),""))</f>
        <v/>
      </c>
      <c r="D43" s="114" t="str">
        <f t="array" ref="D43">IF(B43="","",IFERROR(INDEX('Location Master'!$E$2:$E$502, IFERROR(MATCH(B43,'Location Master'!$G$2:$G$502,0), IFERROR(MATCH(B43&amp;" (*",'Location Master'!$G$2:$G$502,0), MATCH(B43&amp;"*",'Location Master'!$G$2:$G$502,0)))), ""))</f>
        <v/>
      </c>
      <c r="E43" s="116"/>
      <c r="F43" s="117"/>
      <c r="G43" s="114" t="str">
        <f>IF(B43="","",IFERROR(VLOOKUP(B43,'Material Master'!$A$2:$E$201,4,FALSE),""))</f>
        <v/>
      </c>
      <c r="H43" s="114"/>
      <c r="I43" s="114"/>
      <c r="J43" s="11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113"/>
      <c r="B44" s="114"/>
      <c r="C44" s="114" t="str">
        <f>IF(B44="","",IFERROR(VLOOKUP(B44,'Material Master'!$A$2:$E$201,2,FALSE),""))</f>
        <v/>
      </c>
      <c r="D44" s="114" t="str">
        <f t="array" ref="D44">IF(B44="","",IFERROR(INDEX('Location Master'!$E$2:$E$502, IFERROR(MATCH(B44,'Location Master'!$G$2:$G$502,0), IFERROR(MATCH(B44&amp;" (*",'Location Master'!$G$2:$G$502,0), MATCH(B44&amp;"*",'Location Master'!$G$2:$G$502,0)))), ""))</f>
        <v/>
      </c>
      <c r="E44" s="116"/>
      <c r="F44" s="117"/>
      <c r="G44" s="114" t="str">
        <f>IF(B44="","",IFERROR(VLOOKUP(B44,'Material Master'!$A$2:$E$201,4,FALSE),""))</f>
        <v/>
      </c>
      <c r="H44" s="114"/>
      <c r="I44" s="114"/>
      <c r="J44" s="11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113"/>
      <c r="B45" s="114"/>
      <c r="C45" s="114" t="str">
        <f>IF(B45="","",IFERROR(VLOOKUP(B45,'Material Master'!$A$2:$E$201,2,FALSE),""))</f>
        <v/>
      </c>
      <c r="D45" s="114" t="str">
        <f t="array" ref="D45">IF(B45="","",IFERROR(INDEX('Location Master'!$E$2:$E$502, IFERROR(MATCH(B45,'Location Master'!$G$2:$G$502,0), IFERROR(MATCH(B45&amp;" (*",'Location Master'!$G$2:$G$502,0), MATCH(B45&amp;"*",'Location Master'!$G$2:$G$502,0)))), ""))</f>
        <v/>
      </c>
      <c r="E45" s="116"/>
      <c r="F45" s="117"/>
      <c r="G45" s="114" t="str">
        <f>IF(B45="","",IFERROR(VLOOKUP(B45,'Material Master'!$A$2:$E$201,4,FALSE),""))</f>
        <v/>
      </c>
      <c r="H45" s="114"/>
      <c r="I45" s="114"/>
      <c r="J45" s="11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113"/>
      <c r="B46" s="114"/>
      <c r="C46" s="114" t="str">
        <f>IF(B46="","",IFERROR(VLOOKUP(B46,'Material Master'!$A$2:$E$201,2,FALSE),""))</f>
        <v/>
      </c>
      <c r="D46" s="114" t="str">
        <f t="array" ref="D46">IF(B46="","",IFERROR(INDEX('Location Master'!$E$2:$E$502, IFERROR(MATCH(B46,'Location Master'!$G$2:$G$502,0), IFERROR(MATCH(B46&amp;" (*",'Location Master'!$G$2:$G$502,0), MATCH(B46&amp;"*",'Location Master'!$G$2:$G$502,0)))), ""))</f>
        <v/>
      </c>
      <c r="E46" s="116"/>
      <c r="F46" s="117"/>
      <c r="G46" s="114" t="str">
        <f>IF(B46="","",IFERROR(VLOOKUP(B46,'Material Master'!$A$2:$E$201,4,FALSE),""))</f>
        <v/>
      </c>
      <c r="H46" s="114"/>
      <c r="I46" s="114"/>
      <c r="J46" s="11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113"/>
      <c r="B47" s="114"/>
      <c r="C47" s="114" t="str">
        <f>IF(B47="","",IFERROR(VLOOKUP(B47,'Material Master'!$A$2:$E$201,2,FALSE),""))</f>
        <v/>
      </c>
      <c r="D47" s="114" t="str">
        <f t="array" ref="D47">IF(B47="","",IFERROR(INDEX('Location Master'!$E$2:$E$502, IFERROR(MATCH(B47,'Location Master'!$G$2:$G$502,0), IFERROR(MATCH(B47&amp;" (*",'Location Master'!$G$2:$G$502,0), MATCH(B47&amp;"*",'Location Master'!$G$2:$G$502,0)))), ""))</f>
        <v/>
      </c>
      <c r="E47" s="116"/>
      <c r="F47" s="117"/>
      <c r="G47" s="114" t="str">
        <f>IF(B47="","",IFERROR(VLOOKUP(B47,'Material Master'!$A$2:$E$201,4,FALSE),""))</f>
        <v/>
      </c>
      <c r="H47" s="114"/>
      <c r="I47" s="114"/>
      <c r="J47" s="11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113"/>
      <c r="B48" s="114"/>
      <c r="C48" s="114" t="str">
        <f>IF(B48="","",IFERROR(VLOOKUP(B48,'Material Master'!$A$2:$E$201,2,FALSE),""))</f>
        <v/>
      </c>
      <c r="D48" s="114" t="str">
        <f t="array" ref="D48">IF(B48="","",IFERROR(INDEX('Location Master'!$E$2:$E$502, IFERROR(MATCH(B48,'Location Master'!$G$2:$G$502,0), IFERROR(MATCH(B48&amp;" (*",'Location Master'!$G$2:$G$502,0), MATCH(B48&amp;"*",'Location Master'!$G$2:$G$502,0)))), ""))</f>
        <v/>
      </c>
      <c r="E48" s="116"/>
      <c r="F48" s="117"/>
      <c r="G48" s="114" t="str">
        <f>IF(B48="","",IFERROR(VLOOKUP(B48,'Material Master'!$A$2:$E$201,4,FALSE),""))</f>
        <v/>
      </c>
      <c r="H48" s="114"/>
      <c r="I48" s="114"/>
      <c r="J48" s="11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113"/>
      <c r="B49" s="114"/>
      <c r="C49" s="114" t="str">
        <f>IF(B49="","",IFERROR(VLOOKUP(B49,'Material Master'!$A$2:$E$201,2,FALSE),""))</f>
        <v/>
      </c>
      <c r="D49" s="114" t="str">
        <f t="array" ref="D49">IF(B49="","",IFERROR(INDEX('Location Master'!$E$2:$E$502, IFERROR(MATCH(B49,'Location Master'!$G$2:$G$502,0), IFERROR(MATCH(B49&amp;" (*",'Location Master'!$G$2:$G$502,0), MATCH(B49&amp;"*",'Location Master'!$G$2:$G$502,0)))), ""))</f>
        <v/>
      </c>
      <c r="E49" s="116"/>
      <c r="F49" s="117"/>
      <c r="G49" s="114" t="str">
        <f>IF(B49="","",IFERROR(VLOOKUP(B49,'Material Master'!$A$2:$E$201,4,FALSE),""))</f>
        <v/>
      </c>
      <c r="H49" s="114"/>
      <c r="I49" s="114"/>
      <c r="J49" s="11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113"/>
      <c r="B50" s="114"/>
      <c r="C50" s="114" t="str">
        <f>IF(B50="","",IFERROR(VLOOKUP(B50,'Material Master'!$A$2:$E$201,2,FALSE),""))</f>
        <v/>
      </c>
      <c r="D50" s="114" t="str">
        <f t="array" ref="D50">IF(B50="","",IFERROR(INDEX('Location Master'!$E$2:$E$502, IFERROR(MATCH(B50,'Location Master'!$G$2:$G$502,0), IFERROR(MATCH(B50&amp;" (*",'Location Master'!$G$2:$G$502,0), MATCH(B50&amp;"*",'Location Master'!$G$2:$G$502,0)))), ""))</f>
        <v/>
      </c>
      <c r="E50" s="116"/>
      <c r="F50" s="117"/>
      <c r="G50" s="114" t="str">
        <f>IF(B50="","",IFERROR(VLOOKUP(B50,'Material Master'!$A$2:$E$201,4,FALSE),""))</f>
        <v/>
      </c>
      <c r="H50" s="114"/>
      <c r="I50" s="114"/>
      <c r="J50" s="11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113"/>
      <c r="B51" s="114"/>
      <c r="C51" s="114" t="str">
        <f>IF(B51="","",IFERROR(VLOOKUP(B51,'Material Master'!$A$2:$E$201,2,FALSE),""))</f>
        <v/>
      </c>
      <c r="D51" s="114" t="str">
        <f t="array" ref="D51">IF(B51="","",IFERROR(INDEX('Location Master'!$E$2:$E$502, IFERROR(MATCH(B51,'Location Master'!$G$2:$G$502,0), IFERROR(MATCH(B51&amp;" (*",'Location Master'!$G$2:$G$502,0), MATCH(B51&amp;"*",'Location Master'!$G$2:$G$502,0)))), ""))</f>
        <v/>
      </c>
      <c r="E51" s="116"/>
      <c r="F51" s="117"/>
      <c r="G51" s="114" t="str">
        <f>IF(B51="","",IFERROR(VLOOKUP(B51,'Material Master'!$A$2:$E$201,4,FALSE),""))</f>
        <v/>
      </c>
      <c r="H51" s="114"/>
      <c r="I51" s="114"/>
      <c r="J51" s="11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113"/>
      <c r="B52" s="114"/>
      <c r="C52" s="114" t="str">
        <f>IF(B52="","",IFERROR(VLOOKUP(B52,'Material Master'!$A$2:$E$201,2,FALSE),""))</f>
        <v/>
      </c>
      <c r="D52" s="114" t="str">
        <f t="array" ref="D52">IF(B52="","",IFERROR(INDEX('Location Master'!$E$2:$E$502, IFERROR(MATCH(B52,'Location Master'!$G$2:$G$502,0), IFERROR(MATCH(B52&amp;" (*",'Location Master'!$G$2:$G$502,0), MATCH(B52&amp;"*",'Location Master'!$G$2:$G$502,0)))), ""))</f>
        <v/>
      </c>
      <c r="E52" s="116"/>
      <c r="F52" s="117"/>
      <c r="G52" s="114" t="str">
        <f>IF(B52="","",IFERROR(VLOOKUP(B52,'Material Master'!$A$2:$E$201,4,FALSE),""))</f>
        <v/>
      </c>
      <c r="H52" s="114"/>
      <c r="I52" s="114"/>
      <c r="J52" s="11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113"/>
      <c r="B53" s="114"/>
      <c r="C53" s="114" t="str">
        <f>IF(B53="","",IFERROR(VLOOKUP(B53,'Material Master'!$A$2:$E$201,2,FALSE),""))</f>
        <v/>
      </c>
      <c r="D53" s="114" t="str">
        <f t="array" ref="D53">IF(B53="","",IFERROR(INDEX('Location Master'!$E$2:$E$502, IFERROR(MATCH(B53,'Location Master'!$G$2:$G$502,0), IFERROR(MATCH(B53&amp;" (*",'Location Master'!$G$2:$G$502,0), MATCH(B53&amp;"*",'Location Master'!$G$2:$G$502,0)))), ""))</f>
        <v/>
      </c>
      <c r="E53" s="116"/>
      <c r="F53" s="117"/>
      <c r="G53" s="114" t="str">
        <f>IF(B53="","",IFERROR(VLOOKUP(B53,'Material Master'!$A$2:$E$201,4,FALSE),""))</f>
        <v/>
      </c>
      <c r="H53" s="114"/>
      <c r="I53" s="114"/>
      <c r="J53" s="11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113"/>
      <c r="B54" s="114"/>
      <c r="C54" s="114" t="str">
        <f>IF(B54="","",IFERROR(VLOOKUP(B54,'Material Master'!$A$2:$E$201,2,FALSE),""))</f>
        <v/>
      </c>
      <c r="D54" s="114" t="str">
        <f t="array" ref="D54">IF(B54="","",IFERROR(INDEX('Location Master'!$E$2:$E$502, IFERROR(MATCH(B54,'Location Master'!$G$2:$G$502,0), IFERROR(MATCH(B54&amp;" (*",'Location Master'!$G$2:$G$502,0), MATCH(B54&amp;"*",'Location Master'!$G$2:$G$502,0)))), ""))</f>
        <v/>
      </c>
      <c r="E54" s="116"/>
      <c r="F54" s="117"/>
      <c r="G54" s="114" t="str">
        <f>IF(B54="","",IFERROR(VLOOKUP(B54,'Material Master'!$A$2:$E$201,4,FALSE),""))</f>
        <v/>
      </c>
      <c r="H54" s="114"/>
      <c r="I54" s="114"/>
      <c r="J54" s="11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113"/>
      <c r="B55" s="114"/>
      <c r="C55" s="114" t="str">
        <f>IF(B55="","",IFERROR(VLOOKUP(B55,'Material Master'!$A$2:$E$201,2,FALSE),""))</f>
        <v/>
      </c>
      <c r="D55" s="114" t="str">
        <f t="array" ref="D55">IF(B55="","",IFERROR(INDEX('Location Master'!$E$2:$E$502, IFERROR(MATCH(B55,'Location Master'!$G$2:$G$502,0), IFERROR(MATCH(B55&amp;" (*",'Location Master'!$G$2:$G$502,0), MATCH(B55&amp;"*",'Location Master'!$G$2:$G$502,0)))), ""))</f>
        <v/>
      </c>
      <c r="E55" s="116"/>
      <c r="F55" s="117"/>
      <c r="G55" s="114" t="str">
        <f>IF(B55="","",IFERROR(VLOOKUP(B55,'Material Master'!$A$2:$E$201,4,FALSE),""))</f>
        <v/>
      </c>
      <c r="H55" s="114"/>
      <c r="I55" s="114"/>
      <c r="J55" s="11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113"/>
      <c r="B56" s="114"/>
      <c r="C56" s="114" t="str">
        <f>IF(B56="","",IFERROR(VLOOKUP(B56,'Material Master'!$A$2:$E$201,2,FALSE),""))</f>
        <v/>
      </c>
      <c r="D56" s="114" t="str">
        <f t="array" ref="D56">IF(B56="","",IFERROR(INDEX('Location Master'!$E$2:$E$502, IFERROR(MATCH(B56,'Location Master'!$G$2:$G$502,0), IFERROR(MATCH(B56&amp;" (*",'Location Master'!$G$2:$G$502,0), MATCH(B56&amp;"*",'Location Master'!$G$2:$G$502,0)))), ""))</f>
        <v/>
      </c>
      <c r="E56" s="116"/>
      <c r="F56" s="117"/>
      <c r="G56" s="114" t="str">
        <f>IF(B56="","",IFERROR(VLOOKUP(B56,'Material Master'!$A$2:$E$201,4,FALSE),""))</f>
        <v/>
      </c>
      <c r="H56" s="114"/>
      <c r="I56" s="114"/>
      <c r="J56" s="11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113"/>
      <c r="B57" s="114"/>
      <c r="C57" s="114" t="str">
        <f>IF(B57="","",IFERROR(VLOOKUP(B57,'Material Master'!$A$2:$E$201,2,FALSE),""))</f>
        <v/>
      </c>
      <c r="D57" s="114" t="str">
        <f t="array" ref="D57">IF(B57="","",IFERROR(INDEX('Location Master'!$E$2:$E$502, IFERROR(MATCH(B57,'Location Master'!$G$2:$G$502,0), IFERROR(MATCH(B57&amp;" (*",'Location Master'!$G$2:$G$502,0), MATCH(B57&amp;"*",'Location Master'!$G$2:$G$502,0)))), ""))</f>
        <v/>
      </c>
      <c r="E57" s="116"/>
      <c r="F57" s="117"/>
      <c r="G57" s="114" t="str">
        <f>IF(B57="","",IFERROR(VLOOKUP(B57,'Material Master'!$A$2:$E$201,4,FALSE),""))</f>
        <v/>
      </c>
      <c r="H57" s="114"/>
      <c r="I57" s="114"/>
      <c r="J57" s="11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113"/>
      <c r="B58" s="114"/>
      <c r="C58" s="114" t="str">
        <f>IF(B58="","",IFERROR(VLOOKUP(B58,'Material Master'!$A$2:$E$201,2,FALSE),""))</f>
        <v/>
      </c>
      <c r="D58" s="114" t="str">
        <f t="array" ref="D58">IF(B58="","",IFERROR(INDEX('Location Master'!$E$2:$E$502, IFERROR(MATCH(B58,'Location Master'!$G$2:$G$502,0), IFERROR(MATCH(B58&amp;" (*",'Location Master'!$G$2:$G$502,0), MATCH(B58&amp;"*",'Location Master'!$G$2:$G$502,0)))), ""))</f>
        <v/>
      </c>
      <c r="E58" s="116"/>
      <c r="F58" s="117"/>
      <c r="G58" s="114" t="str">
        <f>IF(B58="","",IFERROR(VLOOKUP(B58,'Material Master'!$A$2:$E$201,4,FALSE),""))</f>
        <v/>
      </c>
      <c r="H58" s="114"/>
      <c r="I58" s="114"/>
      <c r="J58" s="11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113"/>
      <c r="B59" s="114"/>
      <c r="C59" s="114" t="str">
        <f>IF(B59="","",IFERROR(VLOOKUP(B59,'Material Master'!$A$2:$E$201,2,FALSE),""))</f>
        <v/>
      </c>
      <c r="D59" s="114" t="str">
        <f t="array" ref="D59">IF(B59="","",IFERROR(INDEX('Location Master'!$E$2:$E$502, IFERROR(MATCH(B59,'Location Master'!$G$2:$G$502,0), IFERROR(MATCH(B59&amp;" (*",'Location Master'!$G$2:$G$502,0), MATCH(B59&amp;"*",'Location Master'!$G$2:$G$502,0)))), ""))</f>
        <v/>
      </c>
      <c r="E59" s="116"/>
      <c r="F59" s="117"/>
      <c r="G59" s="114" t="str">
        <f>IF(B59="","",IFERROR(VLOOKUP(B59,'Material Master'!$A$2:$E$201,4,FALSE),""))</f>
        <v/>
      </c>
      <c r="H59" s="114"/>
      <c r="I59" s="114"/>
      <c r="J59" s="11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113"/>
      <c r="B60" s="114"/>
      <c r="C60" s="114" t="str">
        <f>IF(B60="","",IFERROR(VLOOKUP(B60,'Material Master'!$A$2:$E$201,2,FALSE),""))</f>
        <v/>
      </c>
      <c r="D60" s="114" t="str">
        <f t="array" ref="D60">IF(B60="","",IFERROR(INDEX('Location Master'!$E$2:$E$502, IFERROR(MATCH(B60,'Location Master'!$G$2:$G$502,0), IFERROR(MATCH(B60&amp;" (*",'Location Master'!$G$2:$G$502,0), MATCH(B60&amp;"*",'Location Master'!$G$2:$G$502,0)))), ""))</f>
        <v/>
      </c>
      <c r="E60" s="116"/>
      <c r="F60" s="117"/>
      <c r="G60" s="114" t="str">
        <f>IF(B60="","",IFERROR(VLOOKUP(B60,'Material Master'!$A$2:$E$201,4,FALSE),""))</f>
        <v/>
      </c>
      <c r="H60" s="114"/>
      <c r="I60" s="114"/>
      <c r="J60" s="11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113"/>
      <c r="B61" s="114"/>
      <c r="C61" s="114" t="str">
        <f>IF(B61="","",IFERROR(VLOOKUP(B61,'Material Master'!$A$2:$E$201,2,FALSE),""))</f>
        <v/>
      </c>
      <c r="D61" s="114" t="str">
        <f t="array" ref="D61">IF(B61="","",IFERROR(INDEX('Location Master'!$E$2:$E$502, IFERROR(MATCH(B61,'Location Master'!$G$2:$G$502,0), IFERROR(MATCH(B61&amp;" (*",'Location Master'!$G$2:$G$502,0), MATCH(B61&amp;"*",'Location Master'!$G$2:$G$502,0)))), ""))</f>
        <v/>
      </c>
      <c r="E61" s="116"/>
      <c r="F61" s="117"/>
      <c r="G61" s="114" t="str">
        <f>IF(B61="","",IFERROR(VLOOKUP(B61,'Material Master'!$A$2:$E$201,4,FALSE),""))</f>
        <v/>
      </c>
      <c r="H61" s="114"/>
      <c r="I61" s="114"/>
      <c r="J61" s="11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113"/>
      <c r="B62" s="114"/>
      <c r="C62" s="114" t="str">
        <f>IF(B62="","",IFERROR(VLOOKUP(B62,'Material Master'!$A$2:$E$201,2,FALSE),""))</f>
        <v/>
      </c>
      <c r="D62" s="114" t="str">
        <f t="array" ref="D62">IF(B62="","",IFERROR(INDEX('Location Master'!$E$2:$E$502, IFERROR(MATCH(B62,'Location Master'!$G$2:$G$502,0), IFERROR(MATCH(B62&amp;" (*",'Location Master'!$G$2:$G$502,0), MATCH(B62&amp;"*",'Location Master'!$G$2:$G$502,0)))), ""))</f>
        <v/>
      </c>
      <c r="E62" s="116"/>
      <c r="F62" s="117"/>
      <c r="G62" s="114" t="str">
        <f>IF(B62="","",IFERROR(VLOOKUP(B62,'Material Master'!$A$2:$E$201,4,FALSE),""))</f>
        <v/>
      </c>
      <c r="H62" s="114"/>
      <c r="I62" s="114"/>
      <c r="J62" s="11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113"/>
      <c r="B63" s="114"/>
      <c r="C63" s="114" t="str">
        <f>IF(B63="","",IFERROR(VLOOKUP(B63,'Material Master'!$A$2:$E$201,2,FALSE),""))</f>
        <v/>
      </c>
      <c r="D63" s="114" t="str">
        <f t="array" ref="D63">IF(B63="","",IFERROR(INDEX('Location Master'!$E$2:$E$502, IFERROR(MATCH(B63,'Location Master'!$G$2:$G$502,0), IFERROR(MATCH(B63&amp;" (*",'Location Master'!$G$2:$G$502,0), MATCH(B63&amp;"*",'Location Master'!$G$2:$G$502,0)))), ""))</f>
        <v/>
      </c>
      <c r="E63" s="116"/>
      <c r="F63" s="117"/>
      <c r="G63" s="114" t="str">
        <f>IF(B63="","",IFERROR(VLOOKUP(B63,'Material Master'!$A$2:$E$201,4,FALSE),""))</f>
        <v/>
      </c>
      <c r="H63" s="114"/>
      <c r="I63" s="114"/>
      <c r="J63" s="11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113"/>
      <c r="B64" s="114"/>
      <c r="C64" s="114" t="str">
        <f>IF(B64="","",IFERROR(VLOOKUP(B64,'Material Master'!$A$2:$E$201,2,FALSE),""))</f>
        <v/>
      </c>
      <c r="D64" s="114" t="str">
        <f t="array" ref="D64">IF(B64="","",IFERROR(INDEX('Location Master'!$E$2:$E$502, IFERROR(MATCH(B64,'Location Master'!$G$2:$G$502,0), IFERROR(MATCH(B64&amp;" (*",'Location Master'!$G$2:$G$502,0), MATCH(B64&amp;"*",'Location Master'!$G$2:$G$502,0)))), ""))</f>
        <v/>
      </c>
      <c r="E64" s="116"/>
      <c r="F64" s="117"/>
      <c r="G64" s="114" t="str">
        <f>IF(B64="","",IFERROR(VLOOKUP(B64,'Material Master'!$A$2:$E$201,4,FALSE),""))</f>
        <v/>
      </c>
      <c r="H64" s="114"/>
      <c r="I64" s="114"/>
      <c r="J64" s="11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113"/>
      <c r="B65" s="114"/>
      <c r="C65" s="114" t="str">
        <f>IF(B65="","",IFERROR(VLOOKUP(B65,'Material Master'!$A$2:$E$201,2,FALSE),""))</f>
        <v/>
      </c>
      <c r="D65" s="114" t="str">
        <f t="array" ref="D65">IF(B65="","",IFERROR(INDEX('Location Master'!$E$2:$E$502, IFERROR(MATCH(B65,'Location Master'!$G$2:$G$502,0), IFERROR(MATCH(B65&amp;" (*",'Location Master'!$G$2:$G$502,0), MATCH(B65&amp;"*",'Location Master'!$G$2:$G$502,0)))), ""))</f>
        <v/>
      </c>
      <c r="E65" s="116"/>
      <c r="F65" s="117"/>
      <c r="G65" s="114" t="str">
        <f>IF(B65="","",IFERROR(VLOOKUP(B65,'Material Master'!$A$2:$E$201,4,FALSE),""))</f>
        <v/>
      </c>
      <c r="H65" s="114"/>
      <c r="I65" s="114"/>
      <c r="J65" s="11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113"/>
      <c r="B66" s="114"/>
      <c r="C66" s="114" t="str">
        <f>IF(B66="","",IFERROR(VLOOKUP(B66,'Material Master'!$A$2:$E$201,2,FALSE),""))</f>
        <v/>
      </c>
      <c r="D66" s="114" t="str">
        <f t="array" ref="D66">IF(B66="","",IFERROR(INDEX('Location Master'!$E$2:$E$502, IFERROR(MATCH(B66,'Location Master'!$G$2:$G$502,0), IFERROR(MATCH(B66&amp;" (*",'Location Master'!$G$2:$G$502,0), MATCH(B66&amp;"*",'Location Master'!$G$2:$G$502,0)))), ""))</f>
        <v/>
      </c>
      <c r="E66" s="116"/>
      <c r="F66" s="117"/>
      <c r="G66" s="114" t="str">
        <f>IF(B66="","",IFERROR(VLOOKUP(B66,'Material Master'!$A$2:$E$201,4,FALSE),""))</f>
        <v/>
      </c>
      <c r="H66" s="114"/>
      <c r="I66" s="114"/>
      <c r="J66" s="11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113"/>
      <c r="B67" s="114"/>
      <c r="C67" s="114" t="str">
        <f>IF(B67="","",IFERROR(VLOOKUP(B67,'Material Master'!$A$2:$E$201,2,FALSE),""))</f>
        <v/>
      </c>
      <c r="D67" s="114" t="str">
        <f t="array" ref="D67">IF(B67="","",IFERROR(INDEX('Location Master'!$E$2:$E$502, IFERROR(MATCH(B67,'Location Master'!$G$2:$G$502,0), IFERROR(MATCH(B67&amp;" (*",'Location Master'!$G$2:$G$502,0), MATCH(B67&amp;"*",'Location Master'!$G$2:$G$502,0)))), ""))</f>
        <v/>
      </c>
      <c r="E67" s="116"/>
      <c r="F67" s="117"/>
      <c r="G67" s="114" t="str">
        <f>IF(B67="","",IFERROR(VLOOKUP(B67,'Material Master'!$A$2:$E$201,4,FALSE),""))</f>
        <v/>
      </c>
      <c r="H67" s="114"/>
      <c r="I67" s="114"/>
      <c r="J67" s="11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113"/>
      <c r="B68" s="114"/>
      <c r="C68" s="114" t="str">
        <f>IF(B68="","",IFERROR(VLOOKUP(B68,'Material Master'!$A$2:$E$201,2,FALSE),""))</f>
        <v/>
      </c>
      <c r="D68" s="114" t="str">
        <f t="array" ref="D68">IF(B68="","",IFERROR(INDEX('Location Master'!$E$2:$E$502, IFERROR(MATCH(B68,'Location Master'!$G$2:$G$502,0), IFERROR(MATCH(B68&amp;" (*",'Location Master'!$G$2:$G$502,0), MATCH(B68&amp;"*",'Location Master'!$G$2:$G$502,0)))), ""))</f>
        <v/>
      </c>
      <c r="E68" s="116"/>
      <c r="F68" s="117"/>
      <c r="G68" s="114" t="str">
        <f>IF(B68="","",IFERROR(VLOOKUP(B68,'Material Master'!$A$2:$E$201,4,FALSE),""))</f>
        <v/>
      </c>
      <c r="H68" s="114"/>
      <c r="I68" s="114"/>
      <c r="J68" s="11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113"/>
      <c r="B69" s="114"/>
      <c r="C69" s="114" t="str">
        <f>IF(B69="","",IFERROR(VLOOKUP(B69,'Material Master'!$A$2:$E$201,2,FALSE),""))</f>
        <v/>
      </c>
      <c r="D69" s="114" t="str">
        <f t="array" ref="D69">IF(B69="","",IFERROR(INDEX('Location Master'!$E$2:$E$502, IFERROR(MATCH(B69,'Location Master'!$G$2:$G$502,0), IFERROR(MATCH(B69&amp;" (*",'Location Master'!$G$2:$G$502,0), MATCH(B69&amp;"*",'Location Master'!$G$2:$G$502,0)))), ""))</f>
        <v/>
      </c>
      <c r="E69" s="116"/>
      <c r="F69" s="117"/>
      <c r="G69" s="114" t="str">
        <f>IF(B69="","",IFERROR(VLOOKUP(B69,'Material Master'!$A$2:$E$201,4,FALSE),""))</f>
        <v/>
      </c>
      <c r="H69" s="114"/>
      <c r="I69" s="114"/>
      <c r="J69" s="11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113"/>
      <c r="B70" s="114"/>
      <c r="C70" s="114" t="str">
        <f>IF(B70="","",IFERROR(VLOOKUP(B70,'Material Master'!$A$2:$E$201,2,FALSE),""))</f>
        <v/>
      </c>
      <c r="D70" s="114" t="str">
        <f t="array" ref="D70">IF(B70="","",IFERROR(INDEX('Location Master'!$E$2:$E$502, IFERROR(MATCH(B70,'Location Master'!$G$2:$G$502,0), IFERROR(MATCH(B70&amp;" (*",'Location Master'!$G$2:$G$502,0), MATCH(B70&amp;"*",'Location Master'!$G$2:$G$502,0)))), ""))</f>
        <v/>
      </c>
      <c r="E70" s="116"/>
      <c r="F70" s="117"/>
      <c r="G70" s="114" t="str">
        <f>IF(B70="","",IFERROR(VLOOKUP(B70,'Material Master'!$A$2:$E$201,4,FALSE),""))</f>
        <v/>
      </c>
      <c r="H70" s="114"/>
      <c r="I70" s="114"/>
      <c r="J70" s="11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113"/>
      <c r="B71" s="114"/>
      <c r="C71" s="114" t="str">
        <f>IF(B71="","",IFERROR(VLOOKUP(B71,'Material Master'!$A$2:$E$201,2,FALSE),""))</f>
        <v/>
      </c>
      <c r="D71" s="114" t="str">
        <f t="array" ref="D71">IF(B71="","",IFERROR(INDEX('Location Master'!$E$2:$E$502, IFERROR(MATCH(B71,'Location Master'!$G$2:$G$502,0), IFERROR(MATCH(B71&amp;" (*",'Location Master'!$G$2:$G$502,0), MATCH(B71&amp;"*",'Location Master'!$G$2:$G$502,0)))), ""))</f>
        <v/>
      </c>
      <c r="E71" s="116"/>
      <c r="F71" s="117"/>
      <c r="G71" s="114" t="str">
        <f>IF(B71="","",IFERROR(VLOOKUP(B71,'Material Master'!$A$2:$E$201,4,FALSE),""))</f>
        <v/>
      </c>
      <c r="H71" s="114"/>
      <c r="I71" s="114"/>
      <c r="J71" s="11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113"/>
      <c r="B72" s="114"/>
      <c r="C72" s="114" t="str">
        <f>IF(B72="","",IFERROR(VLOOKUP(B72,'Material Master'!$A$2:$E$201,2,FALSE),""))</f>
        <v/>
      </c>
      <c r="D72" s="114" t="str">
        <f t="array" ref="D72">IF(B72="","",IFERROR(INDEX('Location Master'!$E$2:$E$502, IFERROR(MATCH(B72,'Location Master'!$G$2:$G$502,0), IFERROR(MATCH(B72&amp;" (*",'Location Master'!$G$2:$G$502,0), MATCH(B72&amp;"*",'Location Master'!$G$2:$G$502,0)))), ""))</f>
        <v/>
      </c>
      <c r="E72" s="116"/>
      <c r="F72" s="117"/>
      <c r="G72" s="114" t="str">
        <f>IF(B72="","",IFERROR(VLOOKUP(B72,'Material Master'!$A$2:$E$201,4,FALSE),""))</f>
        <v/>
      </c>
      <c r="H72" s="114"/>
      <c r="I72" s="114"/>
      <c r="J72" s="11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113"/>
      <c r="B73" s="114"/>
      <c r="C73" s="114" t="str">
        <f>IF(B73="","",IFERROR(VLOOKUP(B73,'Material Master'!$A$2:$E$201,2,FALSE),""))</f>
        <v/>
      </c>
      <c r="D73" s="114" t="str">
        <f t="array" ref="D73">IF(B73="","",IFERROR(INDEX('Location Master'!$E$2:$E$502, IFERROR(MATCH(B73,'Location Master'!$G$2:$G$502,0), IFERROR(MATCH(B73&amp;" (*",'Location Master'!$G$2:$G$502,0), MATCH(B73&amp;"*",'Location Master'!$G$2:$G$502,0)))), ""))</f>
        <v/>
      </c>
      <c r="E73" s="116"/>
      <c r="F73" s="117"/>
      <c r="G73" s="114" t="str">
        <f>IF(B73="","",IFERROR(VLOOKUP(B73,'Material Master'!$A$2:$E$201,4,FALSE),""))</f>
        <v/>
      </c>
      <c r="H73" s="114"/>
      <c r="I73" s="114"/>
      <c r="J73" s="11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113"/>
      <c r="B74" s="114"/>
      <c r="C74" s="114" t="str">
        <f>IF(B74="","",IFERROR(VLOOKUP(B74,'Material Master'!$A$2:$E$201,2,FALSE),""))</f>
        <v/>
      </c>
      <c r="D74" s="114" t="str">
        <f t="array" ref="D74">IF(B74="","",IFERROR(INDEX('Location Master'!$E$2:$E$502, IFERROR(MATCH(B74,'Location Master'!$G$2:$G$502,0), IFERROR(MATCH(B74&amp;" (*",'Location Master'!$G$2:$G$502,0), MATCH(B74&amp;"*",'Location Master'!$G$2:$G$502,0)))), ""))</f>
        <v/>
      </c>
      <c r="E74" s="116"/>
      <c r="F74" s="117"/>
      <c r="G74" s="114" t="str">
        <f>IF(B74="","",IFERROR(VLOOKUP(B74,'Material Master'!$A$2:$E$201,4,FALSE),""))</f>
        <v/>
      </c>
      <c r="H74" s="114"/>
      <c r="I74" s="114"/>
      <c r="J74" s="11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113"/>
      <c r="B75" s="114"/>
      <c r="C75" s="114" t="str">
        <f>IF(B75="","",IFERROR(VLOOKUP(B75,'Material Master'!$A$2:$E$201,2,FALSE),""))</f>
        <v/>
      </c>
      <c r="D75" s="114" t="str">
        <f t="array" ref="D75">IF(B75="","",IFERROR(INDEX('Location Master'!$E$2:$E$502, IFERROR(MATCH(B75,'Location Master'!$G$2:$G$502,0), IFERROR(MATCH(B75&amp;" (*",'Location Master'!$G$2:$G$502,0), MATCH(B75&amp;"*",'Location Master'!$G$2:$G$502,0)))), ""))</f>
        <v/>
      </c>
      <c r="E75" s="116"/>
      <c r="F75" s="117"/>
      <c r="G75" s="114" t="str">
        <f>IF(B75="","",IFERROR(VLOOKUP(B75,'Material Master'!$A$2:$E$201,4,FALSE),""))</f>
        <v/>
      </c>
      <c r="H75" s="114"/>
      <c r="I75" s="114"/>
      <c r="J75" s="11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113"/>
      <c r="B76" s="114"/>
      <c r="C76" s="114" t="str">
        <f>IF(B76="","",IFERROR(VLOOKUP(B76,'Material Master'!$A$2:$E$201,2,FALSE),""))</f>
        <v/>
      </c>
      <c r="D76" s="114" t="str">
        <f t="array" ref="D76">IF(B76="","",IFERROR(INDEX('Location Master'!$E$2:$E$502, IFERROR(MATCH(B76,'Location Master'!$G$2:$G$502,0), IFERROR(MATCH(B76&amp;" (*",'Location Master'!$G$2:$G$502,0), MATCH(B76&amp;"*",'Location Master'!$G$2:$G$502,0)))), ""))</f>
        <v/>
      </c>
      <c r="E76" s="116"/>
      <c r="F76" s="117"/>
      <c r="G76" s="114" t="str">
        <f>IF(B76="","",IFERROR(VLOOKUP(B76,'Material Master'!$A$2:$E$201,4,FALSE),""))</f>
        <v/>
      </c>
      <c r="H76" s="114"/>
      <c r="I76" s="114"/>
      <c r="J76" s="11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113"/>
      <c r="B77" s="114"/>
      <c r="C77" s="114" t="str">
        <f>IF(B77="","",IFERROR(VLOOKUP(B77,'Material Master'!$A$2:$E$201,2,FALSE),""))</f>
        <v/>
      </c>
      <c r="D77" s="114" t="str">
        <f t="array" ref="D77">IF(B77="","",IFERROR(INDEX('Location Master'!$E$2:$E$502, IFERROR(MATCH(B77,'Location Master'!$G$2:$G$502,0), IFERROR(MATCH(B77&amp;" (*",'Location Master'!$G$2:$G$502,0), MATCH(B77&amp;"*",'Location Master'!$G$2:$G$502,0)))), ""))</f>
        <v/>
      </c>
      <c r="E77" s="116"/>
      <c r="F77" s="117"/>
      <c r="G77" s="114" t="str">
        <f>IF(B77="","",IFERROR(VLOOKUP(B77,'Material Master'!$A$2:$E$201,4,FALSE),""))</f>
        <v/>
      </c>
      <c r="H77" s="114"/>
      <c r="I77" s="114"/>
      <c r="J77" s="11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113"/>
      <c r="B78" s="114"/>
      <c r="C78" s="114" t="str">
        <f>IF(B78="","",IFERROR(VLOOKUP(B78,'Material Master'!$A$2:$E$201,2,FALSE),""))</f>
        <v/>
      </c>
      <c r="D78" s="114" t="str">
        <f t="array" ref="D78">IF(B78="","",IFERROR(INDEX('Location Master'!$E$2:$E$502, IFERROR(MATCH(B78,'Location Master'!$G$2:$G$502,0), IFERROR(MATCH(B78&amp;" (*",'Location Master'!$G$2:$G$502,0), MATCH(B78&amp;"*",'Location Master'!$G$2:$G$502,0)))), ""))</f>
        <v/>
      </c>
      <c r="E78" s="116"/>
      <c r="F78" s="117"/>
      <c r="G78" s="114" t="str">
        <f>IF(B78="","",IFERROR(VLOOKUP(B78,'Material Master'!$A$2:$E$201,4,FALSE),""))</f>
        <v/>
      </c>
      <c r="H78" s="114"/>
      <c r="I78" s="114"/>
      <c r="J78" s="11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113"/>
      <c r="B79" s="114"/>
      <c r="C79" s="114" t="str">
        <f>IF(B79="","",IFERROR(VLOOKUP(B79,'Material Master'!$A$2:$E$201,2,FALSE),""))</f>
        <v/>
      </c>
      <c r="D79" s="114" t="str">
        <f t="array" ref="D79">IF(B79="","",IFERROR(INDEX('Location Master'!$E$2:$E$502, IFERROR(MATCH(B79,'Location Master'!$G$2:$G$502,0), IFERROR(MATCH(B79&amp;" (*",'Location Master'!$G$2:$G$502,0), MATCH(B79&amp;"*",'Location Master'!$G$2:$G$502,0)))), ""))</f>
        <v/>
      </c>
      <c r="E79" s="116"/>
      <c r="F79" s="117"/>
      <c r="G79" s="114" t="str">
        <f>IF(B79="","",IFERROR(VLOOKUP(B79,'Material Master'!$A$2:$E$201,4,FALSE),""))</f>
        <v/>
      </c>
      <c r="H79" s="114"/>
      <c r="I79" s="114"/>
      <c r="J79" s="11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113"/>
      <c r="B80" s="114"/>
      <c r="C80" s="114" t="str">
        <f>IF(B80="","",IFERROR(VLOOKUP(B80,'Material Master'!$A$2:$E$201,2,FALSE),""))</f>
        <v/>
      </c>
      <c r="D80" s="114" t="str">
        <f t="array" ref="D80">IF(B80="","",IFERROR(INDEX('Location Master'!$E$2:$E$502, IFERROR(MATCH(B80,'Location Master'!$G$2:$G$502,0), IFERROR(MATCH(B80&amp;" (*",'Location Master'!$G$2:$G$502,0), MATCH(B80&amp;"*",'Location Master'!$G$2:$G$502,0)))), ""))</f>
        <v/>
      </c>
      <c r="E80" s="116"/>
      <c r="F80" s="117"/>
      <c r="G80" s="114" t="str">
        <f>IF(B80="","",IFERROR(VLOOKUP(B80,'Material Master'!$A$2:$E$201,4,FALSE),""))</f>
        <v/>
      </c>
      <c r="H80" s="114"/>
      <c r="I80" s="114"/>
      <c r="J80" s="11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113"/>
      <c r="B81" s="114"/>
      <c r="C81" s="114" t="str">
        <f>IF(B81="","",IFERROR(VLOOKUP(B81,'Material Master'!$A$2:$E$201,2,FALSE),""))</f>
        <v/>
      </c>
      <c r="D81" s="114" t="str">
        <f t="array" ref="D81">IF(B81="","",IFERROR(INDEX('Location Master'!$E$2:$E$502, IFERROR(MATCH(B81,'Location Master'!$G$2:$G$502,0), IFERROR(MATCH(B81&amp;" (*",'Location Master'!$G$2:$G$502,0), MATCH(B81&amp;"*",'Location Master'!$G$2:$G$502,0)))), ""))</f>
        <v/>
      </c>
      <c r="E81" s="116"/>
      <c r="F81" s="117"/>
      <c r="G81" s="114" t="str">
        <f>IF(B81="","",IFERROR(VLOOKUP(B81,'Material Master'!$A$2:$E$201,4,FALSE),""))</f>
        <v/>
      </c>
      <c r="H81" s="114"/>
      <c r="I81" s="114"/>
      <c r="J81" s="11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113"/>
      <c r="B82" s="114"/>
      <c r="C82" s="114" t="str">
        <f>IF(B82="","",IFERROR(VLOOKUP(B82,'Material Master'!$A$2:$E$201,2,FALSE),""))</f>
        <v/>
      </c>
      <c r="D82" s="114" t="str">
        <f t="array" ref="D82">IF(B82="","",IFERROR(INDEX('Location Master'!$E$2:$E$502, IFERROR(MATCH(B82,'Location Master'!$G$2:$G$502,0), IFERROR(MATCH(B82&amp;" (*",'Location Master'!$G$2:$G$502,0), MATCH(B82&amp;"*",'Location Master'!$G$2:$G$502,0)))), ""))</f>
        <v/>
      </c>
      <c r="E82" s="116"/>
      <c r="F82" s="117"/>
      <c r="G82" s="114" t="str">
        <f>IF(B82="","",IFERROR(VLOOKUP(B82,'Material Master'!$A$2:$E$201,4,FALSE),""))</f>
        <v/>
      </c>
      <c r="H82" s="114"/>
      <c r="I82" s="114"/>
      <c r="J82" s="11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113"/>
      <c r="B83" s="114"/>
      <c r="C83" s="114" t="str">
        <f>IF(B83="","",IFERROR(VLOOKUP(B83,'Material Master'!$A$2:$E$201,2,FALSE),""))</f>
        <v/>
      </c>
      <c r="D83" s="114" t="str">
        <f t="array" ref="D83">IF(B83="","",IFERROR(INDEX('Location Master'!$E$2:$E$502, IFERROR(MATCH(B83,'Location Master'!$G$2:$G$502,0), IFERROR(MATCH(B83&amp;" (*",'Location Master'!$G$2:$G$502,0), MATCH(B83&amp;"*",'Location Master'!$G$2:$G$502,0)))), ""))</f>
        <v/>
      </c>
      <c r="E83" s="116"/>
      <c r="F83" s="117"/>
      <c r="G83" s="114" t="str">
        <f>IF(B83="","",IFERROR(VLOOKUP(B83,'Material Master'!$A$2:$E$201,4,FALSE),""))</f>
        <v/>
      </c>
      <c r="H83" s="114"/>
      <c r="I83" s="114"/>
      <c r="J83" s="11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113"/>
      <c r="B84" s="114"/>
      <c r="C84" s="114" t="str">
        <f>IF(B84="","",IFERROR(VLOOKUP(B84,'Material Master'!$A$2:$E$201,2,FALSE),""))</f>
        <v/>
      </c>
      <c r="D84" s="114" t="str">
        <f t="array" ref="D84">IF(B84="","",IFERROR(INDEX('Location Master'!$E$2:$E$502, IFERROR(MATCH(B84,'Location Master'!$G$2:$G$502,0), IFERROR(MATCH(B84&amp;" (*",'Location Master'!$G$2:$G$502,0), MATCH(B84&amp;"*",'Location Master'!$G$2:$G$502,0)))), ""))</f>
        <v/>
      </c>
      <c r="E84" s="116"/>
      <c r="F84" s="117"/>
      <c r="G84" s="114" t="str">
        <f>IF(B84="","",IFERROR(VLOOKUP(B84,'Material Master'!$A$2:$E$201,4,FALSE),""))</f>
        <v/>
      </c>
      <c r="H84" s="114"/>
      <c r="I84" s="114"/>
      <c r="J84" s="11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113"/>
      <c r="B85" s="114"/>
      <c r="C85" s="114" t="str">
        <f>IF(B85="","",IFERROR(VLOOKUP(B85,'Material Master'!$A$2:$E$201,2,FALSE),""))</f>
        <v/>
      </c>
      <c r="D85" s="114" t="str">
        <f t="array" ref="D85">IF(B85="","",IFERROR(INDEX('Location Master'!$E$2:$E$502, IFERROR(MATCH(B85,'Location Master'!$G$2:$G$502,0), IFERROR(MATCH(B85&amp;" (*",'Location Master'!$G$2:$G$502,0), MATCH(B85&amp;"*",'Location Master'!$G$2:$G$502,0)))), ""))</f>
        <v/>
      </c>
      <c r="E85" s="116"/>
      <c r="F85" s="117"/>
      <c r="G85" s="114" t="str">
        <f>IF(B85="","",IFERROR(VLOOKUP(B85,'Material Master'!$A$2:$E$201,4,FALSE),""))</f>
        <v/>
      </c>
      <c r="H85" s="114"/>
      <c r="I85" s="114"/>
      <c r="J85" s="11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113"/>
      <c r="B86" s="114"/>
      <c r="C86" s="114" t="str">
        <f>IF(B86="","",IFERROR(VLOOKUP(B86,'Material Master'!$A$2:$E$201,2,FALSE),""))</f>
        <v/>
      </c>
      <c r="D86" s="114" t="str">
        <f t="array" ref="D86">IF(B86="","",IFERROR(INDEX('Location Master'!$E$2:$E$502, IFERROR(MATCH(B86,'Location Master'!$G$2:$G$502,0), IFERROR(MATCH(B86&amp;" (*",'Location Master'!$G$2:$G$502,0), MATCH(B86&amp;"*",'Location Master'!$G$2:$G$502,0)))), ""))</f>
        <v/>
      </c>
      <c r="E86" s="116"/>
      <c r="F86" s="117"/>
      <c r="G86" s="114" t="str">
        <f>IF(B86="","",IFERROR(VLOOKUP(B86,'Material Master'!$A$2:$E$201,4,FALSE),""))</f>
        <v/>
      </c>
      <c r="H86" s="114"/>
      <c r="I86" s="114"/>
      <c r="J86" s="11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113"/>
      <c r="B87" s="114"/>
      <c r="C87" s="114" t="str">
        <f>IF(B87="","",IFERROR(VLOOKUP(B87,'Material Master'!$A$2:$E$201,2,FALSE),""))</f>
        <v/>
      </c>
      <c r="D87" s="114" t="str">
        <f t="array" ref="D87">IF(B87="","",IFERROR(INDEX('Location Master'!$E$2:$E$502, IFERROR(MATCH(B87,'Location Master'!$G$2:$G$502,0), IFERROR(MATCH(B87&amp;" (*",'Location Master'!$G$2:$G$502,0), MATCH(B87&amp;"*",'Location Master'!$G$2:$G$502,0)))), ""))</f>
        <v/>
      </c>
      <c r="E87" s="116"/>
      <c r="F87" s="117"/>
      <c r="G87" s="114" t="str">
        <f>IF(B87="","",IFERROR(VLOOKUP(B87,'Material Master'!$A$2:$E$201,4,FALSE),""))</f>
        <v/>
      </c>
      <c r="H87" s="114"/>
      <c r="I87" s="114"/>
      <c r="J87" s="11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113"/>
      <c r="B88" s="114"/>
      <c r="C88" s="114" t="str">
        <f>IF(B88="","",IFERROR(VLOOKUP(B88,'Material Master'!$A$2:$E$201,2,FALSE),""))</f>
        <v/>
      </c>
      <c r="D88" s="114" t="str">
        <f t="array" ref="D88">IF(B88="","",IFERROR(INDEX('Location Master'!$E$2:$E$502, IFERROR(MATCH(B88,'Location Master'!$G$2:$G$502,0), IFERROR(MATCH(B88&amp;" (*",'Location Master'!$G$2:$G$502,0), MATCH(B88&amp;"*",'Location Master'!$G$2:$G$502,0)))), ""))</f>
        <v/>
      </c>
      <c r="E88" s="116"/>
      <c r="F88" s="117"/>
      <c r="G88" s="114" t="str">
        <f>IF(B88="","",IFERROR(VLOOKUP(B88,'Material Master'!$A$2:$E$201,4,FALSE),""))</f>
        <v/>
      </c>
      <c r="H88" s="114"/>
      <c r="I88" s="114"/>
      <c r="J88" s="11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113"/>
      <c r="B89" s="114"/>
      <c r="C89" s="114" t="str">
        <f>IF(B89="","",IFERROR(VLOOKUP(B89,'Material Master'!$A$2:$E$201,2,FALSE),""))</f>
        <v/>
      </c>
      <c r="D89" s="114" t="str">
        <f t="array" ref="D89">IF(B89="","",IFERROR(INDEX('Location Master'!$E$2:$E$502, IFERROR(MATCH(B89,'Location Master'!$G$2:$G$502,0), IFERROR(MATCH(B89&amp;" (*",'Location Master'!$G$2:$G$502,0), MATCH(B89&amp;"*",'Location Master'!$G$2:$G$502,0)))), ""))</f>
        <v/>
      </c>
      <c r="E89" s="116"/>
      <c r="F89" s="117"/>
      <c r="G89" s="114" t="str">
        <f>IF(B89="","",IFERROR(VLOOKUP(B89,'Material Master'!$A$2:$E$201,4,FALSE),""))</f>
        <v/>
      </c>
      <c r="H89" s="114"/>
      <c r="I89" s="114"/>
      <c r="J89" s="11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113"/>
      <c r="B90" s="114"/>
      <c r="C90" s="114" t="str">
        <f>IF(B90="","",IFERROR(VLOOKUP(B90,'Material Master'!$A$2:$E$201,2,FALSE),""))</f>
        <v/>
      </c>
      <c r="D90" s="114" t="str">
        <f t="array" ref="D90">IF(B90="","",IFERROR(INDEX('Location Master'!$E$2:$E$502, IFERROR(MATCH(B90,'Location Master'!$G$2:$G$502,0), IFERROR(MATCH(B90&amp;" (*",'Location Master'!$G$2:$G$502,0), MATCH(B90&amp;"*",'Location Master'!$G$2:$G$502,0)))), ""))</f>
        <v/>
      </c>
      <c r="E90" s="116"/>
      <c r="F90" s="117"/>
      <c r="G90" s="114" t="str">
        <f>IF(B90="","",IFERROR(VLOOKUP(B90,'Material Master'!$A$2:$E$201,4,FALSE),""))</f>
        <v/>
      </c>
      <c r="H90" s="114"/>
      <c r="I90" s="114"/>
      <c r="J90" s="11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113"/>
      <c r="B91" s="114"/>
      <c r="C91" s="114" t="str">
        <f>IF(B91="","",IFERROR(VLOOKUP(B91,'Material Master'!$A$2:$E$201,2,FALSE),""))</f>
        <v/>
      </c>
      <c r="D91" s="114" t="str">
        <f t="array" ref="D91">IF(B91="","",IFERROR(INDEX('Location Master'!$E$2:$E$502, IFERROR(MATCH(B91,'Location Master'!$G$2:$G$502,0), IFERROR(MATCH(B91&amp;" (*",'Location Master'!$G$2:$G$502,0), MATCH(B91&amp;"*",'Location Master'!$G$2:$G$502,0)))), ""))</f>
        <v/>
      </c>
      <c r="E91" s="116"/>
      <c r="F91" s="117"/>
      <c r="G91" s="114" t="str">
        <f>IF(B91="","",IFERROR(VLOOKUP(B91,'Material Master'!$A$2:$E$201,4,FALSE),""))</f>
        <v/>
      </c>
      <c r="H91" s="114"/>
      <c r="I91" s="114"/>
      <c r="J91" s="11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113"/>
      <c r="B92" s="114"/>
      <c r="C92" s="114" t="str">
        <f>IF(B92="","",IFERROR(VLOOKUP(B92,'Material Master'!$A$2:$E$201,2,FALSE),""))</f>
        <v/>
      </c>
      <c r="D92" s="114" t="str">
        <f t="array" ref="D92">IF(B92="","",IFERROR(INDEX('Location Master'!$E$2:$E$502, IFERROR(MATCH(B92,'Location Master'!$G$2:$G$502,0), IFERROR(MATCH(B92&amp;" (*",'Location Master'!$G$2:$G$502,0), MATCH(B92&amp;"*",'Location Master'!$G$2:$G$502,0)))), ""))</f>
        <v/>
      </c>
      <c r="E92" s="116"/>
      <c r="F92" s="117"/>
      <c r="G92" s="114" t="str">
        <f>IF(B92="","",IFERROR(VLOOKUP(B92,'Material Master'!$A$2:$E$201,4,FALSE),""))</f>
        <v/>
      </c>
      <c r="H92" s="114"/>
      <c r="I92" s="114"/>
      <c r="J92" s="11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113"/>
      <c r="B93" s="114"/>
      <c r="C93" s="114" t="str">
        <f>IF(B93="","",IFERROR(VLOOKUP(B93,'Material Master'!$A$2:$E$201,2,FALSE),""))</f>
        <v/>
      </c>
      <c r="D93" s="114" t="str">
        <f t="array" ref="D93">IF(B93="","",IFERROR(INDEX('Location Master'!$E$2:$E$502, IFERROR(MATCH(B93,'Location Master'!$G$2:$G$502,0), IFERROR(MATCH(B93&amp;" (*",'Location Master'!$G$2:$G$502,0), MATCH(B93&amp;"*",'Location Master'!$G$2:$G$502,0)))), ""))</f>
        <v/>
      </c>
      <c r="E93" s="116"/>
      <c r="F93" s="117"/>
      <c r="G93" s="114" t="str">
        <f>IF(B93="","",IFERROR(VLOOKUP(B93,'Material Master'!$A$2:$E$201,4,FALSE),""))</f>
        <v/>
      </c>
      <c r="H93" s="114"/>
      <c r="I93" s="114"/>
      <c r="J93" s="11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113"/>
      <c r="B94" s="114"/>
      <c r="C94" s="114" t="str">
        <f>IF(B94="","",IFERROR(VLOOKUP(B94,'Material Master'!$A$2:$E$201,2,FALSE),""))</f>
        <v/>
      </c>
      <c r="D94" s="114" t="str">
        <f t="array" ref="D94">IF(B94="","",IFERROR(INDEX('Location Master'!$E$2:$E$502, IFERROR(MATCH(B94,'Location Master'!$G$2:$G$502,0), IFERROR(MATCH(B94&amp;" (*",'Location Master'!$G$2:$G$502,0), MATCH(B94&amp;"*",'Location Master'!$G$2:$G$502,0)))), ""))</f>
        <v/>
      </c>
      <c r="E94" s="116"/>
      <c r="F94" s="117"/>
      <c r="G94" s="114" t="str">
        <f>IF(B94="","",IFERROR(VLOOKUP(B94,'Material Master'!$A$2:$E$201,4,FALSE),""))</f>
        <v/>
      </c>
      <c r="H94" s="114"/>
      <c r="I94" s="114"/>
      <c r="J94" s="11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4.0" customHeight="1">
      <c r="A95" s="113"/>
      <c r="B95" s="114"/>
      <c r="C95" s="114" t="str">
        <f>IF(B95="","",IFERROR(VLOOKUP(B95,'Material Master'!$A$2:$E$201,2,FALSE),""))</f>
        <v/>
      </c>
      <c r="D95" s="114" t="str">
        <f t="array" ref="D95">IF(B95="","",IFERROR(INDEX('Location Master'!$E$2:$E$502, IFERROR(MATCH(B95,'Location Master'!$G$2:$G$502,0), IFERROR(MATCH(B95&amp;" (*",'Location Master'!$G$2:$G$502,0), MATCH(B95&amp;"*",'Location Master'!$G$2:$G$502,0)))), ""))</f>
        <v/>
      </c>
      <c r="E95" s="116"/>
      <c r="F95" s="117"/>
      <c r="G95" s="114" t="str">
        <f>IF(B95="","",IFERROR(VLOOKUP(B95,'Material Master'!$A$2:$E$201,4,FALSE),""))</f>
        <v/>
      </c>
      <c r="H95" s="114"/>
      <c r="I95" s="114"/>
      <c r="J95" s="11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113"/>
      <c r="B96" s="114"/>
      <c r="C96" s="114" t="str">
        <f>IF(B96="","",IFERROR(VLOOKUP(B96,'Material Master'!$A$2:$E$201,2,FALSE),""))</f>
        <v/>
      </c>
      <c r="D96" s="114" t="str">
        <f t="array" ref="D96">IF(B96="","",IFERROR(INDEX('Location Master'!$E$2:$E$502, IFERROR(MATCH(B96,'Location Master'!$G$2:$G$502,0), IFERROR(MATCH(B96&amp;" (*",'Location Master'!$G$2:$G$502,0), MATCH(B96&amp;"*",'Location Master'!$G$2:$G$502,0)))), ""))</f>
        <v/>
      </c>
      <c r="E96" s="116"/>
      <c r="F96" s="117"/>
      <c r="G96" s="114" t="str">
        <f>IF(B96="","",IFERROR(VLOOKUP(B96,'Material Master'!$A$2:$E$201,4,FALSE),""))</f>
        <v/>
      </c>
      <c r="H96" s="114"/>
      <c r="I96" s="114"/>
      <c r="J96" s="11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4.0" customHeight="1">
      <c r="A97" s="113"/>
      <c r="B97" s="114"/>
      <c r="C97" s="114" t="str">
        <f>IF(B97="","",IFERROR(VLOOKUP(B97,'Material Master'!$A$2:$E$201,2,FALSE),""))</f>
        <v/>
      </c>
      <c r="D97" s="114" t="str">
        <f t="array" ref="D97">IF(B97="","",IFERROR(INDEX('Location Master'!$E$2:$E$502, IFERROR(MATCH(B97,'Location Master'!$G$2:$G$502,0), IFERROR(MATCH(B97&amp;" (*",'Location Master'!$G$2:$G$502,0), MATCH(B97&amp;"*",'Location Master'!$G$2:$G$502,0)))), ""))</f>
        <v/>
      </c>
      <c r="E97" s="116"/>
      <c r="F97" s="117"/>
      <c r="G97" s="114" t="str">
        <f>IF(B97="","",IFERROR(VLOOKUP(B97,'Material Master'!$A$2:$E$201,4,FALSE),""))</f>
        <v/>
      </c>
      <c r="H97" s="114"/>
      <c r="I97" s="114"/>
      <c r="J97" s="11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4.0" customHeight="1">
      <c r="A98" s="113"/>
      <c r="B98" s="114"/>
      <c r="C98" s="114" t="str">
        <f>IF(B98="","",IFERROR(VLOOKUP(B98,'Material Master'!$A$2:$E$201,2,FALSE),""))</f>
        <v/>
      </c>
      <c r="D98" s="114" t="str">
        <f t="array" ref="D98">IF(B98="","",IFERROR(INDEX('Location Master'!$E$2:$E$502, IFERROR(MATCH(B98,'Location Master'!$G$2:$G$502,0), IFERROR(MATCH(B98&amp;" (*",'Location Master'!$G$2:$G$502,0), MATCH(B98&amp;"*",'Location Master'!$G$2:$G$502,0)))), ""))</f>
        <v/>
      </c>
      <c r="E98" s="116"/>
      <c r="F98" s="117"/>
      <c r="G98" s="114" t="str">
        <f>IF(B98="","",IFERROR(VLOOKUP(B98,'Material Master'!$A$2:$E$201,4,FALSE),""))</f>
        <v/>
      </c>
      <c r="H98" s="114"/>
      <c r="I98" s="114"/>
      <c r="J98" s="11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0" customHeight="1">
      <c r="A99" s="113"/>
      <c r="B99" s="114"/>
      <c r="C99" s="114" t="str">
        <f>IF(B99="","",IFERROR(VLOOKUP(B99,'Material Master'!$A$2:$E$201,2,FALSE),""))</f>
        <v/>
      </c>
      <c r="D99" s="114" t="str">
        <f t="array" ref="D99">IF(B99="","",IFERROR(INDEX('Location Master'!$E$2:$E$502, IFERROR(MATCH(B99,'Location Master'!$G$2:$G$502,0), IFERROR(MATCH(B99&amp;" (*",'Location Master'!$G$2:$G$502,0), MATCH(B99&amp;"*",'Location Master'!$G$2:$G$502,0)))), ""))</f>
        <v/>
      </c>
      <c r="E99" s="116"/>
      <c r="F99" s="117"/>
      <c r="G99" s="114" t="str">
        <f>IF(B99="","",IFERROR(VLOOKUP(B99,'Material Master'!$A$2:$E$201,4,FALSE),""))</f>
        <v/>
      </c>
      <c r="H99" s="114"/>
      <c r="I99" s="114"/>
      <c r="J99" s="11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4.0" customHeight="1">
      <c r="A100" s="113"/>
      <c r="B100" s="114"/>
      <c r="C100" s="114" t="str">
        <f>IF(B100="","",IFERROR(VLOOKUP(B100,'Material Master'!$A$2:$E$201,2,FALSE),""))</f>
        <v/>
      </c>
      <c r="D100" s="114" t="str">
        <f t="array" ref="D100">IF(B100="","",IFERROR(INDEX('Location Master'!$E$2:$E$502, IFERROR(MATCH(B100,'Location Master'!$G$2:$G$502,0), IFERROR(MATCH(B100&amp;" (*",'Location Master'!$G$2:$G$502,0), MATCH(B100&amp;"*",'Location Master'!$G$2:$G$502,0)))), ""))</f>
        <v/>
      </c>
      <c r="E100" s="116"/>
      <c r="F100" s="117"/>
      <c r="G100" s="114" t="str">
        <f>IF(B100="","",IFERROR(VLOOKUP(B100,'Material Master'!$A$2:$E$201,4,FALSE),""))</f>
        <v/>
      </c>
      <c r="H100" s="114"/>
      <c r="I100" s="114"/>
      <c r="J100" s="11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0" customHeight="1">
      <c r="A101" s="113"/>
      <c r="B101" s="114"/>
      <c r="C101" s="114" t="str">
        <f>IF(B101="","",IFERROR(VLOOKUP(B101,'Material Master'!$A$2:$E$201,2,FALSE),""))</f>
        <v/>
      </c>
      <c r="D101" s="114" t="str">
        <f t="array" ref="D101">IF(B101="","",IFERROR(INDEX('Location Master'!$E$2:$E$502, IFERROR(MATCH(B101,'Location Master'!$G$2:$G$502,0), IFERROR(MATCH(B101&amp;" (*",'Location Master'!$G$2:$G$502,0), MATCH(B101&amp;"*",'Location Master'!$G$2:$G$502,0)))), ""))</f>
        <v/>
      </c>
      <c r="E101" s="116"/>
      <c r="F101" s="117"/>
      <c r="G101" s="114" t="str">
        <f>IF(B101="","",IFERROR(VLOOKUP(B101,'Material Master'!$A$2:$E$201,4,FALSE),""))</f>
        <v/>
      </c>
      <c r="H101" s="114"/>
      <c r="I101" s="114"/>
      <c r="J101" s="11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4.0" customHeight="1">
      <c r="A102" s="113"/>
      <c r="B102" s="114"/>
      <c r="C102" s="114" t="str">
        <f>IF(B102="","",IFERROR(VLOOKUP(B102,'Material Master'!$A$2:$E$201,2,FALSE),""))</f>
        <v/>
      </c>
      <c r="D102" s="114" t="str">
        <f t="array" ref="D102">IF(B102="","",IFERROR(INDEX('Location Master'!$E$2:$E$502, IFERROR(MATCH(B102,'Location Master'!$G$2:$G$502,0), IFERROR(MATCH(B102&amp;" (*",'Location Master'!$G$2:$G$502,0), MATCH(B102&amp;"*",'Location Master'!$G$2:$G$502,0)))), ""))</f>
        <v/>
      </c>
      <c r="E102" s="116"/>
      <c r="F102" s="117"/>
      <c r="G102" s="114" t="str">
        <f>IF(B102="","",IFERROR(VLOOKUP(B102,'Material Master'!$A$2:$E$201,4,FALSE),""))</f>
        <v/>
      </c>
      <c r="H102" s="114"/>
      <c r="I102" s="114"/>
      <c r="J102" s="11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4.0" customHeight="1">
      <c r="A103" s="113"/>
      <c r="B103" s="114"/>
      <c r="C103" s="114" t="str">
        <f>IF(B103="","",IFERROR(VLOOKUP(B103,'Material Master'!$A$2:$E$201,2,FALSE),""))</f>
        <v/>
      </c>
      <c r="D103" s="114" t="str">
        <f t="array" ref="D103">IF(B103="","",IFERROR(INDEX('Location Master'!$E$2:$E$502, IFERROR(MATCH(B103,'Location Master'!$G$2:$G$502,0), IFERROR(MATCH(B103&amp;" (*",'Location Master'!$G$2:$G$502,0), MATCH(B103&amp;"*",'Location Master'!$G$2:$G$502,0)))), ""))</f>
        <v/>
      </c>
      <c r="E103" s="116"/>
      <c r="F103" s="117"/>
      <c r="G103" s="114" t="str">
        <f>IF(B103="","",IFERROR(VLOOKUP(B103,'Material Master'!$A$2:$E$201,4,FALSE),""))</f>
        <v/>
      </c>
      <c r="H103" s="114"/>
      <c r="I103" s="114"/>
      <c r="J103" s="11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4.0" customHeight="1">
      <c r="A104" s="113"/>
      <c r="B104" s="114"/>
      <c r="C104" s="114" t="str">
        <f>IF(B104="","",IFERROR(VLOOKUP(B104,'Material Master'!$A$2:$E$201,2,FALSE),""))</f>
        <v/>
      </c>
      <c r="D104" s="114" t="str">
        <f t="array" ref="D104">IF(B104="","",IFERROR(INDEX('Location Master'!$E$2:$E$502, IFERROR(MATCH(B104,'Location Master'!$G$2:$G$502,0), IFERROR(MATCH(B104&amp;" (*",'Location Master'!$G$2:$G$502,0), MATCH(B104&amp;"*",'Location Master'!$G$2:$G$502,0)))), ""))</f>
        <v/>
      </c>
      <c r="E104" s="116"/>
      <c r="F104" s="117"/>
      <c r="G104" s="114" t="str">
        <f>IF(B104="","",IFERROR(VLOOKUP(B104,'Material Master'!$A$2:$E$201,4,FALSE),""))</f>
        <v/>
      </c>
      <c r="H104" s="114"/>
      <c r="I104" s="114"/>
      <c r="J104" s="11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4.0" customHeight="1">
      <c r="A105" s="113"/>
      <c r="B105" s="114"/>
      <c r="C105" s="114" t="str">
        <f>IF(B105="","",IFERROR(VLOOKUP(B105,'Material Master'!$A$2:$E$201,2,FALSE),""))</f>
        <v/>
      </c>
      <c r="D105" s="114" t="str">
        <f t="array" ref="D105">IF(B105="","",IFERROR(INDEX('Location Master'!$E$2:$E$502, IFERROR(MATCH(B105,'Location Master'!$G$2:$G$502,0), IFERROR(MATCH(B105&amp;" (*",'Location Master'!$G$2:$G$502,0), MATCH(B105&amp;"*",'Location Master'!$G$2:$G$502,0)))), ""))</f>
        <v/>
      </c>
      <c r="E105" s="116"/>
      <c r="F105" s="117"/>
      <c r="G105" s="114" t="str">
        <f>IF(B105="","",IFERROR(VLOOKUP(B105,'Material Master'!$A$2:$E$201,4,FALSE),""))</f>
        <v/>
      </c>
      <c r="H105" s="114"/>
      <c r="I105" s="114"/>
      <c r="J105" s="11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4.0" customHeight="1">
      <c r="A106" s="113"/>
      <c r="B106" s="114"/>
      <c r="C106" s="114" t="str">
        <f>IF(B106="","",IFERROR(VLOOKUP(B106,'Material Master'!$A$2:$E$201,2,FALSE),""))</f>
        <v/>
      </c>
      <c r="D106" s="114" t="str">
        <f t="array" ref="D106">IF(B106="","",IFERROR(INDEX('Location Master'!$E$2:$E$502, IFERROR(MATCH(B106,'Location Master'!$G$2:$G$502,0), IFERROR(MATCH(B106&amp;" (*",'Location Master'!$G$2:$G$502,0), MATCH(B106&amp;"*",'Location Master'!$G$2:$G$502,0)))), ""))</f>
        <v/>
      </c>
      <c r="E106" s="116"/>
      <c r="F106" s="117"/>
      <c r="G106" s="114" t="str">
        <f>IF(B106="","",IFERROR(VLOOKUP(B106,'Material Master'!$A$2:$E$201,4,FALSE),""))</f>
        <v/>
      </c>
      <c r="H106" s="114"/>
      <c r="I106" s="114"/>
      <c r="J106" s="11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4.0" customHeight="1">
      <c r="A107" s="113"/>
      <c r="B107" s="114"/>
      <c r="C107" s="114" t="str">
        <f>IF(B107="","",IFERROR(VLOOKUP(B107,'Material Master'!$A$2:$E$201,2,FALSE),""))</f>
        <v/>
      </c>
      <c r="D107" s="114" t="str">
        <f t="array" ref="D107">IF(B107="","",IFERROR(INDEX('Location Master'!$E$2:$E$502, IFERROR(MATCH(B107,'Location Master'!$G$2:$G$502,0), IFERROR(MATCH(B107&amp;" (*",'Location Master'!$G$2:$G$502,0), MATCH(B107&amp;"*",'Location Master'!$G$2:$G$502,0)))), ""))</f>
        <v/>
      </c>
      <c r="E107" s="116"/>
      <c r="F107" s="117"/>
      <c r="G107" s="114" t="str">
        <f>IF(B107="","",IFERROR(VLOOKUP(B107,'Material Master'!$A$2:$E$201,4,FALSE),""))</f>
        <v/>
      </c>
      <c r="H107" s="114"/>
      <c r="I107" s="114"/>
      <c r="J107" s="11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4.0" customHeight="1">
      <c r="A108" s="113"/>
      <c r="B108" s="114"/>
      <c r="C108" s="114" t="str">
        <f>IF(B108="","",IFERROR(VLOOKUP(B108,'Material Master'!$A$2:$E$201,2,FALSE),""))</f>
        <v/>
      </c>
      <c r="D108" s="114" t="str">
        <f t="array" ref="D108">IF(B108="","",IFERROR(INDEX('Location Master'!$E$2:$E$502, IFERROR(MATCH(B108,'Location Master'!$G$2:$G$502,0), IFERROR(MATCH(B108&amp;" (*",'Location Master'!$G$2:$G$502,0), MATCH(B108&amp;"*",'Location Master'!$G$2:$G$502,0)))), ""))</f>
        <v/>
      </c>
      <c r="E108" s="116"/>
      <c r="F108" s="117"/>
      <c r="G108" s="114" t="str">
        <f>IF(B108="","",IFERROR(VLOOKUP(B108,'Material Master'!$A$2:$E$201,4,FALSE),""))</f>
        <v/>
      </c>
      <c r="H108" s="114"/>
      <c r="I108" s="114"/>
      <c r="J108" s="11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4.0" customHeight="1">
      <c r="A109" s="113"/>
      <c r="B109" s="114"/>
      <c r="C109" s="114" t="str">
        <f>IF(B109="","",IFERROR(VLOOKUP(B109,'Material Master'!$A$2:$E$201,2,FALSE),""))</f>
        <v/>
      </c>
      <c r="D109" s="114" t="str">
        <f t="array" ref="D109">IF(B109="","",IFERROR(INDEX('Location Master'!$E$2:$E$502, IFERROR(MATCH(B109,'Location Master'!$G$2:$G$502,0), IFERROR(MATCH(B109&amp;" (*",'Location Master'!$G$2:$G$502,0), MATCH(B109&amp;"*",'Location Master'!$G$2:$G$502,0)))), ""))</f>
        <v/>
      </c>
      <c r="E109" s="116"/>
      <c r="F109" s="117"/>
      <c r="G109" s="114" t="str">
        <f>IF(B109="","",IFERROR(VLOOKUP(B109,'Material Master'!$A$2:$E$201,4,FALSE),""))</f>
        <v/>
      </c>
      <c r="H109" s="114"/>
      <c r="I109" s="114"/>
      <c r="J109" s="11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4.0" customHeight="1">
      <c r="A110" s="113"/>
      <c r="B110" s="114"/>
      <c r="C110" s="114" t="str">
        <f>IF(B110="","",IFERROR(VLOOKUP(B110,'Material Master'!$A$2:$E$201,2,FALSE),""))</f>
        <v/>
      </c>
      <c r="D110" s="114" t="str">
        <f t="array" ref="D110">IF(B110="","",IFERROR(INDEX('Location Master'!$E$2:$E$502, IFERROR(MATCH(B110,'Location Master'!$G$2:$G$502,0), IFERROR(MATCH(B110&amp;" (*",'Location Master'!$G$2:$G$502,0), MATCH(B110&amp;"*",'Location Master'!$G$2:$G$502,0)))), ""))</f>
        <v/>
      </c>
      <c r="E110" s="116"/>
      <c r="F110" s="117"/>
      <c r="G110" s="114" t="str">
        <f>IF(B110="","",IFERROR(VLOOKUP(B110,'Material Master'!$A$2:$E$201,4,FALSE),""))</f>
        <v/>
      </c>
      <c r="H110" s="114"/>
      <c r="I110" s="114"/>
      <c r="J110" s="11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A111" s="113"/>
      <c r="B111" s="114"/>
      <c r="C111" s="114" t="str">
        <f>IF(B111="","",IFERROR(VLOOKUP(B111,'Material Master'!$A$2:$E$201,2,FALSE),""))</f>
        <v/>
      </c>
      <c r="D111" s="114" t="str">
        <f t="array" ref="D111">IF(B111="","",IFERROR(INDEX('Location Master'!$E$2:$E$502, IFERROR(MATCH(B111,'Location Master'!$G$2:$G$502,0), IFERROR(MATCH(B111&amp;" (*",'Location Master'!$G$2:$G$502,0), MATCH(B111&amp;"*",'Location Master'!$G$2:$G$502,0)))), ""))</f>
        <v/>
      </c>
      <c r="E111" s="116"/>
      <c r="F111" s="117"/>
      <c r="G111" s="114" t="str">
        <f>IF(B111="","",IFERROR(VLOOKUP(B111,'Material Master'!$A$2:$E$201,4,FALSE),""))</f>
        <v/>
      </c>
      <c r="H111" s="114"/>
      <c r="I111" s="114"/>
      <c r="J111" s="11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A112" s="113"/>
      <c r="B112" s="114"/>
      <c r="C112" s="114" t="str">
        <f>IF(B112="","",IFERROR(VLOOKUP(B112,'Material Master'!$A$2:$E$201,2,FALSE),""))</f>
        <v/>
      </c>
      <c r="D112" s="114" t="str">
        <f t="array" ref="D112">IF(B112="","",IFERROR(INDEX('Location Master'!$E$2:$E$502, IFERROR(MATCH(B112,'Location Master'!$G$2:$G$502,0), IFERROR(MATCH(B112&amp;" (*",'Location Master'!$G$2:$G$502,0), MATCH(B112&amp;"*",'Location Master'!$G$2:$G$502,0)))), ""))</f>
        <v/>
      </c>
      <c r="E112" s="116"/>
      <c r="F112" s="117"/>
      <c r="G112" s="114" t="str">
        <f>IF(B112="","",IFERROR(VLOOKUP(B112,'Material Master'!$A$2:$E$201,4,FALSE),""))</f>
        <v/>
      </c>
      <c r="H112" s="114"/>
      <c r="I112" s="114"/>
      <c r="J112" s="11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4.0" customHeight="1">
      <c r="A113" s="113"/>
      <c r="B113" s="114"/>
      <c r="C113" s="114" t="str">
        <f>IF(B113="","",IFERROR(VLOOKUP(B113,'Material Master'!$A$2:$E$201,2,FALSE),""))</f>
        <v/>
      </c>
      <c r="D113" s="114" t="str">
        <f t="array" ref="D113">IF(B113="","",IFERROR(INDEX('Location Master'!$E$2:$E$502, IFERROR(MATCH(B113,'Location Master'!$G$2:$G$502,0), IFERROR(MATCH(B113&amp;" (*",'Location Master'!$G$2:$G$502,0), MATCH(B113&amp;"*",'Location Master'!$G$2:$G$502,0)))), ""))</f>
        <v/>
      </c>
      <c r="E113" s="116"/>
      <c r="F113" s="117"/>
      <c r="G113" s="114" t="str">
        <f>IF(B113="","",IFERROR(VLOOKUP(B113,'Material Master'!$A$2:$E$201,4,FALSE),""))</f>
        <v/>
      </c>
      <c r="H113" s="114"/>
      <c r="I113" s="114"/>
      <c r="J113" s="11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4.0" customHeight="1">
      <c r="A114" s="113"/>
      <c r="B114" s="114"/>
      <c r="C114" s="114" t="str">
        <f>IF(B114="","",IFERROR(VLOOKUP(B114,'Material Master'!$A$2:$E$201,2,FALSE),""))</f>
        <v/>
      </c>
      <c r="D114" s="114" t="str">
        <f t="array" ref="D114">IF(B114="","",IFERROR(INDEX('Location Master'!$E$2:$E$502, IFERROR(MATCH(B114,'Location Master'!$G$2:$G$502,0), IFERROR(MATCH(B114&amp;" (*",'Location Master'!$G$2:$G$502,0), MATCH(B114&amp;"*",'Location Master'!$G$2:$G$502,0)))), ""))</f>
        <v/>
      </c>
      <c r="E114" s="116"/>
      <c r="F114" s="117"/>
      <c r="G114" s="114" t="str">
        <f>IF(B114="","",IFERROR(VLOOKUP(B114,'Material Master'!$A$2:$E$201,4,FALSE),""))</f>
        <v/>
      </c>
      <c r="H114" s="114"/>
      <c r="I114" s="114"/>
      <c r="J114" s="11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4.0" customHeight="1">
      <c r="A115" s="113"/>
      <c r="B115" s="114"/>
      <c r="C115" s="114" t="str">
        <f>IF(B115="","",IFERROR(VLOOKUP(B115,'Material Master'!$A$2:$E$201,2,FALSE),""))</f>
        <v/>
      </c>
      <c r="D115" s="114" t="str">
        <f t="array" ref="D115">IF(B115="","",IFERROR(INDEX('Location Master'!$E$2:$E$502, IFERROR(MATCH(B115,'Location Master'!$G$2:$G$502,0), IFERROR(MATCH(B115&amp;" (*",'Location Master'!$G$2:$G$502,0), MATCH(B115&amp;"*",'Location Master'!$G$2:$G$502,0)))), ""))</f>
        <v/>
      </c>
      <c r="E115" s="116"/>
      <c r="F115" s="117"/>
      <c r="G115" s="114" t="str">
        <f>IF(B115="","",IFERROR(VLOOKUP(B115,'Material Master'!$A$2:$E$201,4,FALSE),""))</f>
        <v/>
      </c>
      <c r="H115" s="114"/>
      <c r="I115" s="114"/>
      <c r="J115" s="11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4.0" customHeight="1">
      <c r="A116" s="113"/>
      <c r="B116" s="114"/>
      <c r="C116" s="114" t="str">
        <f>IF(B116="","",IFERROR(VLOOKUP(B116,'Material Master'!$A$2:$E$201,2,FALSE),""))</f>
        <v/>
      </c>
      <c r="D116" s="114" t="str">
        <f t="array" ref="D116">IF(B116="","",IFERROR(INDEX('Location Master'!$E$2:$E$502, IFERROR(MATCH(B116,'Location Master'!$G$2:$G$502,0), IFERROR(MATCH(B116&amp;" (*",'Location Master'!$G$2:$G$502,0), MATCH(B116&amp;"*",'Location Master'!$G$2:$G$502,0)))), ""))</f>
        <v/>
      </c>
      <c r="E116" s="116"/>
      <c r="F116" s="117"/>
      <c r="G116" s="114" t="str">
        <f>IF(B116="","",IFERROR(VLOOKUP(B116,'Material Master'!$A$2:$E$201,4,FALSE),""))</f>
        <v/>
      </c>
      <c r="H116" s="114"/>
      <c r="I116" s="114"/>
      <c r="J116" s="11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0" customHeight="1">
      <c r="A117" s="113"/>
      <c r="B117" s="114"/>
      <c r="C117" s="114" t="str">
        <f>IF(B117="","",IFERROR(VLOOKUP(B117,'Material Master'!$A$2:$E$201,2,FALSE),""))</f>
        <v/>
      </c>
      <c r="D117" s="114" t="str">
        <f t="array" ref="D117">IF(B117="","",IFERROR(INDEX('Location Master'!$E$2:$E$502, IFERROR(MATCH(B117,'Location Master'!$G$2:$G$502,0), IFERROR(MATCH(B117&amp;" (*",'Location Master'!$G$2:$G$502,0), MATCH(B117&amp;"*",'Location Master'!$G$2:$G$502,0)))), ""))</f>
        <v/>
      </c>
      <c r="E117" s="116"/>
      <c r="F117" s="117"/>
      <c r="G117" s="114" t="str">
        <f>IF(B117="","",IFERROR(VLOOKUP(B117,'Material Master'!$A$2:$E$201,4,FALSE),""))</f>
        <v/>
      </c>
      <c r="H117" s="114"/>
      <c r="I117" s="114"/>
      <c r="J117" s="11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0" customHeight="1">
      <c r="A118" s="113"/>
      <c r="B118" s="114"/>
      <c r="C118" s="114" t="str">
        <f>IF(B118="","",IFERROR(VLOOKUP(B118,'Material Master'!$A$2:$E$201,2,FALSE),""))</f>
        <v/>
      </c>
      <c r="D118" s="114" t="str">
        <f t="array" ref="D118">IF(B118="","",IFERROR(INDEX('Location Master'!$E$2:$E$502, IFERROR(MATCH(B118,'Location Master'!$G$2:$G$502,0), IFERROR(MATCH(B118&amp;" (*",'Location Master'!$G$2:$G$502,0), MATCH(B118&amp;"*",'Location Master'!$G$2:$G$502,0)))), ""))</f>
        <v/>
      </c>
      <c r="E118" s="116"/>
      <c r="F118" s="117"/>
      <c r="G118" s="114" t="str">
        <f>IF(B118="","",IFERROR(VLOOKUP(B118,'Material Master'!$A$2:$E$201,4,FALSE),""))</f>
        <v/>
      </c>
      <c r="H118" s="114"/>
      <c r="I118" s="114"/>
      <c r="J118" s="11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0" customHeight="1">
      <c r="A119" s="113"/>
      <c r="B119" s="114"/>
      <c r="C119" s="114" t="str">
        <f>IF(B119="","",IFERROR(VLOOKUP(B119,'Material Master'!$A$2:$E$201,2,FALSE),""))</f>
        <v/>
      </c>
      <c r="D119" s="114" t="str">
        <f t="array" ref="D119">IF(B119="","",IFERROR(INDEX('Location Master'!$E$2:$E$502, IFERROR(MATCH(B119,'Location Master'!$G$2:$G$502,0), IFERROR(MATCH(B119&amp;" (*",'Location Master'!$G$2:$G$502,0), MATCH(B119&amp;"*",'Location Master'!$G$2:$G$502,0)))), ""))</f>
        <v/>
      </c>
      <c r="E119" s="116"/>
      <c r="F119" s="117"/>
      <c r="G119" s="114" t="str">
        <f>IF(B119="","",IFERROR(VLOOKUP(B119,'Material Master'!$A$2:$E$201,4,FALSE),""))</f>
        <v/>
      </c>
      <c r="H119" s="114"/>
      <c r="I119" s="114"/>
      <c r="J119" s="11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0" customHeight="1">
      <c r="A120" s="113"/>
      <c r="B120" s="114"/>
      <c r="C120" s="114" t="str">
        <f>IF(B120="","",IFERROR(VLOOKUP(B120,'Material Master'!$A$2:$E$201,2,FALSE),""))</f>
        <v/>
      </c>
      <c r="D120" s="114" t="str">
        <f t="array" ref="D120">IF(B120="","",IFERROR(INDEX('Location Master'!$E$2:$E$502, IFERROR(MATCH(B120,'Location Master'!$G$2:$G$502,0), IFERROR(MATCH(B120&amp;" (*",'Location Master'!$G$2:$G$502,0), MATCH(B120&amp;"*",'Location Master'!$G$2:$G$502,0)))), ""))</f>
        <v/>
      </c>
      <c r="E120" s="116"/>
      <c r="F120" s="117"/>
      <c r="G120" s="114" t="str">
        <f>IF(B120="","",IFERROR(VLOOKUP(B120,'Material Master'!$A$2:$E$201,4,FALSE),""))</f>
        <v/>
      </c>
      <c r="H120" s="114"/>
      <c r="I120" s="114"/>
      <c r="J120" s="11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0" customHeight="1">
      <c r="A121" s="113"/>
      <c r="B121" s="114"/>
      <c r="C121" s="114" t="str">
        <f>IF(B121="","",IFERROR(VLOOKUP(B121,'Material Master'!$A$2:$E$201,2,FALSE),""))</f>
        <v/>
      </c>
      <c r="D121" s="114" t="str">
        <f t="array" ref="D121">IF(B121="","",IFERROR(INDEX('Location Master'!$E$2:$E$502, IFERROR(MATCH(B121,'Location Master'!$G$2:$G$502,0), IFERROR(MATCH(B121&amp;" (*",'Location Master'!$G$2:$G$502,0), MATCH(B121&amp;"*",'Location Master'!$G$2:$G$502,0)))), ""))</f>
        <v/>
      </c>
      <c r="E121" s="116"/>
      <c r="F121" s="117"/>
      <c r="G121" s="114" t="str">
        <f>IF(B121="","",IFERROR(VLOOKUP(B121,'Material Master'!$A$2:$E$201,4,FALSE),""))</f>
        <v/>
      </c>
      <c r="H121" s="114"/>
      <c r="I121" s="114"/>
      <c r="J121" s="11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0" customHeight="1">
      <c r="A122" s="113"/>
      <c r="B122" s="114"/>
      <c r="C122" s="114" t="str">
        <f>IF(B122="","",IFERROR(VLOOKUP(B122,'Material Master'!$A$2:$E$201,2,FALSE),""))</f>
        <v/>
      </c>
      <c r="D122" s="114" t="str">
        <f t="array" ref="D122">IF(B122="","",IFERROR(INDEX('Location Master'!$E$2:$E$502, IFERROR(MATCH(B122,'Location Master'!$G$2:$G$502,0), IFERROR(MATCH(B122&amp;" (*",'Location Master'!$G$2:$G$502,0), MATCH(B122&amp;"*",'Location Master'!$G$2:$G$502,0)))), ""))</f>
        <v/>
      </c>
      <c r="E122" s="116"/>
      <c r="F122" s="117"/>
      <c r="G122" s="114" t="str">
        <f>IF(B122="","",IFERROR(VLOOKUP(B122,'Material Master'!$A$2:$E$201,4,FALSE),""))</f>
        <v/>
      </c>
      <c r="H122" s="114"/>
      <c r="I122" s="114"/>
      <c r="J122" s="11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0" customHeight="1">
      <c r="A123" s="113"/>
      <c r="B123" s="114"/>
      <c r="C123" s="114" t="str">
        <f>IF(B123="","",IFERROR(VLOOKUP(B123,'Material Master'!$A$2:$E$201,2,FALSE),""))</f>
        <v/>
      </c>
      <c r="D123" s="114" t="str">
        <f t="array" ref="D123">IF(B123="","",IFERROR(INDEX('Location Master'!$E$2:$E$502, IFERROR(MATCH(B123,'Location Master'!$G$2:$G$502,0), IFERROR(MATCH(B123&amp;" (*",'Location Master'!$G$2:$G$502,0), MATCH(B123&amp;"*",'Location Master'!$G$2:$G$502,0)))), ""))</f>
        <v/>
      </c>
      <c r="E123" s="116"/>
      <c r="F123" s="117"/>
      <c r="G123" s="114" t="str">
        <f>IF(B123="","",IFERROR(VLOOKUP(B123,'Material Master'!$A$2:$E$201,4,FALSE),""))</f>
        <v/>
      </c>
      <c r="H123" s="114"/>
      <c r="I123" s="114"/>
      <c r="J123" s="11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4.0" customHeight="1">
      <c r="A124" s="113"/>
      <c r="B124" s="114"/>
      <c r="C124" s="114" t="str">
        <f>IF(B124="","",IFERROR(VLOOKUP(B124,'Material Master'!$A$2:$E$201,2,FALSE),""))</f>
        <v/>
      </c>
      <c r="D124" s="114" t="str">
        <f t="array" ref="D124">IF(B124="","",IFERROR(INDEX('Location Master'!$E$2:$E$502, IFERROR(MATCH(B124,'Location Master'!$G$2:$G$502,0), IFERROR(MATCH(B124&amp;" (*",'Location Master'!$G$2:$G$502,0), MATCH(B124&amp;"*",'Location Master'!$G$2:$G$502,0)))), ""))</f>
        <v/>
      </c>
      <c r="E124" s="116"/>
      <c r="F124" s="117"/>
      <c r="G124" s="114" t="str">
        <f>IF(B124="","",IFERROR(VLOOKUP(B124,'Material Master'!$A$2:$E$201,4,FALSE),""))</f>
        <v/>
      </c>
      <c r="H124" s="114"/>
      <c r="I124" s="114"/>
      <c r="J124" s="11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4.0" customHeight="1">
      <c r="A125" s="113"/>
      <c r="B125" s="114"/>
      <c r="C125" s="114" t="str">
        <f>IF(B125="","",IFERROR(VLOOKUP(B125,'Material Master'!$A$2:$E$201,2,FALSE),""))</f>
        <v/>
      </c>
      <c r="D125" s="114" t="str">
        <f t="array" ref="D125">IF(B125="","",IFERROR(INDEX('Location Master'!$E$2:$E$502, IFERROR(MATCH(B125,'Location Master'!$G$2:$G$502,0), IFERROR(MATCH(B125&amp;" (*",'Location Master'!$G$2:$G$502,0), MATCH(B125&amp;"*",'Location Master'!$G$2:$G$502,0)))), ""))</f>
        <v/>
      </c>
      <c r="E125" s="116"/>
      <c r="F125" s="117"/>
      <c r="G125" s="114" t="str">
        <f>IF(B125="","",IFERROR(VLOOKUP(B125,'Material Master'!$A$2:$E$201,4,FALSE),""))</f>
        <v/>
      </c>
      <c r="H125" s="114"/>
      <c r="I125" s="114"/>
      <c r="J125" s="11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4.0" customHeight="1">
      <c r="A126" s="113"/>
      <c r="B126" s="114"/>
      <c r="C126" s="114" t="str">
        <f>IF(B126="","",IFERROR(VLOOKUP(B126,'Material Master'!$A$2:$E$201,2,FALSE),""))</f>
        <v/>
      </c>
      <c r="D126" s="114" t="str">
        <f t="array" ref="D126">IF(B126="","",IFERROR(INDEX('Location Master'!$E$2:$E$502, IFERROR(MATCH(B126,'Location Master'!$G$2:$G$502,0), IFERROR(MATCH(B126&amp;" (*",'Location Master'!$G$2:$G$502,0), MATCH(B126&amp;"*",'Location Master'!$G$2:$G$502,0)))), ""))</f>
        <v/>
      </c>
      <c r="E126" s="116"/>
      <c r="F126" s="117"/>
      <c r="G126" s="114" t="str">
        <f>IF(B126="","",IFERROR(VLOOKUP(B126,'Material Master'!$A$2:$E$201,4,FALSE),""))</f>
        <v/>
      </c>
      <c r="H126" s="114"/>
      <c r="I126" s="114"/>
      <c r="J126" s="11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4.0" customHeight="1">
      <c r="A127" s="113"/>
      <c r="B127" s="114"/>
      <c r="C127" s="114" t="str">
        <f>IF(B127="","",IFERROR(VLOOKUP(B127,'Material Master'!$A$2:$E$201,2,FALSE),""))</f>
        <v/>
      </c>
      <c r="D127" s="114" t="str">
        <f t="array" ref="D127">IF(B127="","",IFERROR(INDEX('Location Master'!$E$2:$E$502, IFERROR(MATCH(B127,'Location Master'!$G$2:$G$502,0), IFERROR(MATCH(B127&amp;" (*",'Location Master'!$G$2:$G$502,0), MATCH(B127&amp;"*",'Location Master'!$G$2:$G$502,0)))), ""))</f>
        <v/>
      </c>
      <c r="E127" s="116"/>
      <c r="F127" s="117"/>
      <c r="G127" s="114" t="str">
        <f>IF(B127="","",IFERROR(VLOOKUP(B127,'Material Master'!$A$2:$E$201,4,FALSE),""))</f>
        <v/>
      </c>
      <c r="H127" s="114"/>
      <c r="I127" s="114"/>
      <c r="J127" s="11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4.0" customHeight="1">
      <c r="A128" s="113"/>
      <c r="B128" s="114"/>
      <c r="C128" s="114" t="str">
        <f>IF(B128="","",IFERROR(VLOOKUP(B128,'Material Master'!$A$2:$E$201,2,FALSE),""))</f>
        <v/>
      </c>
      <c r="D128" s="114" t="str">
        <f t="array" ref="D128">IF(B128="","",IFERROR(INDEX('Location Master'!$E$2:$E$502, IFERROR(MATCH(B128,'Location Master'!$G$2:$G$502,0), IFERROR(MATCH(B128&amp;" (*",'Location Master'!$G$2:$G$502,0), MATCH(B128&amp;"*",'Location Master'!$G$2:$G$502,0)))), ""))</f>
        <v/>
      </c>
      <c r="E128" s="116"/>
      <c r="F128" s="117"/>
      <c r="G128" s="114" t="str">
        <f>IF(B128="","",IFERROR(VLOOKUP(B128,'Material Master'!$A$2:$E$201,4,FALSE),""))</f>
        <v/>
      </c>
      <c r="H128" s="114"/>
      <c r="I128" s="114"/>
      <c r="J128" s="11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4.0" customHeight="1">
      <c r="A129" s="113"/>
      <c r="B129" s="114"/>
      <c r="C129" s="114" t="str">
        <f>IF(B129="","",IFERROR(VLOOKUP(B129,'Material Master'!$A$2:$E$201,2,FALSE),""))</f>
        <v/>
      </c>
      <c r="D129" s="114" t="str">
        <f t="array" ref="D129">IF(B129="","",IFERROR(INDEX('Location Master'!$E$2:$E$502, IFERROR(MATCH(B129,'Location Master'!$G$2:$G$502,0), IFERROR(MATCH(B129&amp;" (*",'Location Master'!$G$2:$G$502,0), MATCH(B129&amp;"*",'Location Master'!$G$2:$G$502,0)))), ""))</f>
        <v/>
      </c>
      <c r="E129" s="116"/>
      <c r="F129" s="117"/>
      <c r="G129" s="114" t="str">
        <f>IF(B129="","",IFERROR(VLOOKUP(B129,'Material Master'!$A$2:$E$201,4,FALSE),""))</f>
        <v/>
      </c>
      <c r="H129" s="114"/>
      <c r="I129" s="114"/>
      <c r="J129" s="11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4.0" customHeight="1">
      <c r="A130" s="113"/>
      <c r="B130" s="114"/>
      <c r="C130" s="114" t="str">
        <f>IF(B130="","",IFERROR(VLOOKUP(B130,'Material Master'!$A$2:$E$201,2,FALSE),""))</f>
        <v/>
      </c>
      <c r="D130" s="114" t="str">
        <f t="array" ref="D130">IF(B130="","",IFERROR(INDEX('Location Master'!$E$2:$E$502, IFERROR(MATCH(B130,'Location Master'!$G$2:$G$502,0), IFERROR(MATCH(B130&amp;" (*",'Location Master'!$G$2:$G$502,0), MATCH(B130&amp;"*",'Location Master'!$G$2:$G$502,0)))), ""))</f>
        <v/>
      </c>
      <c r="E130" s="116"/>
      <c r="F130" s="117"/>
      <c r="G130" s="114" t="str">
        <f>IF(B130="","",IFERROR(VLOOKUP(B130,'Material Master'!$A$2:$E$201,4,FALSE),""))</f>
        <v/>
      </c>
      <c r="H130" s="114"/>
      <c r="I130" s="114"/>
      <c r="J130" s="11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4.0" customHeight="1">
      <c r="A131" s="113"/>
      <c r="B131" s="114"/>
      <c r="C131" s="114" t="str">
        <f>IF(B131="","",IFERROR(VLOOKUP(B131,'Material Master'!$A$2:$E$201,2,FALSE),""))</f>
        <v/>
      </c>
      <c r="D131" s="114" t="str">
        <f t="array" ref="D131">IF(B131="","",IFERROR(INDEX('Location Master'!$E$2:$E$502, IFERROR(MATCH(B131,'Location Master'!$G$2:$G$502,0), IFERROR(MATCH(B131&amp;" (*",'Location Master'!$G$2:$G$502,0), MATCH(B131&amp;"*",'Location Master'!$G$2:$G$502,0)))), ""))</f>
        <v/>
      </c>
      <c r="E131" s="116"/>
      <c r="F131" s="117"/>
      <c r="G131" s="114" t="str">
        <f>IF(B131="","",IFERROR(VLOOKUP(B131,'Material Master'!$A$2:$E$201,4,FALSE),""))</f>
        <v/>
      </c>
      <c r="H131" s="114"/>
      <c r="I131" s="114"/>
      <c r="J131" s="11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4.0" customHeight="1">
      <c r="A132" s="113"/>
      <c r="B132" s="114"/>
      <c r="C132" s="114" t="str">
        <f>IF(B132="","",IFERROR(VLOOKUP(B132,'Material Master'!$A$2:$E$201,2,FALSE),""))</f>
        <v/>
      </c>
      <c r="D132" s="114" t="str">
        <f t="array" ref="D132">IF(B132="","",IFERROR(INDEX('Location Master'!$E$2:$E$502, IFERROR(MATCH(B132,'Location Master'!$G$2:$G$502,0), IFERROR(MATCH(B132&amp;" (*",'Location Master'!$G$2:$G$502,0), MATCH(B132&amp;"*",'Location Master'!$G$2:$G$502,0)))), ""))</f>
        <v/>
      </c>
      <c r="E132" s="116"/>
      <c r="F132" s="117"/>
      <c r="G132" s="114" t="str">
        <f>IF(B132="","",IFERROR(VLOOKUP(B132,'Material Master'!$A$2:$E$201,4,FALSE),""))</f>
        <v/>
      </c>
      <c r="H132" s="114"/>
      <c r="I132" s="114"/>
      <c r="J132" s="11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4.0" customHeight="1">
      <c r="A133" s="113"/>
      <c r="B133" s="114"/>
      <c r="C133" s="114" t="str">
        <f>IF(B133="","",IFERROR(VLOOKUP(B133,'Material Master'!$A$2:$E$201,2,FALSE),""))</f>
        <v/>
      </c>
      <c r="D133" s="114" t="str">
        <f t="array" ref="D133">IF(B133="","",IFERROR(INDEX('Location Master'!$E$2:$E$502, IFERROR(MATCH(B133,'Location Master'!$G$2:$G$502,0), IFERROR(MATCH(B133&amp;" (*",'Location Master'!$G$2:$G$502,0), MATCH(B133&amp;"*",'Location Master'!$G$2:$G$502,0)))), ""))</f>
        <v/>
      </c>
      <c r="E133" s="116"/>
      <c r="F133" s="117"/>
      <c r="G133" s="114" t="str">
        <f>IF(B133="","",IFERROR(VLOOKUP(B133,'Material Master'!$A$2:$E$201,4,FALSE),""))</f>
        <v/>
      </c>
      <c r="H133" s="114"/>
      <c r="I133" s="114"/>
      <c r="J133" s="11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4.0" customHeight="1">
      <c r="A134" s="113"/>
      <c r="B134" s="114"/>
      <c r="C134" s="114" t="str">
        <f>IF(B134="","",IFERROR(VLOOKUP(B134,'Material Master'!$A$2:$E$201,2,FALSE),""))</f>
        <v/>
      </c>
      <c r="D134" s="114" t="str">
        <f t="array" ref="D134">IF(B134="","",IFERROR(INDEX('Location Master'!$E$2:$E$502, IFERROR(MATCH(B134,'Location Master'!$G$2:$G$502,0), IFERROR(MATCH(B134&amp;" (*",'Location Master'!$G$2:$G$502,0), MATCH(B134&amp;"*",'Location Master'!$G$2:$G$502,0)))), ""))</f>
        <v/>
      </c>
      <c r="E134" s="116"/>
      <c r="F134" s="117"/>
      <c r="G134" s="114" t="str">
        <f>IF(B134="","",IFERROR(VLOOKUP(B134,'Material Master'!$A$2:$E$201,4,FALSE),""))</f>
        <v/>
      </c>
      <c r="H134" s="114"/>
      <c r="I134" s="114"/>
      <c r="J134" s="11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4.0" customHeight="1">
      <c r="A135" s="113"/>
      <c r="B135" s="114"/>
      <c r="C135" s="114" t="str">
        <f>IF(B135="","",IFERROR(VLOOKUP(B135,'Material Master'!$A$2:$E$201,2,FALSE),""))</f>
        <v/>
      </c>
      <c r="D135" s="114" t="str">
        <f t="array" ref="D135">IF(B135="","",IFERROR(INDEX('Location Master'!$E$2:$E$502, IFERROR(MATCH(B135,'Location Master'!$G$2:$G$502,0), IFERROR(MATCH(B135&amp;" (*",'Location Master'!$G$2:$G$502,0), MATCH(B135&amp;"*",'Location Master'!$G$2:$G$502,0)))), ""))</f>
        <v/>
      </c>
      <c r="E135" s="116"/>
      <c r="F135" s="117"/>
      <c r="G135" s="114" t="str">
        <f>IF(B135="","",IFERROR(VLOOKUP(B135,'Material Master'!$A$2:$E$201,4,FALSE),""))</f>
        <v/>
      </c>
      <c r="H135" s="114"/>
      <c r="I135" s="114"/>
      <c r="J135" s="11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4.0" customHeight="1">
      <c r="A136" s="113"/>
      <c r="B136" s="114"/>
      <c r="C136" s="114" t="str">
        <f>IF(B136="","",IFERROR(VLOOKUP(B136,'Material Master'!$A$2:$E$201,2,FALSE),""))</f>
        <v/>
      </c>
      <c r="D136" s="114" t="str">
        <f t="array" ref="D136">IF(B136="","",IFERROR(INDEX('Location Master'!$E$2:$E$502, IFERROR(MATCH(B136,'Location Master'!$G$2:$G$502,0), IFERROR(MATCH(B136&amp;" (*",'Location Master'!$G$2:$G$502,0), MATCH(B136&amp;"*",'Location Master'!$G$2:$G$502,0)))), ""))</f>
        <v/>
      </c>
      <c r="E136" s="116"/>
      <c r="F136" s="117"/>
      <c r="G136" s="114" t="str">
        <f>IF(B136="","",IFERROR(VLOOKUP(B136,'Material Master'!$A$2:$E$201,4,FALSE),""))</f>
        <v/>
      </c>
      <c r="H136" s="114"/>
      <c r="I136" s="114"/>
      <c r="J136" s="11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4.0" customHeight="1">
      <c r="A137" s="113"/>
      <c r="B137" s="114"/>
      <c r="C137" s="114" t="str">
        <f>IF(B137="","",IFERROR(VLOOKUP(B137,'Material Master'!$A$2:$E$201,2,FALSE),""))</f>
        <v/>
      </c>
      <c r="D137" s="114" t="str">
        <f t="array" ref="D137">IF(B137="","",IFERROR(INDEX('Location Master'!$E$2:$E$502, IFERROR(MATCH(B137,'Location Master'!$G$2:$G$502,0), IFERROR(MATCH(B137&amp;" (*",'Location Master'!$G$2:$G$502,0), MATCH(B137&amp;"*",'Location Master'!$G$2:$G$502,0)))), ""))</f>
        <v/>
      </c>
      <c r="E137" s="116"/>
      <c r="F137" s="117"/>
      <c r="G137" s="114" t="str">
        <f>IF(B137="","",IFERROR(VLOOKUP(B137,'Material Master'!$A$2:$E$201,4,FALSE),""))</f>
        <v/>
      </c>
      <c r="H137" s="114"/>
      <c r="I137" s="114"/>
      <c r="J137" s="11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0" customHeight="1">
      <c r="A138" s="113"/>
      <c r="B138" s="114"/>
      <c r="C138" s="114" t="str">
        <f>IF(B138="","",IFERROR(VLOOKUP(B138,'Material Master'!$A$2:$E$201,2,FALSE),""))</f>
        <v/>
      </c>
      <c r="D138" s="114" t="str">
        <f t="array" ref="D138">IF(B138="","",IFERROR(INDEX('Location Master'!$E$2:$E$502, IFERROR(MATCH(B138,'Location Master'!$G$2:$G$502,0), IFERROR(MATCH(B138&amp;" (*",'Location Master'!$G$2:$G$502,0), MATCH(B138&amp;"*",'Location Master'!$G$2:$G$502,0)))), ""))</f>
        <v/>
      </c>
      <c r="E138" s="116"/>
      <c r="F138" s="117"/>
      <c r="G138" s="114" t="str">
        <f>IF(B138="","",IFERROR(VLOOKUP(B138,'Material Master'!$A$2:$E$201,4,FALSE),""))</f>
        <v/>
      </c>
      <c r="H138" s="114"/>
      <c r="I138" s="114"/>
      <c r="J138" s="11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0" customHeight="1">
      <c r="A139" s="113"/>
      <c r="B139" s="114"/>
      <c r="C139" s="114" t="str">
        <f>IF(B139="","",IFERROR(VLOOKUP(B139,'Material Master'!$A$2:$E$201,2,FALSE),""))</f>
        <v/>
      </c>
      <c r="D139" s="114" t="str">
        <f t="array" ref="D139">IF(B139="","",IFERROR(INDEX('Location Master'!$E$2:$E$502, IFERROR(MATCH(B139,'Location Master'!$G$2:$G$502,0), IFERROR(MATCH(B139&amp;" (*",'Location Master'!$G$2:$G$502,0), MATCH(B139&amp;"*",'Location Master'!$G$2:$G$502,0)))), ""))</f>
        <v/>
      </c>
      <c r="E139" s="116"/>
      <c r="F139" s="117"/>
      <c r="G139" s="114" t="str">
        <f>IF(B139="","",IFERROR(VLOOKUP(B139,'Material Master'!$A$2:$E$201,4,FALSE),""))</f>
        <v/>
      </c>
      <c r="H139" s="114"/>
      <c r="I139" s="114"/>
      <c r="J139" s="11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0" customHeight="1">
      <c r="A140" s="113"/>
      <c r="B140" s="114"/>
      <c r="C140" s="114" t="str">
        <f>IF(B140="","",IFERROR(VLOOKUP(B140,'Material Master'!$A$2:$E$201,2,FALSE),""))</f>
        <v/>
      </c>
      <c r="D140" s="114" t="str">
        <f t="array" ref="D140">IF(B140="","",IFERROR(INDEX('Location Master'!$E$2:$E$502, IFERROR(MATCH(B140,'Location Master'!$G$2:$G$502,0), IFERROR(MATCH(B140&amp;" (*",'Location Master'!$G$2:$G$502,0), MATCH(B140&amp;"*",'Location Master'!$G$2:$G$502,0)))), ""))</f>
        <v/>
      </c>
      <c r="E140" s="116"/>
      <c r="F140" s="117"/>
      <c r="G140" s="114" t="str">
        <f>IF(B140="","",IFERROR(VLOOKUP(B140,'Material Master'!$A$2:$E$201,4,FALSE),""))</f>
        <v/>
      </c>
      <c r="H140" s="114"/>
      <c r="I140" s="114"/>
      <c r="J140" s="11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0" customHeight="1">
      <c r="A141" s="113"/>
      <c r="B141" s="114"/>
      <c r="C141" s="114" t="str">
        <f>IF(B141="","",IFERROR(VLOOKUP(B141,'Material Master'!$A$2:$E$201,2,FALSE),""))</f>
        <v/>
      </c>
      <c r="D141" s="114" t="str">
        <f t="array" ref="D141">IF(B141="","",IFERROR(INDEX('Location Master'!$E$2:$E$502, IFERROR(MATCH(B141,'Location Master'!$G$2:$G$502,0), IFERROR(MATCH(B141&amp;" (*",'Location Master'!$G$2:$G$502,0), MATCH(B141&amp;"*",'Location Master'!$G$2:$G$502,0)))), ""))</f>
        <v/>
      </c>
      <c r="E141" s="116"/>
      <c r="F141" s="117"/>
      <c r="G141" s="114" t="str">
        <f>IF(B141="","",IFERROR(VLOOKUP(B141,'Material Master'!$A$2:$E$201,4,FALSE),""))</f>
        <v/>
      </c>
      <c r="H141" s="114"/>
      <c r="I141" s="114"/>
      <c r="J141" s="11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0" customHeight="1">
      <c r="A142" s="113"/>
      <c r="B142" s="114"/>
      <c r="C142" s="114" t="str">
        <f>IF(B142="","",IFERROR(VLOOKUP(B142,'Material Master'!$A$2:$E$201,2,FALSE),""))</f>
        <v/>
      </c>
      <c r="D142" s="114" t="str">
        <f t="array" ref="D142">IF(B142="","",IFERROR(INDEX('Location Master'!$E$2:$E$502, IFERROR(MATCH(B142,'Location Master'!$G$2:$G$502,0), IFERROR(MATCH(B142&amp;" (*",'Location Master'!$G$2:$G$502,0), MATCH(B142&amp;"*",'Location Master'!$G$2:$G$502,0)))), ""))</f>
        <v/>
      </c>
      <c r="E142" s="116"/>
      <c r="F142" s="117"/>
      <c r="G142" s="114" t="str">
        <f>IF(B142="","",IFERROR(VLOOKUP(B142,'Material Master'!$A$2:$E$201,4,FALSE),""))</f>
        <v/>
      </c>
      <c r="H142" s="114"/>
      <c r="I142" s="114"/>
      <c r="J142" s="11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0" customHeight="1">
      <c r="A143" s="113"/>
      <c r="B143" s="114"/>
      <c r="C143" s="114" t="str">
        <f>IF(B143="","",IFERROR(VLOOKUP(B143,'Material Master'!$A$2:$E$201,2,FALSE),""))</f>
        <v/>
      </c>
      <c r="D143" s="114" t="str">
        <f t="array" ref="D143">IF(B143="","",IFERROR(INDEX('Location Master'!$E$2:$E$502, IFERROR(MATCH(B143,'Location Master'!$G$2:$G$502,0), IFERROR(MATCH(B143&amp;" (*",'Location Master'!$G$2:$G$502,0), MATCH(B143&amp;"*",'Location Master'!$G$2:$G$502,0)))), ""))</f>
        <v/>
      </c>
      <c r="E143" s="116"/>
      <c r="F143" s="117"/>
      <c r="G143" s="114" t="str">
        <f>IF(B143="","",IFERROR(VLOOKUP(B143,'Material Master'!$A$2:$E$201,4,FALSE),""))</f>
        <v/>
      </c>
      <c r="H143" s="114"/>
      <c r="I143" s="114"/>
      <c r="J143" s="11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0" customHeight="1">
      <c r="A144" s="113"/>
      <c r="B144" s="114"/>
      <c r="C144" s="114" t="str">
        <f>IF(B144="","",IFERROR(VLOOKUP(B144,'Material Master'!$A$2:$E$201,2,FALSE),""))</f>
        <v/>
      </c>
      <c r="D144" s="114" t="str">
        <f t="array" ref="D144">IF(B144="","",IFERROR(INDEX('Location Master'!$E$2:$E$502, IFERROR(MATCH(B144,'Location Master'!$G$2:$G$502,0), IFERROR(MATCH(B144&amp;" (*",'Location Master'!$G$2:$G$502,0), MATCH(B144&amp;"*",'Location Master'!$G$2:$G$502,0)))), ""))</f>
        <v/>
      </c>
      <c r="E144" s="116"/>
      <c r="F144" s="117"/>
      <c r="G144" s="114" t="str">
        <f>IF(B144="","",IFERROR(VLOOKUP(B144,'Material Master'!$A$2:$E$201,4,FALSE),""))</f>
        <v/>
      </c>
      <c r="H144" s="114"/>
      <c r="I144" s="114"/>
      <c r="J144" s="11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0" customHeight="1">
      <c r="A145" s="113"/>
      <c r="B145" s="114"/>
      <c r="C145" s="114" t="str">
        <f>IF(B145="","",IFERROR(VLOOKUP(B145,'Material Master'!$A$2:$E$201,2,FALSE),""))</f>
        <v/>
      </c>
      <c r="D145" s="114" t="str">
        <f t="array" ref="D145">IF(B145="","",IFERROR(INDEX('Location Master'!$E$2:$E$502, IFERROR(MATCH(B145,'Location Master'!$G$2:$G$502,0), IFERROR(MATCH(B145&amp;" (*",'Location Master'!$G$2:$G$502,0), MATCH(B145&amp;"*",'Location Master'!$G$2:$G$502,0)))), ""))</f>
        <v/>
      </c>
      <c r="E145" s="116"/>
      <c r="F145" s="117"/>
      <c r="G145" s="114" t="str">
        <f>IF(B145="","",IFERROR(VLOOKUP(B145,'Material Master'!$A$2:$E$201,4,FALSE),""))</f>
        <v/>
      </c>
      <c r="H145" s="114"/>
      <c r="I145" s="114"/>
      <c r="J145" s="11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0" customHeight="1">
      <c r="A146" s="113"/>
      <c r="B146" s="114"/>
      <c r="C146" s="114" t="str">
        <f>IF(B146="","",IFERROR(VLOOKUP(B146,'Material Master'!$A$2:$E$201,2,FALSE),""))</f>
        <v/>
      </c>
      <c r="D146" s="114" t="str">
        <f t="array" ref="D146">IF(B146="","",IFERROR(INDEX('Location Master'!$E$2:$E$502, IFERROR(MATCH(B146,'Location Master'!$G$2:$G$502,0), IFERROR(MATCH(B146&amp;" (*",'Location Master'!$G$2:$G$502,0), MATCH(B146&amp;"*",'Location Master'!$G$2:$G$502,0)))), ""))</f>
        <v/>
      </c>
      <c r="E146" s="116"/>
      <c r="F146" s="117"/>
      <c r="G146" s="114" t="str">
        <f>IF(B146="","",IFERROR(VLOOKUP(B146,'Material Master'!$A$2:$E$201,4,FALSE),""))</f>
        <v/>
      </c>
      <c r="H146" s="114"/>
      <c r="I146" s="114"/>
      <c r="J146" s="11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0" customHeight="1">
      <c r="A147" s="113"/>
      <c r="B147" s="114"/>
      <c r="C147" s="114" t="str">
        <f>IF(B147="","",IFERROR(VLOOKUP(B147,'Material Master'!$A$2:$E$201,2,FALSE),""))</f>
        <v/>
      </c>
      <c r="D147" s="114" t="str">
        <f t="array" ref="D147">IF(B147="","",IFERROR(INDEX('Location Master'!$E$2:$E$502, IFERROR(MATCH(B147,'Location Master'!$G$2:$G$502,0), IFERROR(MATCH(B147&amp;" (*",'Location Master'!$G$2:$G$502,0), MATCH(B147&amp;"*",'Location Master'!$G$2:$G$502,0)))), ""))</f>
        <v/>
      </c>
      <c r="E147" s="116"/>
      <c r="F147" s="117"/>
      <c r="G147" s="114" t="str">
        <f>IF(B147="","",IFERROR(VLOOKUP(B147,'Material Master'!$A$2:$E$201,4,FALSE),""))</f>
        <v/>
      </c>
      <c r="H147" s="114"/>
      <c r="I147" s="114"/>
      <c r="J147" s="11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0" customHeight="1">
      <c r="A148" s="113"/>
      <c r="B148" s="114"/>
      <c r="C148" s="114" t="str">
        <f>IF(B148="","",IFERROR(VLOOKUP(B148,'Material Master'!$A$2:$E$201,2,FALSE),""))</f>
        <v/>
      </c>
      <c r="D148" s="114" t="str">
        <f t="array" ref="D148">IF(B148="","",IFERROR(INDEX('Location Master'!$E$2:$E$502, IFERROR(MATCH(B148,'Location Master'!$G$2:$G$502,0), IFERROR(MATCH(B148&amp;" (*",'Location Master'!$G$2:$G$502,0), MATCH(B148&amp;"*",'Location Master'!$G$2:$G$502,0)))), ""))</f>
        <v/>
      </c>
      <c r="E148" s="116"/>
      <c r="F148" s="117"/>
      <c r="G148" s="114" t="str">
        <f>IF(B148="","",IFERROR(VLOOKUP(B148,'Material Master'!$A$2:$E$201,4,FALSE),""))</f>
        <v/>
      </c>
      <c r="H148" s="114"/>
      <c r="I148" s="114"/>
      <c r="J148" s="11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0" customHeight="1">
      <c r="A149" s="113"/>
      <c r="B149" s="114"/>
      <c r="C149" s="114" t="str">
        <f>IF(B149="","",IFERROR(VLOOKUP(B149,'Material Master'!$A$2:$E$201,2,FALSE),""))</f>
        <v/>
      </c>
      <c r="D149" s="114" t="str">
        <f t="array" ref="D149">IF(B149="","",IFERROR(INDEX('Location Master'!$E$2:$E$502, IFERROR(MATCH(B149,'Location Master'!$G$2:$G$502,0), IFERROR(MATCH(B149&amp;" (*",'Location Master'!$G$2:$G$502,0), MATCH(B149&amp;"*",'Location Master'!$G$2:$G$502,0)))), ""))</f>
        <v/>
      </c>
      <c r="E149" s="116"/>
      <c r="F149" s="117"/>
      <c r="G149" s="114" t="str">
        <f>IF(B149="","",IFERROR(VLOOKUP(B149,'Material Master'!$A$2:$E$201,4,FALSE),""))</f>
        <v/>
      </c>
      <c r="H149" s="114"/>
      <c r="I149" s="114"/>
      <c r="J149" s="11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0" customHeight="1">
      <c r="A150" s="113"/>
      <c r="B150" s="114"/>
      <c r="C150" s="114" t="str">
        <f>IF(B150="","",IFERROR(VLOOKUP(B150,'Material Master'!$A$2:$E$201,2,FALSE),""))</f>
        <v/>
      </c>
      <c r="D150" s="114" t="str">
        <f t="array" ref="D150">IF(B150="","",IFERROR(INDEX('Location Master'!$E$2:$E$502, IFERROR(MATCH(B150,'Location Master'!$G$2:$G$502,0), IFERROR(MATCH(B150&amp;" (*",'Location Master'!$G$2:$G$502,0), MATCH(B150&amp;"*",'Location Master'!$G$2:$G$502,0)))), ""))</f>
        <v/>
      </c>
      <c r="E150" s="116"/>
      <c r="F150" s="117"/>
      <c r="G150" s="114" t="str">
        <f>IF(B150="","",IFERROR(VLOOKUP(B150,'Material Master'!$A$2:$E$201,4,FALSE),""))</f>
        <v/>
      </c>
      <c r="H150" s="114"/>
      <c r="I150" s="114"/>
      <c r="J150" s="11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0" customHeight="1">
      <c r="A151" s="113"/>
      <c r="B151" s="114"/>
      <c r="C151" s="114" t="str">
        <f>IF(B151="","",IFERROR(VLOOKUP(B151,'Material Master'!$A$2:$E$201,2,FALSE),""))</f>
        <v/>
      </c>
      <c r="D151" s="114" t="str">
        <f t="array" ref="D151">IF(B151="","",IFERROR(INDEX('Location Master'!$E$2:$E$502, IFERROR(MATCH(B151,'Location Master'!$G$2:$G$502,0), IFERROR(MATCH(B151&amp;" (*",'Location Master'!$G$2:$G$502,0), MATCH(B151&amp;"*",'Location Master'!$G$2:$G$502,0)))), ""))</f>
        <v/>
      </c>
      <c r="E151" s="116"/>
      <c r="F151" s="117"/>
      <c r="G151" s="114" t="str">
        <f>IF(B151="","",IFERROR(VLOOKUP(B151,'Material Master'!$A$2:$E$201,4,FALSE),""))</f>
        <v/>
      </c>
      <c r="H151" s="114"/>
      <c r="I151" s="114"/>
      <c r="J151" s="11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0" customHeight="1">
      <c r="A152" s="113"/>
      <c r="B152" s="114"/>
      <c r="C152" s="114" t="str">
        <f>IF(B152="","",IFERROR(VLOOKUP(B152,'Material Master'!$A$2:$E$201,2,FALSE),""))</f>
        <v/>
      </c>
      <c r="D152" s="114" t="str">
        <f t="array" ref="D152">IF(B152="","",IFERROR(INDEX('Location Master'!$E$2:$E$502, IFERROR(MATCH(B152,'Location Master'!$G$2:$G$502,0), IFERROR(MATCH(B152&amp;" (*",'Location Master'!$G$2:$G$502,0), MATCH(B152&amp;"*",'Location Master'!$G$2:$G$502,0)))), ""))</f>
        <v/>
      </c>
      <c r="E152" s="116"/>
      <c r="F152" s="117"/>
      <c r="G152" s="114" t="str">
        <f>IF(B152="","",IFERROR(VLOOKUP(B152,'Material Master'!$A$2:$E$201,4,FALSE),""))</f>
        <v/>
      </c>
      <c r="H152" s="114"/>
      <c r="I152" s="114"/>
      <c r="J152" s="11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0" customHeight="1">
      <c r="A153" s="113"/>
      <c r="B153" s="114"/>
      <c r="C153" s="114" t="str">
        <f>IF(B153="","",IFERROR(VLOOKUP(B153,'Material Master'!$A$2:$E$201,2,FALSE),""))</f>
        <v/>
      </c>
      <c r="D153" s="114" t="str">
        <f t="array" ref="D153">IF(B153="","",IFERROR(INDEX('Location Master'!$E$2:$E$502, IFERROR(MATCH(B153,'Location Master'!$G$2:$G$502,0), IFERROR(MATCH(B153&amp;" (*",'Location Master'!$G$2:$G$502,0), MATCH(B153&amp;"*",'Location Master'!$G$2:$G$502,0)))), ""))</f>
        <v/>
      </c>
      <c r="E153" s="116"/>
      <c r="F153" s="117"/>
      <c r="G153" s="114" t="str">
        <f>IF(B153="","",IFERROR(VLOOKUP(B153,'Material Master'!$A$2:$E$201,4,FALSE),""))</f>
        <v/>
      </c>
      <c r="H153" s="114"/>
      <c r="I153" s="114"/>
      <c r="J153" s="11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0" customHeight="1">
      <c r="A154" s="113"/>
      <c r="B154" s="114"/>
      <c r="C154" s="114" t="str">
        <f>IF(B154="","",IFERROR(VLOOKUP(B154,'Material Master'!$A$2:$E$201,2,FALSE),""))</f>
        <v/>
      </c>
      <c r="D154" s="114" t="str">
        <f t="array" ref="D154">IF(B154="","",IFERROR(INDEX('Location Master'!$E$2:$E$502, IFERROR(MATCH(B154,'Location Master'!$G$2:$G$502,0), IFERROR(MATCH(B154&amp;" (*",'Location Master'!$G$2:$G$502,0), MATCH(B154&amp;"*",'Location Master'!$G$2:$G$502,0)))), ""))</f>
        <v/>
      </c>
      <c r="E154" s="116"/>
      <c r="F154" s="117"/>
      <c r="G154" s="114" t="str">
        <f>IF(B154="","",IFERROR(VLOOKUP(B154,'Material Master'!$A$2:$E$201,4,FALSE),""))</f>
        <v/>
      </c>
      <c r="H154" s="114"/>
      <c r="I154" s="114"/>
      <c r="J154" s="11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0" customHeight="1">
      <c r="A155" s="113"/>
      <c r="B155" s="114"/>
      <c r="C155" s="114" t="str">
        <f>IF(B155="","",IFERROR(VLOOKUP(B155,'Material Master'!$A$2:$E$201,2,FALSE),""))</f>
        <v/>
      </c>
      <c r="D155" s="114" t="str">
        <f t="array" ref="D155">IF(B155="","",IFERROR(INDEX('Location Master'!$E$2:$E$502, IFERROR(MATCH(B155,'Location Master'!$G$2:$G$502,0), IFERROR(MATCH(B155&amp;" (*",'Location Master'!$G$2:$G$502,0), MATCH(B155&amp;"*",'Location Master'!$G$2:$G$502,0)))), ""))</f>
        <v/>
      </c>
      <c r="E155" s="116"/>
      <c r="F155" s="117"/>
      <c r="G155" s="114" t="str">
        <f>IF(B155="","",IFERROR(VLOOKUP(B155,'Material Master'!$A$2:$E$201,4,FALSE),""))</f>
        <v/>
      </c>
      <c r="H155" s="114"/>
      <c r="I155" s="114"/>
      <c r="J155" s="11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0" customHeight="1">
      <c r="A156" s="113"/>
      <c r="B156" s="114"/>
      <c r="C156" s="114" t="str">
        <f>IF(B156="","",IFERROR(VLOOKUP(B156,'Material Master'!$A$2:$E$201,2,FALSE),""))</f>
        <v/>
      </c>
      <c r="D156" s="114" t="str">
        <f t="array" ref="D156">IF(B156="","",IFERROR(INDEX('Location Master'!$E$2:$E$502, IFERROR(MATCH(B156,'Location Master'!$G$2:$G$502,0), IFERROR(MATCH(B156&amp;" (*",'Location Master'!$G$2:$G$502,0), MATCH(B156&amp;"*",'Location Master'!$G$2:$G$502,0)))), ""))</f>
        <v/>
      </c>
      <c r="E156" s="116"/>
      <c r="F156" s="117"/>
      <c r="G156" s="114" t="str">
        <f>IF(B156="","",IFERROR(VLOOKUP(B156,'Material Master'!$A$2:$E$201,4,FALSE),""))</f>
        <v/>
      </c>
      <c r="H156" s="114"/>
      <c r="I156" s="114"/>
      <c r="J156" s="11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0" customHeight="1">
      <c r="A157" s="113"/>
      <c r="B157" s="114"/>
      <c r="C157" s="114" t="str">
        <f>IF(B157="","",IFERROR(VLOOKUP(B157,'Material Master'!$A$2:$E$201,2,FALSE),""))</f>
        <v/>
      </c>
      <c r="D157" s="114" t="str">
        <f t="array" ref="D157">IF(B157="","",IFERROR(INDEX('Location Master'!$E$2:$E$502, IFERROR(MATCH(B157,'Location Master'!$G$2:$G$502,0), IFERROR(MATCH(B157&amp;" (*",'Location Master'!$G$2:$G$502,0), MATCH(B157&amp;"*",'Location Master'!$G$2:$G$502,0)))), ""))</f>
        <v/>
      </c>
      <c r="E157" s="116"/>
      <c r="F157" s="117"/>
      <c r="G157" s="114" t="str">
        <f>IF(B157="","",IFERROR(VLOOKUP(B157,'Material Master'!$A$2:$E$201,4,FALSE),""))</f>
        <v/>
      </c>
      <c r="H157" s="114"/>
      <c r="I157" s="114"/>
      <c r="J157" s="11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0" customHeight="1">
      <c r="A158" s="113"/>
      <c r="B158" s="114"/>
      <c r="C158" s="114" t="str">
        <f>IF(B158="","",IFERROR(VLOOKUP(B158,'Material Master'!$A$2:$E$201,2,FALSE),""))</f>
        <v/>
      </c>
      <c r="D158" s="114" t="str">
        <f t="array" ref="D158">IF(B158="","",IFERROR(INDEX('Location Master'!$E$2:$E$502, IFERROR(MATCH(B158,'Location Master'!$G$2:$G$502,0), IFERROR(MATCH(B158&amp;" (*",'Location Master'!$G$2:$G$502,0), MATCH(B158&amp;"*",'Location Master'!$G$2:$G$502,0)))), ""))</f>
        <v/>
      </c>
      <c r="E158" s="116"/>
      <c r="F158" s="117"/>
      <c r="G158" s="114" t="str">
        <f>IF(B158="","",IFERROR(VLOOKUP(B158,'Material Master'!$A$2:$E$201,4,FALSE),""))</f>
        <v/>
      </c>
      <c r="H158" s="114"/>
      <c r="I158" s="114"/>
      <c r="J158" s="11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0" customHeight="1">
      <c r="A159" s="113"/>
      <c r="B159" s="114"/>
      <c r="C159" s="114" t="str">
        <f>IF(B159="","",IFERROR(VLOOKUP(B159,'Material Master'!$A$2:$E$201,2,FALSE),""))</f>
        <v/>
      </c>
      <c r="D159" s="114" t="str">
        <f t="array" ref="D159">IF(B159="","",IFERROR(INDEX('Location Master'!$E$2:$E$502, IFERROR(MATCH(B159,'Location Master'!$G$2:$G$502,0), IFERROR(MATCH(B159&amp;" (*",'Location Master'!$G$2:$G$502,0), MATCH(B159&amp;"*",'Location Master'!$G$2:$G$502,0)))), ""))</f>
        <v/>
      </c>
      <c r="E159" s="116"/>
      <c r="F159" s="117"/>
      <c r="G159" s="114" t="str">
        <f>IF(B159="","",IFERROR(VLOOKUP(B159,'Material Master'!$A$2:$E$201,4,FALSE),""))</f>
        <v/>
      </c>
      <c r="H159" s="114"/>
      <c r="I159" s="114"/>
      <c r="J159" s="11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0" customHeight="1">
      <c r="A160" s="113"/>
      <c r="B160" s="114"/>
      <c r="C160" s="114" t="str">
        <f>IF(B160="","",IFERROR(VLOOKUP(B160,'Material Master'!$A$2:$E$201,2,FALSE),""))</f>
        <v/>
      </c>
      <c r="D160" s="114" t="str">
        <f t="array" ref="D160">IF(B160="","",IFERROR(INDEX('Location Master'!$E$2:$E$502, IFERROR(MATCH(B160,'Location Master'!$G$2:$G$502,0), IFERROR(MATCH(B160&amp;" (*",'Location Master'!$G$2:$G$502,0), MATCH(B160&amp;"*",'Location Master'!$G$2:$G$502,0)))), ""))</f>
        <v/>
      </c>
      <c r="E160" s="116"/>
      <c r="F160" s="117"/>
      <c r="G160" s="114" t="str">
        <f>IF(B160="","",IFERROR(VLOOKUP(B160,'Material Master'!$A$2:$E$201,4,FALSE),""))</f>
        <v/>
      </c>
      <c r="H160" s="114"/>
      <c r="I160" s="114"/>
      <c r="J160" s="11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0" customHeight="1">
      <c r="A161" s="113"/>
      <c r="B161" s="114"/>
      <c r="C161" s="114" t="str">
        <f>IF(B161="","",IFERROR(VLOOKUP(B161,'Material Master'!$A$2:$E$201,2,FALSE),""))</f>
        <v/>
      </c>
      <c r="D161" s="114" t="str">
        <f t="array" ref="D161">IF(B161="","",IFERROR(INDEX('Location Master'!$E$2:$E$502, IFERROR(MATCH(B161,'Location Master'!$G$2:$G$502,0), IFERROR(MATCH(B161&amp;" (*",'Location Master'!$G$2:$G$502,0), MATCH(B161&amp;"*",'Location Master'!$G$2:$G$502,0)))), ""))</f>
        <v/>
      </c>
      <c r="E161" s="116"/>
      <c r="F161" s="117"/>
      <c r="G161" s="114" t="str">
        <f>IF(B161="","",IFERROR(VLOOKUP(B161,'Material Master'!$A$2:$E$201,4,FALSE),""))</f>
        <v/>
      </c>
      <c r="H161" s="114"/>
      <c r="I161" s="114"/>
      <c r="J161" s="11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0" customHeight="1">
      <c r="A162" s="113"/>
      <c r="B162" s="114"/>
      <c r="C162" s="114" t="str">
        <f>IF(B162="","",IFERROR(VLOOKUP(B162,'Material Master'!$A$2:$E$201,2,FALSE),""))</f>
        <v/>
      </c>
      <c r="D162" s="114" t="str">
        <f t="array" ref="D162">IF(B162="","",IFERROR(INDEX('Location Master'!$E$2:$E$502, IFERROR(MATCH(B162,'Location Master'!$G$2:$G$502,0), IFERROR(MATCH(B162&amp;" (*",'Location Master'!$G$2:$G$502,0), MATCH(B162&amp;"*",'Location Master'!$G$2:$G$502,0)))), ""))</f>
        <v/>
      </c>
      <c r="E162" s="116"/>
      <c r="F162" s="117"/>
      <c r="G162" s="114" t="str">
        <f>IF(B162="","",IFERROR(VLOOKUP(B162,'Material Master'!$A$2:$E$201,4,FALSE),""))</f>
        <v/>
      </c>
      <c r="H162" s="114"/>
      <c r="I162" s="114"/>
      <c r="J162" s="11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4.0" customHeight="1">
      <c r="A163" s="113"/>
      <c r="B163" s="114"/>
      <c r="C163" s="114" t="str">
        <f>IF(B163="","",IFERROR(VLOOKUP(B163,'Material Master'!$A$2:$E$201,2,FALSE),""))</f>
        <v/>
      </c>
      <c r="D163" s="114" t="str">
        <f t="array" ref="D163">IF(B163="","",IFERROR(INDEX('Location Master'!$E$2:$E$502, IFERROR(MATCH(B163,'Location Master'!$G$2:$G$502,0), IFERROR(MATCH(B163&amp;" (*",'Location Master'!$G$2:$G$502,0), MATCH(B163&amp;"*",'Location Master'!$G$2:$G$502,0)))), ""))</f>
        <v/>
      </c>
      <c r="E163" s="116"/>
      <c r="F163" s="117"/>
      <c r="G163" s="114" t="str">
        <f>IF(B163="","",IFERROR(VLOOKUP(B163,'Material Master'!$A$2:$E$201,4,FALSE),""))</f>
        <v/>
      </c>
      <c r="H163" s="114"/>
      <c r="I163" s="114"/>
      <c r="J163" s="11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4.0" customHeight="1">
      <c r="A164" s="113"/>
      <c r="B164" s="114"/>
      <c r="C164" s="114" t="str">
        <f>IF(B164="","",IFERROR(VLOOKUP(B164,'Material Master'!$A$2:$E$201,2,FALSE),""))</f>
        <v/>
      </c>
      <c r="D164" s="114" t="str">
        <f t="array" ref="D164">IF(B164="","",IFERROR(INDEX('Location Master'!$E$2:$E$502, IFERROR(MATCH(B164,'Location Master'!$G$2:$G$502,0), IFERROR(MATCH(B164&amp;" (*",'Location Master'!$G$2:$G$502,0), MATCH(B164&amp;"*",'Location Master'!$G$2:$G$502,0)))), ""))</f>
        <v/>
      </c>
      <c r="E164" s="116"/>
      <c r="F164" s="117"/>
      <c r="G164" s="114" t="str">
        <f>IF(B164="","",IFERROR(VLOOKUP(B164,'Material Master'!$A$2:$E$201,4,FALSE),""))</f>
        <v/>
      </c>
      <c r="H164" s="114"/>
      <c r="I164" s="114"/>
      <c r="J164" s="11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4.0" customHeight="1">
      <c r="A165" s="113"/>
      <c r="B165" s="114"/>
      <c r="C165" s="114" t="str">
        <f>IF(B165="","",IFERROR(VLOOKUP(B165,'Material Master'!$A$2:$E$201,2,FALSE),""))</f>
        <v/>
      </c>
      <c r="D165" s="114" t="str">
        <f t="array" ref="D165">IF(B165="","",IFERROR(INDEX('Location Master'!$E$2:$E$502, IFERROR(MATCH(B165,'Location Master'!$G$2:$G$502,0), IFERROR(MATCH(B165&amp;" (*",'Location Master'!$G$2:$G$502,0), MATCH(B165&amp;"*",'Location Master'!$G$2:$G$502,0)))), ""))</f>
        <v/>
      </c>
      <c r="E165" s="116"/>
      <c r="F165" s="117"/>
      <c r="G165" s="114" t="str">
        <f>IF(B165="","",IFERROR(VLOOKUP(B165,'Material Master'!$A$2:$E$201,4,FALSE),""))</f>
        <v/>
      </c>
      <c r="H165" s="114"/>
      <c r="I165" s="114"/>
      <c r="J165" s="11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4.0" customHeight="1">
      <c r="A166" s="113"/>
      <c r="B166" s="114"/>
      <c r="C166" s="114" t="str">
        <f>IF(B166="","",IFERROR(VLOOKUP(B166,'Material Master'!$A$2:$E$201,2,FALSE),""))</f>
        <v/>
      </c>
      <c r="D166" s="114" t="str">
        <f t="array" ref="D166">IF(B166="","",IFERROR(INDEX('Location Master'!$E$2:$E$502, IFERROR(MATCH(B166,'Location Master'!$G$2:$G$502,0), IFERROR(MATCH(B166&amp;" (*",'Location Master'!$G$2:$G$502,0), MATCH(B166&amp;"*",'Location Master'!$G$2:$G$502,0)))), ""))</f>
        <v/>
      </c>
      <c r="E166" s="116"/>
      <c r="F166" s="117"/>
      <c r="G166" s="114" t="str">
        <f>IF(B166="","",IFERROR(VLOOKUP(B166,'Material Master'!$A$2:$E$201,4,FALSE),""))</f>
        <v/>
      </c>
      <c r="H166" s="114"/>
      <c r="I166" s="114"/>
      <c r="J166" s="11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4.0" customHeight="1">
      <c r="A167" s="113"/>
      <c r="B167" s="114"/>
      <c r="C167" s="114" t="str">
        <f>IF(B167="","",IFERROR(VLOOKUP(B167,'Material Master'!$A$2:$E$201,2,FALSE),""))</f>
        <v/>
      </c>
      <c r="D167" s="114" t="str">
        <f t="array" ref="D167">IF(B167="","",IFERROR(INDEX('Location Master'!$E$2:$E$502, IFERROR(MATCH(B167,'Location Master'!$G$2:$G$502,0), IFERROR(MATCH(B167&amp;" (*",'Location Master'!$G$2:$G$502,0), MATCH(B167&amp;"*",'Location Master'!$G$2:$G$502,0)))), ""))</f>
        <v/>
      </c>
      <c r="E167" s="116"/>
      <c r="F167" s="117"/>
      <c r="G167" s="114" t="str">
        <f>IF(B167="","",IFERROR(VLOOKUP(B167,'Material Master'!$A$2:$E$201,4,FALSE),""))</f>
        <v/>
      </c>
      <c r="H167" s="114"/>
      <c r="I167" s="114"/>
      <c r="J167" s="11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4.0" customHeight="1">
      <c r="A168" s="113"/>
      <c r="B168" s="114"/>
      <c r="C168" s="114" t="str">
        <f>IF(B168="","",IFERROR(VLOOKUP(B168,'Material Master'!$A$2:$E$201,2,FALSE),""))</f>
        <v/>
      </c>
      <c r="D168" s="114" t="str">
        <f t="array" ref="D168">IF(B168="","",IFERROR(INDEX('Location Master'!$E$2:$E$502, IFERROR(MATCH(B168,'Location Master'!$G$2:$G$502,0), IFERROR(MATCH(B168&amp;" (*",'Location Master'!$G$2:$G$502,0), MATCH(B168&amp;"*",'Location Master'!$G$2:$G$502,0)))), ""))</f>
        <v/>
      </c>
      <c r="E168" s="116"/>
      <c r="F168" s="117"/>
      <c r="G168" s="114" t="str">
        <f>IF(B168="","",IFERROR(VLOOKUP(B168,'Material Master'!$A$2:$E$201,4,FALSE),""))</f>
        <v/>
      </c>
      <c r="H168" s="114"/>
      <c r="I168" s="114"/>
      <c r="J168" s="11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4.0" customHeight="1">
      <c r="A169" s="113"/>
      <c r="B169" s="114"/>
      <c r="C169" s="114" t="str">
        <f>IF(B169="","",IFERROR(VLOOKUP(B169,'Material Master'!$A$2:$E$201,2,FALSE),""))</f>
        <v/>
      </c>
      <c r="D169" s="114" t="str">
        <f t="array" ref="D169">IF(B169="","",IFERROR(INDEX('Location Master'!$E$2:$E$502, IFERROR(MATCH(B169,'Location Master'!$G$2:$G$502,0), IFERROR(MATCH(B169&amp;" (*",'Location Master'!$G$2:$G$502,0), MATCH(B169&amp;"*",'Location Master'!$G$2:$G$502,0)))), ""))</f>
        <v/>
      </c>
      <c r="E169" s="116"/>
      <c r="F169" s="117"/>
      <c r="G169" s="114" t="str">
        <f>IF(B169="","",IFERROR(VLOOKUP(B169,'Material Master'!$A$2:$E$201,4,FALSE),""))</f>
        <v/>
      </c>
      <c r="H169" s="114"/>
      <c r="I169" s="114"/>
      <c r="J169" s="11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4.0" customHeight="1">
      <c r="A170" s="113"/>
      <c r="B170" s="114"/>
      <c r="C170" s="114" t="str">
        <f>IF(B170="","",IFERROR(VLOOKUP(B170,'Material Master'!$A$2:$E$201,2,FALSE),""))</f>
        <v/>
      </c>
      <c r="D170" s="114" t="str">
        <f t="array" ref="D170">IF(B170="","",IFERROR(INDEX('Location Master'!$E$2:$E$502, IFERROR(MATCH(B170,'Location Master'!$G$2:$G$502,0), IFERROR(MATCH(B170&amp;" (*",'Location Master'!$G$2:$G$502,0), MATCH(B170&amp;"*",'Location Master'!$G$2:$G$502,0)))), ""))</f>
        <v/>
      </c>
      <c r="E170" s="116"/>
      <c r="F170" s="117"/>
      <c r="G170" s="114" t="str">
        <f>IF(B170="","",IFERROR(VLOOKUP(B170,'Material Master'!$A$2:$E$201,4,FALSE),""))</f>
        <v/>
      </c>
      <c r="H170" s="114"/>
      <c r="I170" s="114"/>
      <c r="J170" s="11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4.0" customHeight="1">
      <c r="A171" s="113"/>
      <c r="B171" s="114"/>
      <c r="C171" s="114" t="str">
        <f>IF(B171="","",IFERROR(VLOOKUP(B171,'Material Master'!$A$2:$E$201,2,FALSE),""))</f>
        <v/>
      </c>
      <c r="D171" s="114" t="str">
        <f t="array" ref="D171">IF(B171="","",IFERROR(INDEX('Location Master'!$E$2:$E$502, IFERROR(MATCH(B171,'Location Master'!$G$2:$G$502,0), IFERROR(MATCH(B171&amp;" (*",'Location Master'!$G$2:$G$502,0), MATCH(B171&amp;"*",'Location Master'!$G$2:$G$502,0)))), ""))</f>
        <v/>
      </c>
      <c r="E171" s="116"/>
      <c r="F171" s="117"/>
      <c r="G171" s="114" t="str">
        <f>IF(B171="","",IFERROR(VLOOKUP(B171,'Material Master'!$A$2:$E$201,4,FALSE),""))</f>
        <v/>
      </c>
      <c r="H171" s="114"/>
      <c r="I171" s="114"/>
      <c r="J171" s="11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4.0" customHeight="1">
      <c r="A172" s="113"/>
      <c r="B172" s="114"/>
      <c r="C172" s="114" t="str">
        <f>IF(B172="","",IFERROR(VLOOKUP(B172,'Material Master'!$A$2:$E$201,2,FALSE),""))</f>
        <v/>
      </c>
      <c r="D172" s="114" t="str">
        <f t="array" ref="D172">IF(B172="","",IFERROR(INDEX('Location Master'!$E$2:$E$502, IFERROR(MATCH(B172,'Location Master'!$G$2:$G$502,0), IFERROR(MATCH(B172&amp;" (*",'Location Master'!$G$2:$G$502,0), MATCH(B172&amp;"*",'Location Master'!$G$2:$G$502,0)))), ""))</f>
        <v/>
      </c>
      <c r="E172" s="116"/>
      <c r="F172" s="117"/>
      <c r="G172" s="114" t="str">
        <f>IF(B172="","",IFERROR(VLOOKUP(B172,'Material Master'!$A$2:$E$201,4,FALSE),""))</f>
        <v/>
      </c>
      <c r="H172" s="114"/>
      <c r="I172" s="114"/>
      <c r="J172" s="11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4.0" customHeight="1">
      <c r="A173" s="113"/>
      <c r="B173" s="114"/>
      <c r="C173" s="114" t="str">
        <f>IF(B173="","",IFERROR(VLOOKUP(B173,'Material Master'!$A$2:$E$201,2,FALSE),""))</f>
        <v/>
      </c>
      <c r="D173" s="114" t="str">
        <f t="array" ref="D173">IF(B173="","",IFERROR(INDEX('Location Master'!$E$2:$E$502, IFERROR(MATCH(B173,'Location Master'!$G$2:$G$502,0), IFERROR(MATCH(B173&amp;" (*",'Location Master'!$G$2:$G$502,0), MATCH(B173&amp;"*",'Location Master'!$G$2:$G$502,0)))), ""))</f>
        <v/>
      </c>
      <c r="E173" s="116"/>
      <c r="F173" s="117"/>
      <c r="G173" s="114" t="str">
        <f>IF(B173="","",IFERROR(VLOOKUP(B173,'Material Master'!$A$2:$E$201,4,FALSE),""))</f>
        <v/>
      </c>
      <c r="H173" s="114"/>
      <c r="I173" s="114"/>
      <c r="J173" s="11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4.0" customHeight="1">
      <c r="A174" s="113"/>
      <c r="B174" s="114"/>
      <c r="C174" s="114" t="str">
        <f>IF(B174="","",IFERROR(VLOOKUP(B174,'Material Master'!$A$2:$E$201,2,FALSE),""))</f>
        <v/>
      </c>
      <c r="D174" s="114" t="str">
        <f t="array" ref="D174">IF(B174="","",IFERROR(INDEX('Location Master'!$E$2:$E$502, IFERROR(MATCH(B174,'Location Master'!$G$2:$G$502,0), IFERROR(MATCH(B174&amp;" (*",'Location Master'!$G$2:$G$502,0), MATCH(B174&amp;"*",'Location Master'!$G$2:$G$502,0)))), ""))</f>
        <v/>
      </c>
      <c r="E174" s="116"/>
      <c r="F174" s="117"/>
      <c r="G174" s="114" t="str">
        <f>IF(B174="","",IFERROR(VLOOKUP(B174,'Material Master'!$A$2:$E$201,4,FALSE),""))</f>
        <v/>
      </c>
      <c r="H174" s="114"/>
      <c r="I174" s="114"/>
      <c r="J174" s="11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4.0" customHeight="1">
      <c r="A175" s="113"/>
      <c r="B175" s="114"/>
      <c r="C175" s="114" t="str">
        <f>IF(B175="","",IFERROR(VLOOKUP(B175,'Material Master'!$A$2:$E$201,2,FALSE),""))</f>
        <v/>
      </c>
      <c r="D175" s="114" t="str">
        <f t="array" ref="D175">IF(B175="","",IFERROR(INDEX('Location Master'!$E$2:$E$502, IFERROR(MATCH(B175,'Location Master'!$G$2:$G$502,0), IFERROR(MATCH(B175&amp;" (*",'Location Master'!$G$2:$G$502,0), MATCH(B175&amp;"*",'Location Master'!$G$2:$G$502,0)))), ""))</f>
        <v/>
      </c>
      <c r="E175" s="116"/>
      <c r="F175" s="117"/>
      <c r="G175" s="114" t="str">
        <f>IF(B175="","",IFERROR(VLOOKUP(B175,'Material Master'!$A$2:$E$201,4,FALSE),""))</f>
        <v/>
      </c>
      <c r="H175" s="114"/>
      <c r="I175" s="114"/>
      <c r="J175" s="11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4.0" customHeight="1">
      <c r="A176" s="113"/>
      <c r="B176" s="114"/>
      <c r="C176" s="114" t="str">
        <f>IF(B176="","",IFERROR(VLOOKUP(B176,'Material Master'!$A$2:$E$201,2,FALSE),""))</f>
        <v/>
      </c>
      <c r="D176" s="114" t="str">
        <f t="array" ref="D176">IF(B176="","",IFERROR(INDEX('Location Master'!$E$2:$E$502, IFERROR(MATCH(B176,'Location Master'!$G$2:$G$502,0), IFERROR(MATCH(B176&amp;" (*",'Location Master'!$G$2:$G$502,0), MATCH(B176&amp;"*",'Location Master'!$G$2:$G$502,0)))), ""))</f>
        <v/>
      </c>
      <c r="E176" s="116"/>
      <c r="F176" s="117"/>
      <c r="G176" s="114" t="str">
        <f>IF(B176="","",IFERROR(VLOOKUP(B176,'Material Master'!$A$2:$E$201,4,FALSE),""))</f>
        <v/>
      </c>
      <c r="H176" s="114"/>
      <c r="I176" s="114"/>
      <c r="J176" s="11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4.0" customHeight="1">
      <c r="A177" s="113"/>
      <c r="B177" s="114"/>
      <c r="C177" s="114" t="str">
        <f>IF(B177="","",IFERROR(VLOOKUP(B177,'Material Master'!$A$2:$E$201,2,FALSE),""))</f>
        <v/>
      </c>
      <c r="D177" s="114" t="str">
        <f t="array" ref="D177">IF(B177="","",IFERROR(INDEX('Location Master'!$E$2:$E$502, IFERROR(MATCH(B177,'Location Master'!$G$2:$G$502,0), IFERROR(MATCH(B177&amp;" (*",'Location Master'!$G$2:$G$502,0), MATCH(B177&amp;"*",'Location Master'!$G$2:$G$502,0)))), ""))</f>
        <v/>
      </c>
      <c r="E177" s="116"/>
      <c r="F177" s="117"/>
      <c r="G177" s="114" t="str">
        <f>IF(B177="","",IFERROR(VLOOKUP(B177,'Material Master'!$A$2:$E$201,4,FALSE),""))</f>
        <v/>
      </c>
      <c r="H177" s="114"/>
      <c r="I177" s="114"/>
      <c r="J177" s="11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4.0" customHeight="1">
      <c r="A178" s="113"/>
      <c r="B178" s="114"/>
      <c r="C178" s="114" t="str">
        <f>IF(B178="","",IFERROR(VLOOKUP(B178,'Material Master'!$A$2:$E$201,2,FALSE),""))</f>
        <v/>
      </c>
      <c r="D178" s="114" t="str">
        <f t="array" ref="D178">IF(B178="","",IFERROR(INDEX('Location Master'!$E$2:$E$502, IFERROR(MATCH(B178,'Location Master'!$G$2:$G$502,0), IFERROR(MATCH(B178&amp;" (*",'Location Master'!$G$2:$G$502,0), MATCH(B178&amp;"*",'Location Master'!$G$2:$G$502,0)))), ""))</f>
        <v/>
      </c>
      <c r="E178" s="116"/>
      <c r="F178" s="117"/>
      <c r="G178" s="114" t="str">
        <f>IF(B178="","",IFERROR(VLOOKUP(B178,'Material Master'!$A$2:$E$201,4,FALSE),""))</f>
        <v/>
      </c>
      <c r="H178" s="114"/>
      <c r="I178" s="114"/>
      <c r="J178" s="11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4.0" customHeight="1">
      <c r="A179" s="113"/>
      <c r="B179" s="114"/>
      <c r="C179" s="114" t="str">
        <f>IF(B179="","",IFERROR(VLOOKUP(B179,'Material Master'!$A$2:$E$201,2,FALSE),""))</f>
        <v/>
      </c>
      <c r="D179" s="114" t="str">
        <f t="array" ref="D179">IF(B179="","",IFERROR(INDEX('Location Master'!$E$2:$E$502, IFERROR(MATCH(B179,'Location Master'!$G$2:$G$502,0), IFERROR(MATCH(B179&amp;" (*",'Location Master'!$G$2:$G$502,0), MATCH(B179&amp;"*",'Location Master'!$G$2:$G$502,0)))), ""))</f>
        <v/>
      </c>
      <c r="E179" s="116"/>
      <c r="F179" s="117"/>
      <c r="G179" s="114" t="str">
        <f>IF(B179="","",IFERROR(VLOOKUP(B179,'Material Master'!$A$2:$E$201,4,FALSE),""))</f>
        <v/>
      </c>
      <c r="H179" s="114"/>
      <c r="I179" s="114"/>
      <c r="J179" s="11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4.0" customHeight="1">
      <c r="A180" s="113"/>
      <c r="B180" s="114"/>
      <c r="C180" s="114" t="str">
        <f>IF(B180="","",IFERROR(VLOOKUP(B180,'Material Master'!$A$2:$E$201,2,FALSE),""))</f>
        <v/>
      </c>
      <c r="D180" s="114" t="str">
        <f t="array" ref="D180">IF(B180="","",IFERROR(INDEX('Location Master'!$E$2:$E$502, IFERROR(MATCH(B180,'Location Master'!$G$2:$G$502,0), IFERROR(MATCH(B180&amp;" (*",'Location Master'!$G$2:$G$502,0), MATCH(B180&amp;"*",'Location Master'!$G$2:$G$502,0)))), ""))</f>
        <v/>
      </c>
      <c r="E180" s="116"/>
      <c r="F180" s="117"/>
      <c r="G180" s="114" t="str">
        <f>IF(B180="","",IFERROR(VLOOKUP(B180,'Material Master'!$A$2:$E$201,4,FALSE),""))</f>
        <v/>
      </c>
      <c r="H180" s="114"/>
      <c r="I180" s="114"/>
      <c r="J180" s="11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4.0" customHeight="1">
      <c r="A181" s="113"/>
      <c r="B181" s="114"/>
      <c r="C181" s="114" t="str">
        <f>IF(B181="","",IFERROR(VLOOKUP(B181,'Material Master'!$A$2:$E$201,2,FALSE),""))</f>
        <v/>
      </c>
      <c r="D181" s="114" t="str">
        <f t="array" ref="D181">IF(B181="","",IFERROR(INDEX('Location Master'!$E$2:$E$502, IFERROR(MATCH(B181,'Location Master'!$G$2:$G$502,0), IFERROR(MATCH(B181&amp;" (*",'Location Master'!$G$2:$G$502,0), MATCH(B181&amp;"*",'Location Master'!$G$2:$G$502,0)))), ""))</f>
        <v/>
      </c>
      <c r="E181" s="116"/>
      <c r="F181" s="117"/>
      <c r="G181" s="114" t="str">
        <f>IF(B181="","",IFERROR(VLOOKUP(B181,'Material Master'!$A$2:$E$201,4,FALSE),""))</f>
        <v/>
      </c>
      <c r="H181" s="114"/>
      <c r="I181" s="114"/>
      <c r="J181" s="11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4.0" customHeight="1">
      <c r="A182" s="113"/>
      <c r="B182" s="114"/>
      <c r="C182" s="114" t="str">
        <f>IF(B182="","",IFERROR(VLOOKUP(B182,'Material Master'!$A$2:$E$201,2,FALSE),""))</f>
        <v/>
      </c>
      <c r="D182" s="114" t="str">
        <f t="array" ref="D182">IF(B182="","",IFERROR(INDEX('Location Master'!$E$2:$E$502, IFERROR(MATCH(B182,'Location Master'!$G$2:$G$502,0), IFERROR(MATCH(B182&amp;" (*",'Location Master'!$G$2:$G$502,0), MATCH(B182&amp;"*",'Location Master'!$G$2:$G$502,0)))), ""))</f>
        <v/>
      </c>
      <c r="E182" s="116"/>
      <c r="F182" s="117"/>
      <c r="G182" s="114" t="str">
        <f>IF(B182="","",IFERROR(VLOOKUP(B182,'Material Master'!$A$2:$E$201,4,FALSE),""))</f>
        <v/>
      </c>
      <c r="H182" s="114"/>
      <c r="I182" s="114"/>
      <c r="J182" s="11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4.0" customHeight="1">
      <c r="A183" s="113"/>
      <c r="B183" s="114"/>
      <c r="C183" s="114" t="str">
        <f>IF(B183="","",IFERROR(VLOOKUP(B183,'Material Master'!$A$2:$E$201,2,FALSE),""))</f>
        <v/>
      </c>
      <c r="D183" s="114" t="str">
        <f t="array" ref="D183">IF(B183="","",IFERROR(INDEX('Location Master'!$E$2:$E$502, IFERROR(MATCH(B183,'Location Master'!$G$2:$G$502,0), IFERROR(MATCH(B183&amp;" (*",'Location Master'!$G$2:$G$502,0), MATCH(B183&amp;"*",'Location Master'!$G$2:$G$502,0)))), ""))</f>
        <v/>
      </c>
      <c r="E183" s="116"/>
      <c r="F183" s="117"/>
      <c r="G183" s="114" t="str">
        <f>IF(B183="","",IFERROR(VLOOKUP(B183,'Material Master'!$A$2:$E$201,4,FALSE),""))</f>
        <v/>
      </c>
      <c r="H183" s="114"/>
      <c r="I183" s="114"/>
      <c r="J183" s="11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4.0" customHeight="1">
      <c r="A184" s="113"/>
      <c r="B184" s="114"/>
      <c r="C184" s="114" t="str">
        <f>IF(B184="","",IFERROR(VLOOKUP(B184,'Material Master'!$A$2:$E$201,2,FALSE),""))</f>
        <v/>
      </c>
      <c r="D184" s="114" t="str">
        <f t="array" ref="D184">IF(B184="","",IFERROR(INDEX('Location Master'!$E$2:$E$502, IFERROR(MATCH(B184,'Location Master'!$G$2:$G$502,0), IFERROR(MATCH(B184&amp;" (*",'Location Master'!$G$2:$G$502,0), MATCH(B184&amp;"*",'Location Master'!$G$2:$G$502,0)))), ""))</f>
        <v/>
      </c>
      <c r="E184" s="116"/>
      <c r="F184" s="117"/>
      <c r="G184" s="114" t="str">
        <f>IF(B184="","",IFERROR(VLOOKUP(B184,'Material Master'!$A$2:$E$201,4,FALSE),""))</f>
        <v/>
      </c>
      <c r="H184" s="114"/>
      <c r="I184" s="114"/>
      <c r="J184" s="11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4.0" customHeight="1">
      <c r="A185" s="113"/>
      <c r="B185" s="114"/>
      <c r="C185" s="114" t="str">
        <f>IF(B185="","",IFERROR(VLOOKUP(B185,'Material Master'!$A$2:$E$201,2,FALSE),""))</f>
        <v/>
      </c>
      <c r="D185" s="114" t="str">
        <f t="array" ref="D185">IF(B185="","",IFERROR(INDEX('Location Master'!$E$2:$E$502, IFERROR(MATCH(B185,'Location Master'!$G$2:$G$502,0), IFERROR(MATCH(B185&amp;" (*",'Location Master'!$G$2:$G$502,0), MATCH(B185&amp;"*",'Location Master'!$G$2:$G$502,0)))), ""))</f>
        <v/>
      </c>
      <c r="E185" s="116"/>
      <c r="F185" s="117"/>
      <c r="G185" s="114" t="str">
        <f>IF(B185="","",IFERROR(VLOOKUP(B185,'Material Master'!$A$2:$E$201,4,FALSE),""))</f>
        <v/>
      </c>
      <c r="H185" s="114"/>
      <c r="I185" s="114"/>
      <c r="J185" s="11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4.0" customHeight="1">
      <c r="A186" s="113"/>
      <c r="B186" s="114"/>
      <c r="C186" s="114" t="str">
        <f>IF(B186="","",IFERROR(VLOOKUP(B186,'Material Master'!$A$2:$E$201,2,FALSE),""))</f>
        <v/>
      </c>
      <c r="D186" s="114" t="str">
        <f t="array" ref="D186">IF(B186="","",IFERROR(INDEX('Location Master'!$E$2:$E$502, IFERROR(MATCH(B186,'Location Master'!$G$2:$G$502,0), IFERROR(MATCH(B186&amp;" (*",'Location Master'!$G$2:$G$502,0), MATCH(B186&amp;"*",'Location Master'!$G$2:$G$502,0)))), ""))</f>
        <v/>
      </c>
      <c r="E186" s="116"/>
      <c r="F186" s="117"/>
      <c r="G186" s="114" t="str">
        <f>IF(B186="","",IFERROR(VLOOKUP(B186,'Material Master'!$A$2:$E$201,4,FALSE),""))</f>
        <v/>
      </c>
      <c r="H186" s="114"/>
      <c r="I186" s="114"/>
      <c r="J186" s="11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4.0" customHeight="1">
      <c r="A187" s="113"/>
      <c r="B187" s="114"/>
      <c r="C187" s="114" t="str">
        <f>IF(B187="","",IFERROR(VLOOKUP(B187,'Material Master'!$A$2:$E$201,2,FALSE),""))</f>
        <v/>
      </c>
      <c r="D187" s="114" t="str">
        <f t="array" ref="D187">IF(B187="","",IFERROR(INDEX('Location Master'!$E$2:$E$502, IFERROR(MATCH(B187,'Location Master'!$G$2:$G$502,0), IFERROR(MATCH(B187&amp;" (*",'Location Master'!$G$2:$G$502,0), MATCH(B187&amp;"*",'Location Master'!$G$2:$G$502,0)))), ""))</f>
        <v/>
      </c>
      <c r="E187" s="116"/>
      <c r="F187" s="117"/>
      <c r="G187" s="114" t="str">
        <f>IF(B187="","",IFERROR(VLOOKUP(B187,'Material Master'!$A$2:$E$201,4,FALSE),""))</f>
        <v/>
      </c>
      <c r="H187" s="114"/>
      <c r="I187" s="114"/>
      <c r="J187" s="11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4.0" customHeight="1">
      <c r="A188" s="113"/>
      <c r="B188" s="114"/>
      <c r="C188" s="114" t="str">
        <f>IF(B188="","",IFERROR(VLOOKUP(B188,'Material Master'!$A$2:$E$201,2,FALSE),""))</f>
        <v/>
      </c>
      <c r="D188" s="114" t="str">
        <f t="array" ref="D188">IF(B188="","",IFERROR(INDEX('Location Master'!$E$2:$E$502, IFERROR(MATCH(B188,'Location Master'!$G$2:$G$502,0), IFERROR(MATCH(B188&amp;" (*",'Location Master'!$G$2:$G$502,0), MATCH(B188&amp;"*",'Location Master'!$G$2:$G$502,0)))), ""))</f>
        <v/>
      </c>
      <c r="E188" s="116"/>
      <c r="F188" s="117"/>
      <c r="G188" s="114" t="str">
        <f>IF(B188="","",IFERROR(VLOOKUP(B188,'Material Master'!$A$2:$E$201,4,FALSE),""))</f>
        <v/>
      </c>
      <c r="H188" s="114"/>
      <c r="I188" s="114"/>
      <c r="J188" s="11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4.0" customHeight="1">
      <c r="A189" s="113"/>
      <c r="B189" s="114"/>
      <c r="C189" s="114" t="str">
        <f>IF(B189="","",IFERROR(VLOOKUP(B189,'Material Master'!$A$2:$E$201,2,FALSE),""))</f>
        <v/>
      </c>
      <c r="D189" s="114" t="str">
        <f t="array" ref="D189">IF(B189="","",IFERROR(INDEX('Location Master'!$E$2:$E$502, IFERROR(MATCH(B189,'Location Master'!$G$2:$G$502,0), IFERROR(MATCH(B189&amp;" (*",'Location Master'!$G$2:$G$502,0), MATCH(B189&amp;"*",'Location Master'!$G$2:$G$502,0)))), ""))</f>
        <v/>
      </c>
      <c r="E189" s="116"/>
      <c r="F189" s="117"/>
      <c r="G189" s="114" t="str">
        <f>IF(B189="","",IFERROR(VLOOKUP(B189,'Material Master'!$A$2:$E$201,4,FALSE),""))</f>
        <v/>
      </c>
      <c r="H189" s="114"/>
      <c r="I189" s="114"/>
      <c r="J189" s="11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4.0" customHeight="1">
      <c r="A190" s="113"/>
      <c r="B190" s="114"/>
      <c r="C190" s="114" t="str">
        <f>IF(B190="","",IFERROR(VLOOKUP(B190,'Material Master'!$A$2:$E$201,2,FALSE),""))</f>
        <v/>
      </c>
      <c r="D190" s="114" t="str">
        <f t="array" ref="D190">IF(B190="","",IFERROR(INDEX('Location Master'!$E$2:$E$502, IFERROR(MATCH(B190,'Location Master'!$G$2:$G$502,0), IFERROR(MATCH(B190&amp;" (*",'Location Master'!$G$2:$G$502,0), MATCH(B190&amp;"*",'Location Master'!$G$2:$G$502,0)))), ""))</f>
        <v/>
      </c>
      <c r="E190" s="116"/>
      <c r="F190" s="117"/>
      <c r="G190" s="114" t="str">
        <f>IF(B190="","",IFERROR(VLOOKUP(B190,'Material Master'!$A$2:$E$201,4,FALSE),""))</f>
        <v/>
      </c>
      <c r="H190" s="114"/>
      <c r="I190" s="114"/>
      <c r="J190" s="11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4.0" customHeight="1">
      <c r="A191" s="113"/>
      <c r="B191" s="114"/>
      <c r="C191" s="114" t="str">
        <f>IF(B191="","",IFERROR(VLOOKUP(B191,'Material Master'!$A$2:$E$201,2,FALSE),""))</f>
        <v/>
      </c>
      <c r="D191" s="114" t="str">
        <f t="array" ref="D191">IF(B191="","",IFERROR(INDEX('Location Master'!$E$2:$E$502, IFERROR(MATCH(B191,'Location Master'!$G$2:$G$502,0), IFERROR(MATCH(B191&amp;" (*",'Location Master'!$G$2:$G$502,0), MATCH(B191&amp;"*",'Location Master'!$G$2:$G$502,0)))), ""))</f>
        <v/>
      </c>
      <c r="E191" s="116"/>
      <c r="F191" s="117"/>
      <c r="G191" s="114" t="str">
        <f>IF(B191="","",IFERROR(VLOOKUP(B191,'Material Master'!$A$2:$E$201,4,FALSE),""))</f>
        <v/>
      </c>
      <c r="H191" s="114"/>
      <c r="I191" s="114"/>
      <c r="J191" s="11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4.0" customHeight="1">
      <c r="A192" s="113"/>
      <c r="B192" s="114"/>
      <c r="C192" s="114" t="str">
        <f>IF(B192="","",IFERROR(VLOOKUP(B192,'Material Master'!$A$2:$E$201,2,FALSE),""))</f>
        <v/>
      </c>
      <c r="D192" s="114" t="str">
        <f t="array" ref="D192">IF(B192="","",IFERROR(INDEX('Location Master'!$E$2:$E$502, IFERROR(MATCH(B192,'Location Master'!$G$2:$G$502,0), IFERROR(MATCH(B192&amp;" (*",'Location Master'!$G$2:$G$502,0), MATCH(B192&amp;"*",'Location Master'!$G$2:$G$502,0)))), ""))</f>
        <v/>
      </c>
      <c r="E192" s="116"/>
      <c r="F192" s="117"/>
      <c r="G192" s="114" t="str">
        <f>IF(B192="","",IFERROR(VLOOKUP(B192,'Material Master'!$A$2:$E$201,4,FALSE),""))</f>
        <v/>
      </c>
      <c r="H192" s="114"/>
      <c r="I192" s="114"/>
      <c r="J192" s="11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4.0" customHeight="1">
      <c r="A193" s="113"/>
      <c r="B193" s="114"/>
      <c r="C193" s="114" t="str">
        <f>IF(B193="","",IFERROR(VLOOKUP(B193,'Material Master'!$A$2:$E$201,2,FALSE),""))</f>
        <v/>
      </c>
      <c r="D193" s="114" t="str">
        <f t="array" ref="D193">IF(B193="","",IFERROR(INDEX('Location Master'!$E$2:$E$502, IFERROR(MATCH(B193,'Location Master'!$G$2:$G$502,0), IFERROR(MATCH(B193&amp;" (*",'Location Master'!$G$2:$G$502,0), MATCH(B193&amp;"*",'Location Master'!$G$2:$G$502,0)))), ""))</f>
        <v/>
      </c>
      <c r="E193" s="116"/>
      <c r="F193" s="117"/>
      <c r="G193" s="114" t="str">
        <f>IF(B193="","",IFERROR(VLOOKUP(B193,'Material Master'!$A$2:$E$201,4,FALSE),""))</f>
        <v/>
      </c>
      <c r="H193" s="114"/>
      <c r="I193" s="114"/>
      <c r="J193" s="11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4.0" customHeight="1">
      <c r="A194" s="113"/>
      <c r="B194" s="114"/>
      <c r="C194" s="114" t="str">
        <f>IF(B194="","",IFERROR(VLOOKUP(B194,'Material Master'!$A$2:$E$201,2,FALSE),""))</f>
        <v/>
      </c>
      <c r="D194" s="114" t="str">
        <f t="array" ref="D194">IF(B194="","",IFERROR(INDEX('Location Master'!$E$2:$E$502, IFERROR(MATCH(B194,'Location Master'!$G$2:$G$502,0), IFERROR(MATCH(B194&amp;" (*",'Location Master'!$G$2:$G$502,0), MATCH(B194&amp;"*",'Location Master'!$G$2:$G$502,0)))), ""))</f>
        <v/>
      </c>
      <c r="E194" s="116"/>
      <c r="F194" s="117"/>
      <c r="G194" s="114" t="str">
        <f>IF(B194="","",IFERROR(VLOOKUP(B194,'Material Master'!$A$2:$E$201,4,FALSE),""))</f>
        <v/>
      </c>
      <c r="H194" s="114"/>
      <c r="I194" s="114"/>
      <c r="J194" s="11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4.0" customHeight="1">
      <c r="A195" s="113"/>
      <c r="B195" s="114"/>
      <c r="C195" s="114" t="str">
        <f>IF(B195="","",IFERROR(VLOOKUP(B195,'Material Master'!$A$2:$E$201,2,FALSE),""))</f>
        <v/>
      </c>
      <c r="D195" s="114" t="str">
        <f t="array" ref="D195">IF(B195="","",IFERROR(INDEX('Location Master'!$E$2:$E$502, IFERROR(MATCH(B195,'Location Master'!$G$2:$G$502,0), IFERROR(MATCH(B195&amp;" (*",'Location Master'!$G$2:$G$502,0), MATCH(B195&amp;"*",'Location Master'!$G$2:$G$502,0)))), ""))</f>
        <v/>
      </c>
      <c r="E195" s="116"/>
      <c r="F195" s="117"/>
      <c r="G195" s="114" t="str">
        <f>IF(B195="","",IFERROR(VLOOKUP(B195,'Material Master'!$A$2:$E$201,4,FALSE),""))</f>
        <v/>
      </c>
      <c r="H195" s="114"/>
      <c r="I195" s="114"/>
      <c r="J195" s="11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4.0" customHeight="1">
      <c r="A196" s="113"/>
      <c r="B196" s="114"/>
      <c r="C196" s="114" t="str">
        <f>IF(B196="","",IFERROR(VLOOKUP(B196,'Material Master'!$A$2:$E$201,2,FALSE),""))</f>
        <v/>
      </c>
      <c r="D196" s="114" t="str">
        <f t="array" ref="D196">IF(B196="","",IFERROR(INDEX('Location Master'!$E$2:$E$502, IFERROR(MATCH(B196,'Location Master'!$G$2:$G$502,0), IFERROR(MATCH(B196&amp;" (*",'Location Master'!$G$2:$G$502,0), MATCH(B196&amp;"*",'Location Master'!$G$2:$G$502,0)))), ""))</f>
        <v/>
      </c>
      <c r="E196" s="116"/>
      <c r="F196" s="117"/>
      <c r="G196" s="114" t="str">
        <f>IF(B196="","",IFERROR(VLOOKUP(B196,'Material Master'!$A$2:$E$201,4,FALSE),""))</f>
        <v/>
      </c>
      <c r="H196" s="114"/>
      <c r="I196" s="114"/>
      <c r="J196" s="11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4.0" customHeight="1">
      <c r="A197" s="113"/>
      <c r="B197" s="114"/>
      <c r="C197" s="114" t="str">
        <f>IF(B197="","",IFERROR(VLOOKUP(B197,'Material Master'!$A$2:$E$201,2,FALSE),""))</f>
        <v/>
      </c>
      <c r="D197" s="114" t="str">
        <f t="array" ref="D197">IF(B197="","",IFERROR(INDEX('Location Master'!$E$2:$E$502, IFERROR(MATCH(B197,'Location Master'!$G$2:$G$502,0), IFERROR(MATCH(B197&amp;" (*",'Location Master'!$G$2:$G$502,0), MATCH(B197&amp;"*",'Location Master'!$G$2:$G$502,0)))), ""))</f>
        <v/>
      </c>
      <c r="E197" s="116"/>
      <c r="F197" s="117"/>
      <c r="G197" s="114" t="str">
        <f>IF(B197="","",IFERROR(VLOOKUP(B197,'Material Master'!$A$2:$E$201,4,FALSE),""))</f>
        <v/>
      </c>
      <c r="H197" s="114"/>
      <c r="I197" s="114"/>
      <c r="J197" s="11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4.0" customHeight="1">
      <c r="A198" s="113"/>
      <c r="B198" s="114"/>
      <c r="C198" s="114" t="str">
        <f>IF(B198="","",IFERROR(VLOOKUP(B198,'Material Master'!$A$2:$E$201,2,FALSE),""))</f>
        <v/>
      </c>
      <c r="D198" s="114" t="str">
        <f t="array" ref="D198">IF(B198="","",IFERROR(INDEX('Location Master'!$E$2:$E$502, IFERROR(MATCH(B198,'Location Master'!$G$2:$G$502,0), IFERROR(MATCH(B198&amp;" (*",'Location Master'!$G$2:$G$502,0), MATCH(B198&amp;"*",'Location Master'!$G$2:$G$502,0)))), ""))</f>
        <v/>
      </c>
      <c r="E198" s="116"/>
      <c r="F198" s="117"/>
      <c r="G198" s="114" t="str">
        <f>IF(B198="","",IFERROR(VLOOKUP(B198,'Material Master'!$A$2:$E$201,4,FALSE),""))</f>
        <v/>
      </c>
      <c r="H198" s="114"/>
      <c r="I198" s="114"/>
      <c r="J198" s="11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4.0" customHeight="1">
      <c r="A199" s="113"/>
      <c r="B199" s="114"/>
      <c r="C199" s="114" t="str">
        <f>IF(B199="","",IFERROR(VLOOKUP(B199,'Material Master'!$A$2:$E$201,2,FALSE),""))</f>
        <v/>
      </c>
      <c r="D199" s="114" t="str">
        <f t="array" ref="D199">IF(B199="","",IFERROR(INDEX('Location Master'!$E$2:$E$502, IFERROR(MATCH(B199,'Location Master'!$G$2:$G$502,0), IFERROR(MATCH(B199&amp;" (*",'Location Master'!$G$2:$G$502,0), MATCH(B199&amp;"*",'Location Master'!$G$2:$G$502,0)))), ""))</f>
        <v/>
      </c>
      <c r="E199" s="116"/>
      <c r="F199" s="117"/>
      <c r="G199" s="114" t="str">
        <f>IF(B199="","",IFERROR(VLOOKUP(B199,'Material Master'!$A$2:$E$201,4,FALSE),""))</f>
        <v/>
      </c>
      <c r="H199" s="114"/>
      <c r="I199" s="114"/>
      <c r="J199" s="11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4.0" customHeight="1">
      <c r="A200" s="113"/>
      <c r="B200" s="114"/>
      <c r="C200" s="114" t="str">
        <f>IF(B200="","",IFERROR(VLOOKUP(B200,'Material Master'!$A$2:$E$201,2,FALSE),""))</f>
        <v/>
      </c>
      <c r="D200" s="114" t="str">
        <f t="array" ref="D200">IF(B200="","",IFERROR(INDEX('Location Master'!$E$2:$E$502, IFERROR(MATCH(B200,'Location Master'!$G$2:$G$502,0), IFERROR(MATCH(B200&amp;" (*",'Location Master'!$G$2:$G$502,0), MATCH(B200&amp;"*",'Location Master'!$G$2:$G$502,0)))), ""))</f>
        <v/>
      </c>
      <c r="E200" s="116"/>
      <c r="F200" s="117"/>
      <c r="G200" s="114" t="str">
        <f>IF(B200="","",IFERROR(VLOOKUP(B200,'Material Master'!$A$2:$E$201,4,FALSE),""))</f>
        <v/>
      </c>
      <c r="H200" s="114"/>
      <c r="I200" s="114"/>
      <c r="J200" s="11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4.0" customHeight="1">
      <c r="A201" s="113"/>
      <c r="B201" s="114"/>
      <c r="C201" s="114" t="str">
        <f>IF(B201="","",IFERROR(VLOOKUP(B201,'Material Master'!$A$2:$E$201,2,FALSE),""))</f>
        <v/>
      </c>
      <c r="D201" s="114" t="str">
        <f t="array" ref="D201">IF(B201="","",IFERROR(INDEX('Location Master'!$E$2:$E$502, IFERROR(MATCH(B201,'Location Master'!$G$2:$G$502,0), IFERROR(MATCH(B201&amp;" (*",'Location Master'!$G$2:$G$502,0), MATCH(B201&amp;"*",'Location Master'!$G$2:$G$502,0)))), ""))</f>
        <v/>
      </c>
      <c r="E201" s="116"/>
      <c r="F201" s="117"/>
      <c r="G201" s="114" t="str">
        <f>IF(B201="","",IFERROR(VLOOKUP(B201,'Material Master'!$A$2:$E$201,4,FALSE),""))</f>
        <v/>
      </c>
      <c r="H201" s="114"/>
      <c r="I201" s="114"/>
      <c r="J201" s="11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4.0" customHeight="1">
      <c r="A202" s="113"/>
      <c r="B202" s="114"/>
      <c r="C202" s="114" t="str">
        <f>IF(B202="","",IFERROR(VLOOKUP(B202,'Material Master'!$A$2:$E$201,2,FALSE),""))</f>
        <v/>
      </c>
      <c r="D202" s="114" t="str">
        <f t="array" ref="D202">IF(B202="","",IFERROR(INDEX('Location Master'!$E$2:$E$502, IFERROR(MATCH(B202,'Location Master'!$G$2:$G$502,0), IFERROR(MATCH(B202&amp;" (*",'Location Master'!$G$2:$G$502,0), MATCH(B202&amp;"*",'Location Master'!$G$2:$G$502,0)))), ""))</f>
        <v/>
      </c>
      <c r="E202" s="116"/>
      <c r="F202" s="117"/>
      <c r="G202" s="114" t="str">
        <f>IF(B202="","",IFERROR(VLOOKUP(B202,'Material Master'!$A$2:$E$201,4,FALSE),""))</f>
        <v/>
      </c>
      <c r="H202" s="114"/>
      <c r="I202" s="114"/>
      <c r="J202" s="11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4.0" customHeight="1">
      <c r="A203" s="113"/>
      <c r="B203" s="114"/>
      <c r="C203" s="114" t="str">
        <f>IF(B203="","",IFERROR(VLOOKUP(B203,'Material Master'!$A$2:$E$201,2,FALSE),""))</f>
        <v/>
      </c>
      <c r="D203" s="114" t="str">
        <f t="array" ref="D203">IF(B203="","",IFERROR(INDEX('Location Master'!$E$2:$E$502, IFERROR(MATCH(B203,'Location Master'!$G$2:$G$502,0), IFERROR(MATCH(B203&amp;" (*",'Location Master'!$G$2:$G$502,0), MATCH(B203&amp;"*",'Location Master'!$G$2:$G$502,0)))), ""))</f>
        <v/>
      </c>
      <c r="E203" s="116"/>
      <c r="F203" s="117"/>
      <c r="G203" s="114" t="str">
        <f>IF(B203="","",IFERROR(VLOOKUP(B203,'Material Master'!$A$2:$E$201,4,FALSE),""))</f>
        <v/>
      </c>
      <c r="H203" s="114"/>
      <c r="I203" s="114"/>
      <c r="J203" s="11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4.0" customHeight="1">
      <c r="A204" s="113"/>
      <c r="B204" s="114"/>
      <c r="C204" s="114" t="str">
        <f>IF(B204="","",IFERROR(VLOOKUP(B204,'Material Master'!$A$2:$E$201,2,FALSE),""))</f>
        <v/>
      </c>
      <c r="D204" s="114" t="str">
        <f t="array" ref="D204">IF(B204="","",IFERROR(INDEX('Location Master'!$E$2:$E$502, IFERROR(MATCH(B204,'Location Master'!$G$2:$G$502,0), IFERROR(MATCH(B204&amp;" (*",'Location Master'!$G$2:$G$502,0), MATCH(B204&amp;"*",'Location Master'!$G$2:$G$502,0)))), ""))</f>
        <v/>
      </c>
      <c r="E204" s="116"/>
      <c r="F204" s="117"/>
      <c r="G204" s="114" t="str">
        <f>IF(B204="","",IFERROR(VLOOKUP(B204,'Material Master'!$A$2:$E$201,4,FALSE),""))</f>
        <v/>
      </c>
      <c r="H204" s="114"/>
      <c r="I204" s="114"/>
      <c r="J204" s="11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4.0" customHeight="1">
      <c r="A205" s="113"/>
      <c r="B205" s="114"/>
      <c r="C205" s="114" t="str">
        <f>IF(B205="","",IFERROR(VLOOKUP(B205,'Material Master'!$A$2:$E$201,2,FALSE),""))</f>
        <v/>
      </c>
      <c r="D205" s="114" t="str">
        <f t="array" ref="D205">IF(B205="","",IFERROR(INDEX('Location Master'!$E$2:$E$502, IFERROR(MATCH(B205,'Location Master'!$G$2:$G$502,0), IFERROR(MATCH(B205&amp;" (*",'Location Master'!$G$2:$G$502,0), MATCH(B205&amp;"*",'Location Master'!$G$2:$G$502,0)))), ""))</f>
        <v/>
      </c>
      <c r="E205" s="116"/>
      <c r="F205" s="117"/>
      <c r="G205" s="114" t="str">
        <f>IF(B205="","",IFERROR(VLOOKUP(B205,'Material Master'!$A$2:$E$201,4,FALSE),""))</f>
        <v/>
      </c>
      <c r="H205" s="114"/>
      <c r="I205" s="114"/>
      <c r="J205" s="11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4.0" customHeight="1">
      <c r="A206" s="113"/>
      <c r="B206" s="114"/>
      <c r="C206" s="114" t="str">
        <f>IF(B206="","",IFERROR(VLOOKUP(B206,'Material Master'!$A$2:$E$201,2,FALSE),""))</f>
        <v/>
      </c>
      <c r="D206" s="114" t="str">
        <f t="array" ref="D206">IF(B206="","",IFERROR(INDEX('Location Master'!$E$2:$E$502, IFERROR(MATCH(B206,'Location Master'!$G$2:$G$502,0), IFERROR(MATCH(B206&amp;" (*",'Location Master'!$G$2:$G$502,0), MATCH(B206&amp;"*",'Location Master'!$G$2:$G$502,0)))), ""))</f>
        <v/>
      </c>
      <c r="E206" s="116"/>
      <c r="F206" s="117"/>
      <c r="G206" s="114" t="str">
        <f>IF(B206="","",IFERROR(VLOOKUP(B206,'Material Master'!$A$2:$E$201,4,FALSE),""))</f>
        <v/>
      </c>
      <c r="H206" s="114"/>
      <c r="I206" s="114"/>
      <c r="J206" s="11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4.0" customHeight="1">
      <c r="A207" s="113"/>
      <c r="B207" s="114"/>
      <c r="C207" s="114" t="str">
        <f>IF(B207="","",IFERROR(VLOOKUP(B207,'Material Master'!$A$2:$E$201,2,FALSE),""))</f>
        <v/>
      </c>
      <c r="D207" s="114" t="str">
        <f t="array" ref="D207">IF(B207="","",IFERROR(INDEX('Location Master'!$E$2:$E$502, IFERROR(MATCH(B207,'Location Master'!$G$2:$G$502,0), IFERROR(MATCH(B207&amp;" (*",'Location Master'!$G$2:$G$502,0), MATCH(B207&amp;"*",'Location Master'!$G$2:$G$502,0)))), ""))</f>
        <v/>
      </c>
      <c r="E207" s="116"/>
      <c r="F207" s="117"/>
      <c r="G207" s="114" t="str">
        <f>IF(B207="","",IFERROR(VLOOKUP(B207,'Material Master'!$A$2:$E$201,4,FALSE),""))</f>
        <v/>
      </c>
      <c r="H207" s="114"/>
      <c r="I207" s="114"/>
      <c r="J207" s="11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4.0" customHeight="1">
      <c r="A208" s="113"/>
      <c r="B208" s="114"/>
      <c r="C208" s="114" t="str">
        <f>IF(B208="","",IFERROR(VLOOKUP(B208,'Material Master'!$A$2:$E$201,2,FALSE),""))</f>
        <v/>
      </c>
      <c r="D208" s="114" t="str">
        <f t="array" ref="D208">IF(B208="","",IFERROR(INDEX('Location Master'!$E$2:$E$502, IFERROR(MATCH(B208,'Location Master'!$G$2:$G$502,0), IFERROR(MATCH(B208&amp;" (*",'Location Master'!$G$2:$G$502,0), MATCH(B208&amp;"*",'Location Master'!$G$2:$G$502,0)))), ""))</f>
        <v/>
      </c>
      <c r="E208" s="116"/>
      <c r="F208" s="117"/>
      <c r="G208" s="114" t="str">
        <f>IF(B208="","",IFERROR(VLOOKUP(B208,'Material Master'!$A$2:$E$201,4,FALSE),""))</f>
        <v/>
      </c>
      <c r="H208" s="114"/>
      <c r="I208" s="114"/>
      <c r="J208" s="11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4.0" customHeight="1">
      <c r="A209" s="113"/>
      <c r="B209" s="114"/>
      <c r="C209" s="114" t="str">
        <f>IF(B209="","",IFERROR(VLOOKUP(B209,'Material Master'!$A$2:$E$201,2,FALSE),""))</f>
        <v/>
      </c>
      <c r="D209" s="114" t="str">
        <f t="array" ref="D209">IF(B209="","",IFERROR(INDEX('Location Master'!$E$2:$E$502, IFERROR(MATCH(B209,'Location Master'!$G$2:$G$502,0), IFERROR(MATCH(B209&amp;" (*",'Location Master'!$G$2:$G$502,0), MATCH(B209&amp;"*",'Location Master'!$G$2:$G$502,0)))), ""))</f>
        <v/>
      </c>
      <c r="E209" s="116"/>
      <c r="F209" s="117"/>
      <c r="G209" s="114" t="str">
        <f>IF(B209="","",IFERROR(VLOOKUP(B209,'Material Master'!$A$2:$E$201,4,FALSE),""))</f>
        <v/>
      </c>
      <c r="H209" s="114"/>
      <c r="I209" s="114"/>
      <c r="J209" s="11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4.0" customHeight="1">
      <c r="A210" s="113"/>
      <c r="B210" s="114"/>
      <c r="C210" s="114" t="str">
        <f>IF(B210="","",IFERROR(VLOOKUP(B210,'Material Master'!$A$2:$E$201,2,FALSE),""))</f>
        <v/>
      </c>
      <c r="D210" s="114" t="str">
        <f t="array" ref="D210">IF(B210="","",IFERROR(INDEX('Location Master'!$E$2:$E$502, IFERROR(MATCH(B210,'Location Master'!$G$2:$G$502,0), IFERROR(MATCH(B210&amp;" (*",'Location Master'!$G$2:$G$502,0), MATCH(B210&amp;"*",'Location Master'!$G$2:$G$502,0)))), ""))</f>
        <v/>
      </c>
      <c r="E210" s="116"/>
      <c r="F210" s="117"/>
      <c r="G210" s="114" t="str">
        <f>IF(B210="","",IFERROR(VLOOKUP(B210,'Material Master'!$A$2:$E$201,4,FALSE),""))</f>
        <v/>
      </c>
      <c r="H210" s="114"/>
      <c r="I210" s="114"/>
      <c r="J210" s="11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4.0" customHeight="1">
      <c r="A211" s="113"/>
      <c r="B211" s="114"/>
      <c r="C211" s="114" t="str">
        <f>IF(B211="","",IFERROR(VLOOKUP(B211,'Material Master'!$A$2:$E$201,2,FALSE),""))</f>
        <v/>
      </c>
      <c r="D211" s="114" t="str">
        <f t="array" ref="D211">IF(B211="","",IFERROR(INDEX('Location Master'!$E$2:$E$502, IFERROR(MATCH(B211,'Location Master'!$G$2:$G$502,0), IFERROR(MATCH(B211&amp;" (*",'Location Master'!$G$2:$G$502,0), MATCH(B211&amp;"*",'Location Master'!$G$2:$G$502,0)))), ""))</f>
        <v/>
      </c>
      <c r="E211" s="116"/>
      <c r="F211" s="117"/>
      <c r="G211" s="114" t="str">
        <f>IF(B211="","",IFERROR(VLOOKUP(B211,'Material Master'!$A$2:$E$201,4,FALSE),""))</f>
        <v/>
      </c>
      <c r="H211" s="114"/>
      <c r="I211" s="114"/>
      <c r="J211" s="11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4.0" customHeight="1">
      <c r="A212" s="113"/>
      <c r="B212" s="114"/>
      <c r="C212" s="114" t="str">
        <f>IF(B212="","",IFERROR(VLOOKUP(B212,'Material Master'!$A$2:$E$201,2,FALSE),""))</f>
        <v/>
      </c>
      <c r="D212" s="114" t="str">
        <f t="array" ref="D212">IF(B212="","",IFERROR(INDEX('Location Master'!$E$2:$E$502, IFERROR(MATCH(B212,'Location Master'!$G$2:$G$502,0), IFERROR(MATCH(B212&amp;" (*",'Location Master'!$G$2:$G$502,0), MATCH(B212&amp;"*",'Location Master'!$G$2:$G$502,0)))), ""))</f>
        <v/>
      </c>
      <c r="E212" s="116"/>
      <c r="F212" s="117"/>
      <c r="G212" s="114" t="str">
        <f>IF(B212="","",IFERROR(VLOOKUP(B212,'Material Master'!$A$2:$E$201,4,FALSE),""))</f>
        <v/>
      </c>
      <c r="H212" s="114"/>
      <c r="I212" s="114"/>
      <c r="J212" s="11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4.0" customHeight="1">
      <c r="A213" s="113"/>
      <c r="B213" s="114"/>
      <c r="C213" s="114" t="str">
        <f>IF(B213="","",IFERROR(VLOOKUP(B213,'Material Master'!$A$2:$E$201,2,FALSE),""))</f>
        <v/>
      </c>
      <c r="D213" s="114" t="str">
        <f t="array" ref="D213">IF(B213="","",IFERROR(INDEX('Location Master'!$E$2:$E$502, IFERROR(MATCH(B213,'Location Master'!$G$2:$G$502,0), IFERROR(MATCH(B213&amp;" (*",'Location Master'!$G$2:$G$502,0), MATCH(B213&amp;"*",'Location Master'!$G$2:$G$502,0)))), ""))</f>
        <v/>
      </c>
      <c r="E213" s="116"/>
      <c r="F213" s="117"/>
      <c r="G213" s="114" t="str">
        <f>IF(B213="","",IFERROR(VLOOKUP(B213,'Material Master'!$A$2:$E$201,4,FALSE),""))</f>
        <v/>
      </c>
      <c r="H213" s="114"/>
      <c r="I213" s="114"/>
      <c r="J213" s="11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4.0" customHeight="1">
      <c r="A214" s="113"/>
      <c r="B214" s="114"/>
      <c r="C214" s="114" t="str">
        <f>IF(B214="","",IFERROR(VLOOKUP(B214,'Material Master'!$A$2:$E$201,2,FALSE),""))</f>
        <v/>
      </c>
      <c r="D214" s="114" t="str">
        <f t="array" ref="D214">IF(B214="","",IFERROR(INDEX('Location Master'!$E$2:$E$502, IFERROR(MATCH(B214,'Location Master'!$G$2:$G$502,0), IFERROR(MATCH(B214&amp;" (*",'Location Master'!$G$2:$G$502,0), MATCH(B214&amp;"*",'Location Master'!$G$2:$G$502,0)))), ""))</f>
        <v/>
      </c>
      <c r="E214" s="116"/>
      <c r="F214" s="117"/>
      <c r="G214" s="114" t="str">
        <f>IF(B214="","",IFERROR(VLOOKUP(B214,'Material Master'!$A$2:$E$201,4,FALSE),""))</f>
        <v/>
      </c>
      <c r="H214" s="114"/>
      <c r="I214" s="114"/>
      <c r="J214" s="11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4.0" customHeight="1">
      <c r="A215" s="113"/>
      <c r="B215" s="114"/>
      <c r="C215" s="114" t="str">
        <f>IF(B215="","",IFERROR(VLOOKUP(B215,'Material Master'!$A$2:$E$201,2,FALSE),""))</f>
        <v/>
      </c>
      <c r="D215" s="114" t="str">
        <f t="array" ref="D215">IF(B215="","",IFERROR(INDEX('Location Master'!$E$2:$E$502, IFERROR(MATCH(B215,'Location Master'!$G$2:$G$502,0), IFERROR(MATCH(B215&amp;" (*",'Location Master'!$G$2:$G$502,0), MATCH(B215&amp;"*",'Location Master'!$G$2:$G$502,0)))), ""))</f>
        <v/>
      </c>
      <c r="E215" s="116"/>
      <c r="F215" s="117"/>
      <c r="G215" s="114" t="str">
        <f>IF(B215="","",IFERROR(VLOOKUP(B215,'Material Master'!$A$2:$E$201,4,FALSE),""))</f>
        <v/>
      </c>
      <c r="H215" s="114"/>
      <c r="I215" s="114"/>
      <c r="J215" s="11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4.0" customHeight="1">
      <c r="A216" s="113"/>
      <c r="B216" s="114"/>
      <c r="C216" s="114" t="str">
        <f>IF(B216="","",IFERROR(VLOOKUP(B216,'Material Master'!$A$2:$E$201,2,FALSE),""))</f>
        <v/>
      </c>
      <c r="D216" s="114" t="str">
        <f t="array" ref="D216">IF(B216="","",IFERROR(INDEX('Location Master'!$E$2:$E$502, IFERROR(MATCH(B216,'Location Master'!$G$2:$G$502,0), IFERROR(MATCH(B216&amp;" (*",'Location Master'!$G$2:$G$502,0), MATCH(B216&amp;"*",'Location Master'!$G$2:$G$502,0)))), ""))</f>
        <v/>
      </c>
      <c r="E216" s="116"/>
      <c r="F216" s="117"/>
      <c r="G216" s="114" t="str">
        <f>IF(B216="","",IFERROR(VLOOKUP(B216,'Material Master'!$A$2:$E$201,4,FALSE),""))</f>
        <v/>
      </c>
      <c r="H216" s="114"/>
      <c r="I216" s="114"/>
      <c r="J216" s="11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4.0" customHeight="1">
      <c r="A217" s="113"/>
      <c r="B217" s="114"/>
      <c r="C217" s="114" t="str">
        <f>IF(B217="","",IFERROR(VLOOKUP(B217,'Material Master'!$A$2:$E$201,2,FALSE),""))</f>
        <v/>
      </c>
      <c r="D217" s="114" t="str">
        <f t="array" ref="D217">IF(B217="","",IFERROR(INDEX('Location Master'!$E$2:$E$502, IFERROR(MATCH(B217,'Location Master'!$G$2:$G$502,0), IFERROR(MATCH(B217&amp;" (*",'Location Master'!$G$2:$G$502,0), MATCH(B217&amp;"*",'Location Master'!$G$2:$G$502,0)))), ""))</f>
        <v/>
      </c>
      <c r="E217" s="116"/>
      <c r="F217" s="117"/>
      <c r="G217" s="114" t="str">
        <f>IF(B217="","",IFERROR(VLOOKUP(B217,'Material Master'!$A$2:$E$201,4,FALSE),""))</f>
        <v/>
      </c>
      <c r="H217" s="114"/>
      <c r="I217" s="114"/>
      <c r="J217" s="11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4.0" customHeight="1">
      <c r="A218" s="113"/>
      <c r="B218" s="114"/>
      <c r="C218" s="114" t="str">
        <f>IF(B218="","",IFERROR(VLOOKUP(B218,'Material Master'!$A$2:$E$201,2,FALSE),""))</f>
        <v/>
      </c>
      <c r="D218" s="114" t="str">
        <f t="array" ref="D218">IF(B218="","",IFERROR(INDEX('Location Master'!$E$2:$E$502, IFERROR(MATCH(B218,'Location Master'!$G$2:$G$502,0), IFERROR(MATCH(B218&amp;" (*",'Location Master'!$G$2:$G$502,0), MATCH(B218&amp;"*",'Location Master'!$G$2:$G$502,0)))), ""))</f>
        <v/>
      </c>
      <c r="E218" s="116"/>
      <c r="F218" s="117"/>
      <c r="G218" s="114" t="str">
        <f>IF(B218="","",IFERROR(VLOOKUP(B218,'Material Master'!$A$2:$E$201,4,FALSE),""))</f>
        <v/>
      </c>
      <c r="H218" s="114"/>
      <c r="I218" s="114"/>
      <c r="J218" s="11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4.0" customHeight="1">
      <c r="A219" s="113"/>
      <c r="B219" s="114"/>
      <c r="C219" s="114" t="str">
        <f>IF(B219="","",IFERROR(VLOOKUP(B219,'Material Master'!$A$2:$E$201,2,FALSE),""))</f>
        <v/>
      </c>
      <c r="D219" s="114" t="str">
        <f t="array" ref="D219">IF(B219="","",IFERROR(INDEX('Location Master'!$E$2:$E$502, IFERROR(MATCH(B219,'Location Master'!$G$2:$G$502,0), IFERROR(MATCH(B219&amp;" (*",'Location Master'!$G$2:$G$502,0), MATCH(B219&amp;"*",'Location Master'!$G$2:$G$502,0)))), ""))</f>
        <v/>
      </c>
      <c r="E219" s="116"/>
      <c r="F219" s="117"/>
      <c r="G219" s="114" t="str">
        <f>IF(B219="","",IFERROR(VLOOKUP(B219,'Material Master'!$A$2:$E$201,4,FALSE),""))</f>
        <v/>
      </c>
      <c r="H219" s="114"/>
      <c r="I219" s="114"/>
      <c r="J219" s="11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4.0" customHeight="1">
      <c r="A220" s="113"/>
      <c r="B220" s="114"/>
      <c r="C220" s="114" t="str">
        <f>IF(B220="","",IFERROR(VLOOKUP(B220,'Material Master'!$A$2:$E$201,2,FALSE),""))</f>
        <v/>
      </c>
      <c r="D220" s="114" t="str">
        <f t="array" ref="D220">IF(B220="","",IFERROR(INDEX('Location Master'!$E$2:$E$502, IFERROR(MATCH(B220,'Location Master'!$G$2:$G$502,0), IFERROR(MATCH(B220&amp;" (*",'Location Master'!$G$2:$G$502,0), MATCH(B220&amp;"*",'Location Master'!$G$2:$G$502,0)))), ""))</f>
        <v/>
      </c>
      <c r="E220" s="116"/>
      <c r="F220" s="117"/>
      <c r="G220" s="114" t="str">
        <f>IF(B220="","",IFERROR(VLOOKUP(B220,'Material Master'!$A$2:$E$201,4,FALSE),""))</f>
        <v/>
      </c>
      <c r="H220" s="114"/>
      <c r="I220" s="114"/>
      <c r="J220" s="11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4.0" customHeight="1">
      <c r="A221" s="113"/>
      <c r="B221" s="114"/>
      <c r="C221" s="114" t="str">
        <f>IF(B221="","",IFERROR(VLOOKUP(B221,'Material Master'!$A$2:$E$201,2,FALSE),""))</f>
        <v/>
      </c>
      <c r="D221" s="114" t="str">
        <f t="array" ref="D221">IF(B221="","",IFERROR(INDEX('Location Master'!$E$2:$E$502, IFERROR(MATCH(B221,'Location Master'!$G$2:$G$502,0), IFERROR(MATCH(B221&amp;" (*",'Location Master'!$G$2:$G$502,0), MATCH(B221&amp;"*",'Location Master'!$G$2:$G$502,0)))), ""))</f>
        <v/>
      </c>
      <c r="E221" s="116"/>
      <c r="F221" s="117"/>
      <c r="G221" s="114" t="str">
        <f>IF(B221="","",IFERROR(VLOOKUP(B221,'Material Master'!$A$2:$E$201,4,FALSE),""))</f>
        <v/>
      </c>
      <c r="H221" s="114"/>
      <c r="I221" s="114"/>
      <c r="J221" s="11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4.0" customHeight="1">
      <c r="A222" s="113"/>
      <c r="B222" s="114"/>
      <c r="C222" s="114" t="str">
        <f>IF(B222="","",IFERROR(VLOOKUP(B222,'Material Master'!$A$2:$E$201,2,FALSE),""))</f>
        <v/>
      </c>
      <c r="D222" s="114" t="str">
        <f t="array" ref="D222">IF(B222="","",IFERROR(INDEX('Location Master'!$E$2:$E$502, IFERROR(MATCH(B222,'Location Master'!$G$2:$G$502,0), IFERROR(MATCH(B222&amp;" (*",'Location Master'!$G$2:$G$502,0), MATCH(B222&amp;"*",'Location Master'!$G$2:$G$502,0)))), ""))</f>
        <v/>
      </c>
      <c r="E222" s="116"/>
      <c r="F222" s="117"/>
      <c r="G222" s="114" t="str">
        <f>IF(B222="","",IFERROR(VLOOKUP(B222,'Material Master'!$A$2:$E$201,4,FALSE),""))</f>
        <v/>
      </c>
      <c r="H222" s="114"/>
      <c r="I222" s="114"/>
      <c r="J222" s="11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4.0" customHeight="1">
      <c r="A223" s="113"/>
      <c r="B223" s="114"/>
      <c r="C223" s="114" t="str">
        <f>IF(B223="","",IFERROR(VLOOKUP(B223,'Material Master'!$A$2:$E$201,2,FALSE),""))</f>
        <v/>
      </c>
      <c r="D223" s="114" t="str">
        <f t="array" ref="D223">IF(B223="","",IFERROR(INDEX('Location Master'!$E$2:$E$502, IFERROR(MATCH(B223,'Location Master'!$G$2:$G$502,0), IFERROR(MATCH(B223&amp;" (*",'Location Master'!$G$2:$G$502,0), MATCH(B223&amp;"*",'Location Master'!$G$2:$G$502,0)))), ""))</f>
        <v/>
      </c>
      <c r="E223" s="116"/>
      <c r="F223" s="117"/>
      <c r="G223" s="114" t="str">
        <f>IF(B223="","",IFERROR(VLOOKUP(B223,'Material Master'!$A$2:$E$201,4,FALSE),""))</f>
        <v/>
      </c>
      <c r="H223" s="114"/>
      <c r="I223" s="114"/>
      <c r="J223" s="11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4.0" customHeight="1">
      <c r="A224" s="113"/>
      <c r="B224" s="114"/>
      <c r="C224" s="114" t="str">
        <f>IF(B224="","",IFERROR(VLOOKUP(B224,'Material Master'!$A$2:$E$201,2,FALSE),""))</f>
        <v/>
      </c>
      <c r="D224" s="114" t="str">
        <f t="array" ref="D224">IF(B224="","",IFERROR(INDEX('Location Master'!$E$2:$E$502, IFERROR(MATCH(B224,'Location Master'!$G$2:$G$502,0), IFERROR(MATCH(B224&amp;" (*",'Location Master'!$G$2:$G$502,0), MATCH(B224&amp;"*",'Location Master'!$G$2:$G$502,0)))), ""))</f>
        <v/>
      </c>
      <c r="E224" s="116"/>
      <c r="F224" s="117"/>
      <c r="G224" s="114" t="str">
        <f>IF(B224="","",IFERROR(VLOOKUP(B224,'Material Master'!$A$2:$E$201,4,FALSE),""))</f>
        <v/>
      </c>
      <c r="H224" s="114"/>
      <c r="I224" s="114"/>
      <c r="J224" s="11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4.0" customHeight="1">
      <c r="A225" s="113"/>
      <c r="B225" s="114"/>
      <c r="C225" s="114" t="str">
        <f>IF(B225="","",IFERROR(VLOOKUP(B225,'Material Master'!$A$2:$E$201,2,FALSE),""))</f>
        <v/>
      </c>
      <c r="D225" s="114" t="str">
        <f t="array" ref="D225">IF(B225="","",IFERROR(INDEX('Location Master'!$E$2:$E$502, IFERROR(MATCH(B225,'Location Master'!$G$2:$G$502,0), IFERROR(MATCH(B225&amp;" (*",'Location Master'!$G$2:$G$502,0), MATCH(B225&amp;"*",'Location Master'!$G$2:$G$502,0)))), ""))</f>
        <v/>
      </c>
      <c r="E225" s="116"/>
      <c r="F225" s="117"/>
      <c r="G225" s="114" t="str">
        <f>IF(B225="","",IFERROR(VLOOKUP(B225,'Material Master'!$A$2:$E$201,4,FALSE),""))</f>
        <v/>
      </c>
      <c r="H225" s="114"/>
      <c r="I225" s="114"/>
      <c r="J225" s="11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4.0" customHeight="1">
      <c r="A226" s="113"/>
      <c r="B226" s="114"/>
      <c r="C226" s="114" t="str">
        <f>IF(B226="","",IFERROR(VLOOKUP(B226,'Material Master'!$A$2:$E$201,2,FALSE),""))</f>
        <v/>
      </c>
      <c r="D226" s="114" t="str">
        <f t="array" ref="D226">IF(B226="","",IFERROR(INDEX('Location Master'!$E$2:$E$502, IFERROR(MATCH(B226,'Location Master'!$G$2:$G$502,0), IFERROR(MATCH(B226&amp;" (*",'Location Master'!$G$2:$G$502,0), MATCH(B226&amp;"*",'Location Master'!$G$2:$G$502,0)))), ""))</f>
        <v/>
      </c>
      <c r="E226" s="116"/>
      <c r="F226" s="117"/>
      <c r="G226" s="114" t="str">
        <f>IF(B226="","",IFERROR(VLOOKUP(B226,'Material Master'!$A$2:$E$201,4,FALSE),""))</f>
        <v/>
      </c>
      <c r="H226" s="114"/>
      <c r="I226" s="114"/>
      <c r="J226" s="11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4.0" customHeight="1">
      <c r="A227" s="113"/>
      <c r="B227" s="114"/>
      <c r="C227" s="114" t="str">
        <f>IF(B227="","",IFERROR(VLOOKUP(B227,'Material Master'!$A$2:$E$201,2,FALSE),""))</f>
        <v/>
      </c>
      <c r="D227" s="114" t="str">
        <f t="array" ref="D227">IF(B227="","",IFERROR(INDEX('Location Master'!$E$2:$E$502, IFERROR(MATCH(B227,'Location Master'!$G$2:$G$502,0), IFERROR(MATCH(B227&amp;" (*",'Location Master'!$G$2:$G$502,0), MATCH(B227&amp;"*",'Location Master'!$G$2:$G$502,0)))), ""))</f>
        <v/>
      </c>
      <c r="E227" s="116"/>
      <c r="F227" s="117"/>
      <c r="G227" s="114" t="str">
        <f>IF(B227="","",IFERROR(VLOOKUP(B227,'Material Master'!$A$2:$E$201,4,FALSE),""))</f>
        <v/>
      </c>
      <c r="H227" s="114"/>
      <c r="I227" s="114"/>
      <c r="J227" s="11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4.0" customHeight="1">
      <c r="A228" s="113"/>
      <c r="B228" s="114"/>
      <c r="C228" s="114" t="str">
        <f>IF(B228="","",IFERROR(VLOOKUP(B228,'Material Master'!$A$2:$E$201,2,FALSE),""))</f>
        <v/>
      </c>
      <c r="D228" s="114" t="str">
        <f t="array" ref="D228">IF(B228="","",IFERROR(INDEX('Location Master'!$E$2:$E$502, IFERROR(MATCH(B228,'Location Master'!$G$2:$G$502,0), IFERROR(MATCH(B228&amp;" (*",'Location Master'!$G$2:$G$502,0), MATCH(B228&amp;"*",'Location Master'!$G$2:$G$502,0)))), ""))</f>
        <v/>
      </c>
      <c r="E228" s="116"/>
      <c r="F228" s="117"/>
      <c r="G228" s="114" t="str">
        <f>IF(B228="","",IFERROR(VLOOKUP(B228,'Material Master'!$A$2:$E$201,4,FALSE),""))</f>
        <v/>
      </c>
      <c r="H228" s="114"/>
      <c r="I228" s="114"/>
      <c r="J228" s="11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4.0" customHeight="1">
      <c r="A229" s="113"/>
      <c r="B229" s="114"/>
      <c r="C229" s="114" t="str">
        <f>IF(B229="","",IFERROR(VLOOKUP(B229,'Material Master'!$A$2:$E$201,2,FALSE),""))</f>
        <v/>
      </c>
      <c r="D229" s="114" t="str">
        <f t="array" ref="D229">IF(B229="","",IFERROR(INDEX('Location Master'!$E$2:$E$502, IFERROR(MATCH(B229,'Location Master'!$G$2:$G$502,0), IFERROR(MATCH(B229&amp;" (*",'Location Master'!$G$2:$G$502,0), MATCH(B229&amp;"*",'Location Master'!$G$2:$G$502,0)))), ""))</f>
        <v/>
      </c>
      <c r="E229" s="116"/>
      <c r="F229" s="117"/>
      <c r="G229" s="114" t="str">
        <f>IF(B229="","",IFERROR(VLOOKUP(B229,'Material Master'!$A$2:$E$201,4,FALSE),""))</f>
        <v/>
      </c>
      <c r="H229" s="114"/>
      <c r="I229" s="114"/>
      <c r="J229" s="11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4.0" customHeight="1">
      <c r="A230" s="113"/>
      <c r="B230" s="114"/>
      <c r="C230" s="114" t="str">
        <f>IF(B230="","",IFERROR(VLOOKUP(B230,'Material Master'!$A$2:$E$201,2,FALSE),""))</f>
        <v/>
      </c>
      <c r="D230" s="114" t="str">
        <f t="array" ref="D230">IF(B230="","",IFERROR(INDEX('Location Master'!$E$2:$E$502, IFERROR(MATCH(B230,'Location Master'!$G$2:$G$502,0), IFERROR(MATCH(B230&amp;" (*",'Location Master'!$G$2:$G$502,0), MATCH(B230&amp;"*",'Location Master'!$G$2:$G$502,0)))), ""))</f>
        <v/>
      </c>
      <c r="E230" s="116"/>
      <c r="F230" s="117"/>
      <c r="G230" s="114" t="str">
        <f>IF(B230="","",IFERROR(VLOOKUP(B230,'Material Master'!$A$2:$E$201,4,FALSE),""))</f>
        <v/>
      </c>
      <c r="H230" s="114"/>
      <c r="I230" s="114"/>
      <c r="J230" s="11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4.0" customHeight="1">
      <c r="A231" s="113"/>
      <c r="B231" s="114"/>
      <c r="C231" s="114" t="str">
        <f>IF(B231="","",IFERROR(VLOOKUP(B231,'Material Master'!$A$2:$E$201,2,FALSE),""))</f>
        <v/>
      </c>
      <c r="D231" s="114" t="str">
        <f t="array" ref="D231">IF(B231="","",IFERROR(INDEX('Location Master'!$E$2:$E$502, IFERROR(MATCH(B231,'Location Master'!$G$2:$G$502,0), IFERROR(MATCH(B231&amp;" (*",'Location Master'!$G$2:$G$502,0), MATCH(B231&amp;"*",'Location Master'!$G$2:$G$502,0)))), ""))</f>
        <v/>
      </c>
      <c r="E231" s="116"/>
      <c r="F231" s="117"/>
      <c r="G231" s="114" t="str">
        <f>IF(B231="","",IFERROR(VLOOKUP(B231,'Material Master'!$A$2:$E$201,4,FALSE),""))</f>
        <v/>
      </c>
      <c r="H231" s="114"/>
      <c r="I231" s="114"/>
      <c r="J231" s="11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4.0" customHeight="1">
      <c r="A232" s="113"/>
      <c r="B232" s="114"/>
      <c r="C232" s="114" t="str">
        <f>IF(B232="","",IFERROR(VLOOKUP(B232,'Material Master'!$A$2:$E$201,2,FALSE),""))</f>
        <v/>
      </c>
      <c r="D232" s="114" t="str">
        <f t="array" ref="D232">IF(B232="","",IFERROR(INDEX('Location Master'!$E$2:$E$502, IFERROR(MATCH(B232,'Location Master'!$G$2:$G$502,0), IFERROR(MATCH(B232&amp;" (*",'Location Master'!$G$2:$G$502,0), MATCH(B232&amp;"*",'Location Master'!$G$2:$G$502,0)))), ""))</f>
        <v/>
      </c>
      <c r="E232" s="116"/>
      <c r="F232" s="117"/>
      <c r="G232" s="114" t="str">
        <f>IF(B232="","",IFERROR(VLOOKUP(B232,'Material Master'!$A$2:$E$201,4,FALSE),""))</f>
        <v/>
      </c>
      <c r="H232" s="114"/>
      <c r="I232" s="114"/>
      <c r="J232" s="11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4.0" customHeight="1">
      <c r="A233" s="113"/>
      <c r="B233" s="114"/>
      <c r="C233" s="114" t="str">
        <f>IF(B233="","",IFERROR(VLOOKUP(B233,'Material Master'!$A$2:$E$201,2,FALSE),""))</f>
        <v/>
      </c>
      <c r="D233" s="114" t="str">
        <f t="array" ref="D233">IF(B233="","",IFERROR(INDEX('Location Master'!$E$2:$E$502, IFERROR(MATCH(B233,'Location Master'!$G$2:$G$502,0), IFERROR(MATCH(B233&amp;" (*",'Location Master'!$G$2:$G$502,0), MATCH(B233&amp;"*",'Location Master'!$G$2:$G$502,0)))), ""))</f>
        <v/>
      </c>
      <c r="E233" s="116"/>
      <c r="F233" s="117"/>
      <c r="G233" s="114" t="str">
        <f>IF(B233="","",IFERROR(VLOOKUP(B233,'Material Master'!$A$2:$E$201,4,FALSE),""))</f>
        <v/>
      </c>
      <c r="H233" s="114"/>
      <c r="I233" s="114"/>
      <c r="J233" s="11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4.0" customHeight="1">
      <c r="A234" s="113"/>
      <c r="B234" s="114"/>
      <c r="C234" s="114" t="str">
        <f>IF(B234="","",IFERROR(VLOOKUP(B234,'Material Master'!$A$2:$E$201,2,FALSE),""))</f>
        <v/>
      </c>
      <c r="D234" s="114" t="str">
        <f t="array" ref="D234">IF(B234="","",IFERROR(INDEX('Location Master'!$E$2:$E$502, IFERROR(MATCH(B234,'Location Master'!$G$2:$G$502,0), IFERROR(MATCH(B234&amp;" (*",'Location Master'!$G$2:$G$502,0), MATCH(B234&amp;"*",'Location Master'!$G$2:$G$502,0)))), ""))</f>
        <v/>
      </c>
      <c r="E234" s="116"/>
      <c r="F234" s="117"/>
      <c r="G234" s="114" t="str">
        <f>IF(B234="","",IFERROR(VLOOKUP(B234,'Material Master'!$A$2:$E$201,4,FALSE),""))</f>
        <v/>
      </c>
      <c r="H234" s="114"/>
      <c r="I234" s="114"/>
      <c r="J234" s="11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4.0" customHeight="1">
      <c r="A235" s="113"/>
      <c r="B235" s="114"/>
      <c r="C235" s="114" t="str">
        <f>IF(B235="","",IFERROR(VLOOKUP(B235,'Material Master'!$A$2:$E$201,2,FALSE),""))</f>
        <v/>
      </c>
      <c r="D235" s="114" t="str">
        <f t="array" ref="D235">IF(B235="","",IFERROR(INDEX('Location Master'!$E$2:$E$502, IFERROR(MATCH(B235,'Location Master'!$G$2:$G$502,0), IFERROR(MATCH(B235&amp;" (*",'Location Master'!$G$2:$G$502,0), MATCH(B235&amp;"*",'Location Master'!$G$2:$G$502,0)))), ""))</f>
        <v/>
      </c>
      <c r="E235" s="116"/>
      <c r="F235" s="117"/>
      <c r="G235" s="114" t="str">
        <f>IF(B235="","",IFERROR(VLOOKUP(B235,'Material Master'!$A$2:$E$201,4,FALSE),""))</f>
        <v/>
      </c>
      <c r="H235" s="114"/>
      <c r="I235" s="114"/>
      <c r="J235" s="11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4.0" customHeight="1">
      <c r="A236" s="113"/>
      <c r="B236" s="114"/>
      <c r="C236" s="114" t="str">
        <f>IF(B236="","",IFERROR(VLOOKUP(B236,'Material Master'!$A$2:$E$201,2,FALSE),""))</f>
        <v/>
      </c>
      <c r="D236" s="114" t="str">
        <f t="array" ref="D236">IF(B236="","",IFERROR(INDEX('Location Master'!$E$2:$E$502, IFERROR(MATCH(B236,'Location Master'!$G$2:$G$502,0), IFERROR(MATCH(B236&amp;" (*",'Location Master'!$G$2:$G$502,0), MATCH(B236&amp;"*",'Location Master'!$G$2:$G$502,0)))), ""))</f>
        <v/>
      </c>
      <c r="E236" s="116"/>
      <c r="F236" s="117"/>
      <c r="G236" s="114" t="str">
        <f>IF(B236="","",IFERROR(VLOOKUP(B236,'Material Master'!$A$2:$E$201,4,FALSE),""))</f>
        <v/>
      </c>
      <c r="H236" s="114"/>
      <c r="I236" s="114"/>
      <c r="J236" s="11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4.0" customHeight="1">
      <c r="A237" s="113"/>
      <c r="B237" s="114"/>
      <c r="C237" s="114" t="str">
        <f>IF(B237="","",IFERROR(VLOOKUP(B237,'Material Master'!$A$2:$E$201,2,FALSE),""))</f>
        <v/>
      </c>
      <c r="D237" s="114" t="str">
        <f t="array" ref="D237">IF(B237="","",IFERROR(INDEX('Location Master'!$E$2:$E$502, IFERROR(MATCH(B237,'Location Master'!$G$2:$G$502,0), IFERROR(MATCH(B237&amp;" (*",'Location Master'!$G$2:$G$502,0), MATCH(B237&amp;"*",'Location Master'!$G$2:$G$502,0)))), ""))</f>
        <v/>
      </c>
      <c r="E237" s="116"/>
      <c r="F237" s="117"/>
      <c r="G237" s="114" t="str">
        <f>IF(B237="","",IFERROR(VLOOKUP(B237,'Material Master'!$A$2:$E$201,4,FALSE),""))</f>
        <v/>
      </c>
      <c r="H237" s="114"/>
      <c r="I237" s="114"/>
      <c r="J237" s="11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4.0" customHeight="1">
      <c r="A238" s="113"/>
      <c r="B238" s="114"/>
      <c r="C238" s="114" t="str">
        <f>IF(B238="","",IFERROR(VLOOKUP(B238,'Material Master'!$A$2:$E$201,2,FALSE),""))</f>
        <v/>
      </c>
      <c r="D238" s="114" t="str">
        <f t="array" ref="D238">IF(B238="","",IFERROR(INDEX('Location Master'!$E$2:$E$502, IFERROR(MATCH(B238,'Location Master'!$G$2:$G$502,0), IFERROR(MATCH(B238&amp;" (*",'Location Master'!$G$2:$G$502,0), MATCH(B238&amp;"*",'Location Master'!$G$2:$G$502,0)))), ""))</f>
        <v/>
      </c>
      <c r="E238" s="116"/>
      <c r="F238" s="117"/>
      <c r="G238" s="114" t="str">
        <f>IF(B238="","",IFERROR(VLOOKUP(B238,'Material Master'!$A$2:$E$201,4,FALSE),""))</f>
        <v/>
      </c>
      <c r="H238" s="114"/>
      <c r="I238" s="114"/>
      <c r="J238" s="11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4.0" customHeight="1">
      <c r="A239" s="113"/>
      <c r="B239" s="114"/>
      <c r="C239" s="114" t="str">
        <f>IF(B239="","",IFERROR(VLOOKUP(B239,'Material Master'!$A$2:$E$201,2,FALSE),""))</f>
        <v/>
      </c>
      <c r="D239" s="114" t="str">
        <f t="array" ref="D239">IF(B239="","",IFERROR(INDEX('Location Master'!$E$2:$E$502, IFERROR(MATCH(B239,'Location Master'!$G$2:$G$502,0), IFERROR(MATCH(B239&amp;" (*",'Location Master'!$G$2:$G$502,0), MATCH(B239&amp;"*",'Location Master'!$G$2:$G$502,0)))), ""))</f>
        <v/>
      </c>
      <c r="E239" s="116"/>
      <c r="F239" s="117"/>
      <c r="G239" s="114" t="str">
        <f>IF(B239="","",IFERROR(VLOOKUP(B239,'Material Master'!$A$2:$E$201,4,FALSE),""))</f>
        <v/>
      </c>
      <c r="H239" s="114"/>
      <c r="I239" s="114"/>
      <c r="J239" s="11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4.0" customHeight="1">
      <c r="A240" s="113"/>
      <c r="B240" s="114"/>
      <c r="C240" s="114" t="str">
        <f>IF(B240="","",IFERROR(VLOOKUP(B240,'Material Master'!$A$2:$E$201,2,FALSE),""))</f>
        <v/>
      </c>
      <c r="D240" s="114" t="str">
        <f t="array" ref="D240">IF(B240="","",IFERROR(INDEX('Location Master'!$E$2:$E$502, IFERROR(MATCH(B240,'Location Master'!$G$2:$G$502,0), IFERROR(MATCH(B240&amp;" (*",'Location Master'!$G$2:$G$502,0), MATCH(B240&amp;"*",'Location Master'!$G$2:$G$502,0)))), ""))</f>
        <v/>
      </c>
      <c r="E240" s="116"/>
      <c r="F240" s="117"/>
      <c r="G240" s="114" t="str">
        <f>IF(B240="","",IFERROR(VLOOKUP(B240,'Material Master'!$A$2:$E$201,4,FALSE),""))</f>
        <v/>
      </c>
      <c r="H240" s="114"/>
      <c r="I240" s="114"/>
      <c r="J240" s="11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4.0" customHeight="1">
      <c r="A241" s="113"/>
      <c r="B241" s="114"/>
      <c r="C241" s="114" t="str">
        <f>IF(B241="","",IFERROR(VLOOKUP(B241,'Material Master'!$A$2:$E$201,2,FALSE),""))</f>
        <v/>
      </c>
      <c r="D241" s="114" t="str">
        <f t="array" ref="D241">IF(B241="","",IFERROR(INDEX('Location Master'!$E$2:$E$502, IFERROR(MATCH(B241,'Location Master'!$G$2:$G$502,0), IFERROR(MATCH(B241&amp;" (*",'Location Master'!$G$2:$G$502,0), MATCH(B241&amp;"*",'Location Master'!$G$2:$G$502,0)))), ""))</f>
        <v/>
      </c>
      <c r="E241" s="116"/>
      <c r="F241" s="117"/>
      <c r="G241" s="114" t="str">
        <f>IF(B241="","",IFERROR(VLOOKUP(B241,'Material Master'!$A$2:$E$201,4,FALSE),""))</f>
        <v/>
      </c>
      <c r="H241" s="114"/>
      <c r="I241" s="114"/>
      <c r="J241" s="11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4.0" customHeight="1">
      <c r="A242" s="113"/>
      <c r="B242" s="114"/>
      <c r="C242" s="114" t="str">
        <f>IF(B242="","",IFERROR(VLOOKUP(B242,'Material Master'!$A$2:$E$201,2,FALSE),""))</f>
        <v/>
      </c>
      <c r="D242" s="114" t="str">
        <f t="array" ref="D242">IF(B242="","",IFERROR(INDEX('Location Master'!$E$2:$E$502, IFERROR(MATCH(B242,'Location Master'!$G$2:$G$502,0), IFERROR(MATCH(B242&amp;" (*",'Location Master'!$G$2:$G$502,0), MATCH(B242&amp;"*",'Location Master'!$G$2:$G$502,0)))), ""))</f>
        <v/>
      </c>
      <c r="E242" s="116"/>
      <c r="F242" s="117"/>
      <c r="G242" s="114" t="str">
        <f>IF(B242="","",IFERROR(VLOOKUP(B242,'Material Master'!$A$2:$E$201,4,FALSE),""))</f>
        <v/>
      </c>
      <c r="H242" s="114"/>
      <c r="I242" s="114"/>
      <c r="J242" s="11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4.0" customHeight="1">
      <c r="A243" s="113"/>
      <c r="B243" s="114"/>
      <c r="C243" s="114" t="str">
        <f>IF(B243="","",IFERROR(VLOOKUP(B243,'Material Master'!$A$2:$E$201,2,FALSE),""))</f>
        <v/>
      </c>
      <c r="D243" s="114" t="str">
        <f t="array" ref="D243">IF(B243="","",IFERROR(INDEX('Location Master'!$E$2:$E$502, IFERROR(MATCH(B243,'Location Master'!$G$2:$G$502,0), IFERROR(MATCH(B243&amp;" (*",'Location Master'!$G$2:$G$502,0), MATCH(B243&amp;"*",'Location Master'!$G$2:$G$502,0)))), ""))</f>
        <v/>
      </c>
      <c r="E243" s="116"/>
      <c r="F243" s="117"/>
      <c r="G243" s="114" t="str">
        <f>IF(B243="","",IFERROR(VLOOKUP(B243,'Material Master'!$A$2:$E$201,4,FALSE),""))</f>
        <v/>
      </c>
      <c r="H243" s="114"/>
      <c r="I243" s="114"/>
      <c r="J243" s="11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4.0" customHeight="1">
      <c r="A244" s="113"/>
      <c r="B244" s="114"/>
      <c r="C244" s="114" t="str">
        <f>IF(B244="","",IFERROR(VLOOKUP(B244,'Material Master'!$A$2:$E$201,2,FALSE),""))</f>
        <v/>
      </c>
      <c r="D244" s="114" t="str">
        <f t="array" ref="D244">IF(B244="","",IFERROR(INDEX('Location Master'!$E$2:$E$502, IFERROR(MATCH(B244,'Location Master'!$G$2:$G$502,0), IFERROR(MATCH(B244&amp;" (*",'Location Master'!$G$2:$G$502,0), MATCH(B244&amp;"*",'Location Master'!$G$2:$G$502,0)))), ""))</f>
        <v/>
      </c>
      <c r="E244" s="116"/>
      <c r="F244" s="117"/>
      <c r="G244" s="114" t="str">
        <f>IF(B244="","",IFERROR(VLOOKUP(B244,'Material Master'!$A$2:$E$201,4,FALSE),""))</f>
        <v/>
      </c>
      <c r="H244" s="114"/>
      <c r="I244" s="114"/>
      <c r="J244" s="11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4.0" customHeight="1">
      <c r="A245" s="113"/>
      <c r="B245" s="114"/>
      <c r="C245" s="114" t="str">
        <f>IF(B245="","",IFERROR(VLOOKUP(B245,'Material Master'!$A$2:$E$201,2,FALSE),""))</f>
        <v/>
      </c>
      <c r="D245" s="114" t="str">
        <f t="array" ref="D245">IF(B245="","",IFERROR(INDEX('Location Master'!$E$2:$E$502, IFERROR(MATCH(B245,'Location Master'!$G$2:$G$502,0), IFERROR(MATCH(B245&amp;" (*",'Location Master'!$G$2:$G$502,0), MATCH(B245&amp;"*",'Location Master'!$G$2:$G$502,0)))), ""))</f>
        <v/>
      </c>
      <c r="E245" s="116"/>
      <c r="F245" s="117"/>
      <c r="G245" s="114" t="str">
        <f>IF(B245="","",IFERROR(VLOOKUP(B245,'Material Master'!$A$2:$E$201,4,FALSE),""))</f>
        <v/>
      </c>
      <c r="H245" s="114"/>
      <c r="I245" s="114"/>
      <c r="J245" s="11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4.0" customHeight="1">
      <c r="A246" s="113"/>
      <c r="B246" s="114"/>
      <c r="C246" s="114" t="str">
        <f>IF(B246="","",IFERROR(VLOOKUP(B246,'Material Master'!$A$2:$E$201,2,FALSE),""))</f>
        <v/>
      </c>
      <c r="D246" s="114" t="str">
        <f t="array" ref="D246">IF(B246="","",IFERROR(INDEX('Location Master'!$E$2:$E$502, IFERROR(MATCH(B246,'Location Master'!$G$2:$G$502,0), IFERROR(MATCH(B246&amp;" (*",'Location Master'!$G$2:$G$502,0), MATCH(B246&amp;"*",'Location Master'!$G$2:$G$502,0)))), ""))</f>
        <v/>
      </c>
      <c r="E246" s="116"/>
      <c r="F246" s="117"/>
      <c r="G246" s="114" t="str">
        <f>IF(B246="","",IFERROR(VLOOKUP(B246,'Material Master'!$A$2:$E$201,4,FALSE),""))</f>
        <v/>
      </c>
      <c r="H246" s="114"/>
      <c r="I246" s="114"/>
      <c r="J246" s="11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4.0" customHeight="1">
      <c r="A247" s="113"/>
      <c r="B247" s="114"/>
      <c r="C247" s="114" t="str">
        <f>IF(B247="","",IFERROR(VLOOKUP(B247,'Material Master'!$A$2:$E$201,2,FALSE),""))</f>
        <v/>
      </c>
      <c r="D247" s="114" t="str">
        <f t="array" ref="D247">IF(B247="","",IFERROR(INDEX('Location Master'!$E$2:$E$502, IFERROR(MATCH(B247,'Location Master'!$G$2:$G$502,0), IFERROR(MATCH(B247&amp;" (*",'Location Master'!$G$2:$G$502,0), MATCH(B247&amp;"*",'Location Master'!$G$2:$G$502,0)))), ""))</f>
        <v/>
      </c>
      <c r="E247" s="116"/>
      <c r="F247" s="117"/>
      <c r="G247" s="114" t="str">
        <f>IF(B247="","",IFERROR(VLOOKUP(B247,'Material Master'!$A$2:$E$201,4,FALSE),""))</f>
        <v/>
      </c>
      <c r="H247" s="114"/>
      <c r="I247" s="114"/>
      <c r="J247" s="11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4.0" customHeight="1">
      <c r="A248" s="113"/>
      <c r="B248" s="114"/>
      <c r="C248" s="114" t="str">
        <f>IF(B248="","",IFERROR(VLOOKUP(B248,'Material Master'!$A$2:$E$201,2,FALSE),""))</f>
        <v/>
      </c>
      <c r="D248" s="114" t="str">
        <f t="array" ref="D248">IF(B248="","",IFERROR(INDEX('Location Master'!$E$2:$E$502, IFERROR(MATCH(B248,'Location Master'!$G$2:$G$502,0), IFERROR(MATCH(B248&amp;" (*",'Location Master'!$G$2:$G$502,0), MATCH(B248&amp;"*",'Location Master'!$G$2:$G$502,0)))), ""))</f>
        <v/>
      </c>
      <c r="E248" s="116"/>
      <c r="F248" s="117"/>
      <c r="G248" s="114" t="str">
        <f>IF(B248="","",IFERROR(VLOOKUP(B248,'Material Master'!$A$2:$E$201,4,FALSE),""))</f>
        <v/>
      </c>
      <c r="H248" s="114"/>
      <c r="I248" s="114"/>
      <c r="J248" s="11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4.0" customHeight="1">
      <c r="A249" s="113"/>
      <c r="B249" s="114"/>
      <c r="C249" s="114" t="str">
        <f>IF(B249="","",IFERROR(VLOOKUP(B249,'Material Master'!$A$2:$E$201,2,FALSE),""))</f>
        <v/>
      </c>
      <c r="D249" s="114" t="str">
        <f t="array" ref="D249">IF(B249="","",IFERROR(INDEX('Location Master'!$E$2:$E$502, IFERROR(MATCH(B249,'Location Master'!$G$2:$G$502,0), IFERROR(MATCH(B249&amp;" (*",'Location Master'!$G$2:$G$502,0), MATCH(B249&amp;"*",'Location Master'!$G$2:$G$502,0)))), ""))</f>
        <v/>
      </c>
      <c r="E249" s="116"/>
      <c r="F249" s="117"/>
      <c r="G249" s="114" t="str">
        <f>IF(B249="","",IFERROR(VLOOKUP(B249,'Material Master'!$A$2:$E$201,4,FALSE),""))</f>
        <v/>
      </c>
      <c r="H249" s="114"/>
      <c r="I249" s="114"/>
      <c r="J249" s="11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4.0" customHeight="1">
      <c r="A250" s="113"/>
      <c r="B250" s="114"/>
      <c r="C250" s="114" t="str">
        <f>IF(B250="","",IFERROR(VLOOKUP(B250,'Material Master'!$A$2:$E$201,2,FALSE),""))</f>
        <v/>
      </c>
      <c r="D250" s="114" t="str">
        <f t="array" ref="D250">IF(B250="","",IFERROR(INDEX('Location Master'!$E$2:$E$502, IFERROR(MATCH(B250,'Location Master'!$G$2:$G$502,0), IFERROR(MATCH(B250&amp;" (*",'Location Master'!$G$2:$G$502,0), MATCH(B250&amp;"*",'Location Master'!$G$2:$G$502,0)))), ""))</f>
        <v/>
      </c>
      <c r="E250" s="116"/>
      <c r="F250" s="117"/>
      <c r="G250" s="114" t="str">
        <f>IF(B250="","",IFERROR(VLOOKUP(B250,'Material Master'!$A$2:$E$201,4,FALSE),""))</f>
        <v/>
      </c>
      <c r="H250" s="114"/>
      <c r="I250" s="114"/>
      <c r="J250" s="11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4.0" customHeight="1">
      <c r="A251" s="113"/>
      <c r="B251" s="114"/>
      <c r="C251" s="114" t="str">
        <f>IF(B251="","",IFERROR(VLOOKUP(B251,'Material Master'!$A$2:$E$201,2,FALSE),""))</f>
        <v/>
      </c>
      <c r="D251" s="114" t="str">
        <f t="array" ref="D251">IF(B251="","",IFERROR(INDEX('Location Master'!$E$2:$E$502, IFERROR(MATCH(B251,'Location Master'!$G$2:$G$502,0), IFERROR(MATCH(B251&amp;" (*",'Location Master'!$G$2:$G$502,0), MATCH(B251&amp;"*",'Location Master'!$G$2:$G$502,0)))), ""))</f>
        <v/>
      </c>
      <c r="E251" s="116"/>
      <c r="F251" s="117"/>
      <c r="G251" s="114" t="str">
        <f>IF(B251="","",IFERROR(VLOOKUP(B251,'Material Master'!$A$2:$E$201,4,FALSE),""))</f>
        <v/>
      </c>
      <c r="H251" s="114"/>
      <c r="I251" s="114"/>
      <c r="J251" s="11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4.0" customHeight="1">
      <c r="A252" s="113"/>
      <c r="B252" s="114"/>
      <c r="C252" s="114" t="str">
        <f>IF(B252="","",IFERROR(VLOOKUP(B252,'Material Master'!$A$2:$E$201,2,FALSE),""))</f>
        <v/>
      </c>
      <c r="D252" s="114" t="str">
        <f t="array" ref="D252">IF(B252="","",IFERROR(INDEX('Location Master'!$E$2:$E$502, IFERROR(MATCH(B252,'Location Master'!$G$2:$G$502,0), IFERROR(MATCH(B252&amp;" (*",'Location Master'!$G$2:$G$502,0), MATCH(B252&amp;"*",'Location Master'!$G$2:$G$502,0)))), ""))</f>
        <v/>
      </c>
      <c r="E252" s="116"/>
      <c r="F252" s="117"/>
      <c r="G252" s="114" t="str">
        <f>IF(B252="","",IFERROR(VLOOKUP(B252,'Material Master'!$A$2:$E$201,4,FALSE),""))</f>
        <v/>
      </c>
      <c r="H252" s="114"/>
      <c r="I252" s="114"/>
      <c r="J252" s="11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4.0" customHeight="1">
      <c r="A253" s="113"/>
      <c r="B253" s="114"/>
      <c r="C253" s="114" t="str">
        <f>IF(B253="","",IFERROR(VLOOKUP(B253,'Material Master'!$A$2:$E$201,2,FALSE),""))</f>
        <v/>
      </c>
      <c r="D253" s="114" t="str">
        <f t="array" ref="D253">IF(B253="","",IFERROR(INDEX('Location Master'!$E$2:$E$502, IFERROR(MATCH(B253,'Location Master'!$G$2:$G$502,0), IFERROR(MATCH(B253&amp;" (*",'Location Master'!$G$2:$G$502,0), MATCH(B253&amp;"*",'Location Master'!$G$2:$G$502,0)))), ""))</f>
        <v/>
      </c>
      <c r="E253" s="116"/>
      <c r="F253" s="117"/>
      <c r="G253" s="114" t="str">
        <f>IF(B253="","",IFERROR(VLOOKUP(B253,'Material Master'!$A$2:$E$201,4,FALSE),""))</f>
        <v/>
      </c>
      <c r="H253" s="114"/>
      <c r="I253" s="114"/>
      <c r="J253" s="11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4.0" customHeight="1">
      <c r="A254" s="113"/>
      <c r="B254" s="114"/>
      <c r="C254" s="114" t="str">
        <f>IF(B254="","",IFERROR(VLOOKUP(B254,'Material Master'!$A$2:$E$201,2,FALSE),""))</f>
        <v/>
      </c>
      <c r="D254" s="114" t="str">
        <f t="array" ref="D254">IF(B254="","",IFERROR(INDEX('Location Master'!$E$2:$E$502, IFERROR(MATCH(B254,'Location Master'!$G$2:$G$502,0), IFERROR(MATCH(B254&amp;" (*",'Location Master'!$G$2:$G$502,0), MATCH(B254&amp;"*",'Location Master'!$G$2:$G$502,0)))), ""))</f>
        <v/>
      </c>
      <c r="E254" s="116"/>
      <c r="F254" s="117"/>
      <c r="G254" s="114" t="str">
        <f>IF(B254="","",IFERROR(VLOOKUP(B254,'Material Master'!$A$2:$E$201,4,FALSE),""))</f>
        <v/>
      </c>
      <c r="H254" s="114"/>
      <c r="I254" s="114"/>
      <c r="J254" s="11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4.0" customHeight="1">
      <c r="A255" s="113"/>
      <c r="B255" s="114"/>
      <c r="C255" s="114" t="str">
        <f>IF(B255="","",IFERROR(VLOOKUP(B255,'Material Master'!$A$2:$E$201,2,FALSE),""))</f>
        <v/>
      </c>
      <c r="D255" s="114" t="str">
        <f t="array" ref="D255">IF(B255="","",IFERROR(INDEX('Location Master'!$E$2:$E$502, IFERROR(MATCH(B255,'Location Master'!$G$2:$G$502,0), IFERROR(MATCH(B255&amp;" (*",'Location Master'!$G$2:$G$502,0), MATCH(B255&amp;"*",'Location Master'!$G$2:$G$502,0)))), ""))</f>
        <v/>
      </c>
      <c r="E255" s="116"/>
      <c r="F255" s="117"/>
      <c r="G255" s="114" t="str">
        <f>IF(B255="","",IFERROR(VLOOKUP(B255,'Material Master'!$A$2:$E$201,4,FALSE),""))</f>
        <v/>
      </c>
      <c r="H255" s="114"/>
      <c r="I255" s="114"/>
      <c r="J255" s="11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4.0" customHeight="1">
      <c r="A256" s="113"/>
      <c r="B256" s="114"/>
      <c r="C256" s="114" t="str">
        <f>IF(B256="","",IFERROR(VLOOKUP(B256,'Material Master'!$A$2:$E$201,2,FALSE),""))</f>
        <v/>
      </c>
      <c r="D256" s="114" t="str">
        <f t="array" ref="D256">IF(B256="","",IFERROR(INDEX('Location Master'!$E$2:$E$502, IFERROR(MATCH(B256,'Location Master'!$G$2:$G$502,0), IFERROR(MATCH(B256&amp;" (*",'Location Master'!$G$2:$G$502,0), MATCH(B256&amp;"*",'Location Master'!$G$2:$G$502,0)))), ""))</f>
        <v/>
      </c>
      <c r="E256" s="116"/>
      <c r="F256" s="117"/>
      <c r="G256" s="114" t="str">
        <f>IF(B256="","",IFERROR(VLOOKUP(B256,'Material Master'!$A$2:$E$201,4,FALSE),""))</f>
        <v/>
      </c>
      <c r="H256" s="114"/>
      <c r="I256" s="114"/>
      <c r="J256" s="11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4.0" customHeight="1">
      <c r="A257" s="113"/>
      <c r="B257" s="114"/>
      <c r="C257" s="114" t="str">
        <f>IF(B257="","",IFERROR(VLOOKUP(B257,'Material Master'!$A$2:$E$201,2,FALSE),""))</f>
        <v/>
      </c>
      <c r="D257" s="114" t="str">
        <f t="array" ref="D257">IF(B257="","",IFERROR(INDEX('Location Master'!$E$2:$E$502, IFERROR(MATCH(B257,'Location Master'!$G$2:$G$502,0), IFERROR(MATCH(B257&amp;" (*",'Location Master'!$G$2:$G$502,0), MATCH(B257&amp;"*",'Location Master'!$G$2:$G$502,0)))), ""))</f>
        <v/>
      </c>
      <c r="E257" s="116"/>
      <c r="F257" s="117"/>
      <c r="G257" s="114" t="str">
        <f>IF(B257="","",IFERROR(VLOOKUP(B257,'Material Master'!$A$2:$E$201,4,FALSE),""))</f>
        <v/>
      </c>
      <c r="H257" s="114"/>
      <c r="I257" s="114"/>
      <c r="J257" s="11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4.0" customHeight="1">
      <c r="A258" s="113"/>
      <c r="B258" s="114"/>
      <c r="C258" s="114" t="str">
        <f>IF(B258="","",IFERROR(VLOOKUP(B258,'Material Master'!$A$2:$E$201,2,FALSE),""))</f>
        <v/>
      </c>
      <c r="D258" s="114" t="str">
        <f t="array" ref="D258">IF(B258="","",IFERROR(INDEX('Location Master'!$E$2:$E$502, IFERROR(MATCH(B258,'Location Master'!$G$2:$G$502,0), IFERROR(MATCH(B258&amp;" (*",'Location Master'!$G$2:$G$502,0), MATCH(B258&amp;"*",'Location Master'!$G$2:$G$502,0)))), ""))</f>
        <v/>
      </c>
      <c r="E258" s="116"/>
      <c r="F258" s="117"/>
      <c r="G258" s="114" t="str">
        <f>IF(B258="","",IFERROR(VLOOKUP(B258,'Material Master'!$A$2:$E$201,4,FALSE),""))</f>
        <v/>
      </c>
      <c r="H258" s="114"/>
      <c r="I258" s="114"/>
      <c r="J258" s="11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4.0" customHeight="1">
      <c r="A259" s="113"/>
      <c r="B259" s="114"/>
      <c r="C259" s="114" t="str">
        <f>IF(B259="","",IFERROR(VLOOKUP(B259,'Material Master'!$A$2:$E$201,2,FALSE),""))</f>
        <v/>
      </c>
      <c r="D259" s="114" t="str">
        <f t="array" ref="D259">IF(B259="","",IFERROR(INDEX('Location Master'!$E$2:$E$502, IFERROR(MATCH(B259,'Location Master'!$G$2:$G$502,0), IFERROR(MATCH(B259&amp;" (*",'Location Master'!$G$2:$G$502,0), MATCH(B259&amp;"*",'Location Master'!$G$2:$G$502,0)))), ""))</f>
        <v/>
      </c>
      <c r="E259" s="116"/>
      <c r="F259" s="117"/>
      <c r="G259" s="114" t="str">
        <f>IF(B259="","",IFERROR(VLOOKUP(B259,'Material Master'!$A$2:$E$201,4,FALSE),""))</f>
        <v/>
      </c>
      <c r="H259" s="114"/>
      <c r="I259" s="114"/>
      <c r="J259" s="11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4.0" customHeight="1">
      <c r="A260" s="113"/>
      <c r="B260" s="114"/>
      <c r="C260" s="114" t="str">
        <f>IF(B260="","",IFERROR(VLOOKUP(B260,'Material Master'!$A$2:$E$201,2,FALSE),""))</f>
        <v/>
      </c>
      <c r="D260" s="114" t="str">
        <f t="array" ref="D260">IF(B260="","",IFERROR(INDEX('Location Master'!$E$2:$E$502, IFERROR(MATCH(B260,'Location Master'!$G$2:$G$502,0), IFERROR(MATCH(B260&amp;" (*",'Location Master'!$G$2:$G$502,0), MATCH(B260&amp;"*",'Location Master'!$G$2:$G$502,0)))), ""))</f>
        <v/>
      </c>
      <c r="E260" s="116"/>
      <c r="F260" s="117"/>
      <c r="G260" s="114" t="str">
        <f>IF(B260="","",IFERROR(VLOOKUP(B260,'Material Master'!$A$2:$E$201,4,FALSE),""))</f>
        <v/>
      </c>
      <c r="H260" s="114"/>
      <c r="I260" s="114"/>
      <c r="J260" s="11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4.0" customHeight="1">
      <c r="A261" s="113"/>
      <c r="B261" s="114"/>
      <c r="C261" s="114" t="str">
        <f>IF(B261="","",IFERROR(VLOOKUP(B261,'Material Master'!$A$2:$E$201,2,FALSE),""))</f>
        <v/>
      </c>
      <c r="D261" s="114" t="str">
        <f t="array" ref="D261">IF(B261="","",IFERROR(INDEX('Location Master'!$E$2:$E$502, IFERROR(MATCH(B261,'Location Master'!$G$2:$G$502,0), IFERROR(MATCH(B261&amp;" (*",'Location Master'!$G$2:$G$502,0), MATCH(B261&amp;"*",'Location Master'!$G$2:$G$502,0)))), ""))</f>
        <v/>
      </c>
      <c r="E261" s="116"/>
      <c r="F261" s="117"/>
      <c r="G261" s="114" t="str">
        <f>IF(B261="","",IFERROR(VLOOKUP(B261,'Material Master'!$A$2:$E$201,4,FALSE),""))</f>
        <v/>
      </c>
      <c r="H261" s="114"/>
      <c r="I261" s="114"/>
      <c r="J261" s="11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4.0" customHeight="1">
      <c r="A262" s="113"/>
      <c r="B262" s="114"/>
      <c r="C262" s="114" t="str">
        <f>IF(B262="","",IFERROR(VLOOKUP(B262,'Material Master'!$A$2:$E$201,2,FALSE),""))</f>
        <v/>
      </c>
      <c r="D262" s="114" t="str">
        <f t="array" ref="D262">IF(B262="","",IFERROR(INDEX('Location Master'!$E$2:$E$502, IFERROR(MATCH(B262,'Location Master'!$G$2:$G$502,0), IFERROR(MATCH(B262&amp;" (*",'Location Master'!$G$2:$G$502,0), MATCH(B262&amp;"*",'Location Master'!$G$2:$G$502,0)))), ""))</f>
        <v/>
      </c>
      <c r="E262" s="116"/>
      <c r="F262" s="117"/>
      <c r="G262" s="114" t="str">
        <f>IF(B262="","",IFERROR(VLOOKUP(B262,'Material Master'!$A$2:$E$201,4,FALSE),""))</f>
        <v/>
      </c>
      <c r="H262" s="114"/>
      <c r="I262" s="114"/>
      <c r="J262" s="11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4.0" customHeight="1">
      <c r="A263" s="113"/>
      <c r="B263" s="114"/>
      <c r="C263" s="114" t="str">
        <f>IF(B263="","",IFERROR(VLOOKUP(B263,'Material Master'!$A$2:$E$201,2,FALSE),""))</f>
        <v/>
      </c>
      <c r="D263" s="114" t="str">
        <f t="array" ref="D263">IF(B263="","",IFERROR(INDEX('Location Master'!$E$2:$E$502, IFERROR(MATCH(B263,'Location Master'!$G$2:$G$502,0), IFERROR(MATCH(B263&amp;" (*",'Location Master'!$G$2:$G$502,0), MATCH(B263&amp;"*",'Location Master'!$G$2:$G$502,0)))), ""))</f>
        <v/>
      </c>
      <c r="E263" s="116"/>
      <c r="F263" s="117"/>
      <c r="G263" s="114" t="str">
        <f>IF(B263="","",IFERROR(VLOOKUP(B263,'Material Master'!$A$2:$E$201,4,FALSE),""))</f>
        <v/>
      </c>
      <c r="H263" s="114"/>
      <c r="I263" s="114"/>
      <c r="J263" s="11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4.0" customHeight="1">
      <c r="A264" s="113"/>
      <c r="B264" s="114"/>
      <c r="C264" s="114" t="str">
        <f>IF(B264="","",IFERROR(VLOOKUP(B264,'Material Master'!$A$2:$E$201,2,FALSE),""))</f>
        <v/>
      </c>
      <c r="D264" s="114" t="str">
        <f t="array" ref="D264">IF(B264="","",IFERROR(INDEX('Location Master'!$E$2:$E$502, IFERROR(MATCH(B264,'Location Master'!$G$2:$G$502,0), IFERROR(MATCH(B264&amp;" (*",'Location Master'!$G$2:$G$502,0), MATCH(B264&amp;"*",'Location Master'!$G$2:$G$502,0)))), ""))</f>
        <v/>
      </c>
      <c r="E264" s="116"/>
      <c r="F264" s="117"/>
      <c r="G264" s="114" t="str">
        <f>IF(B264="","",IFERROR(VLOOKUP(B264,'Material Master'!$A$2:$E$201,4,FALSE),""))</f>
        <v/>
      </c>
      <c r="H264" s="114"/>
      <c r="I264" s="114"/>
      <c r="J264" s="11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4.0" customHeight="1">
      <c r="A265" s="113"/>
      <c r="B265" s="114"/>
      <c r="C265" s="114" t="str">
        <f>IF(B265="","",IFERROR(VLOOKUP(B265,'Material Master'!$A$2:$E$201,2,FALSE),""))</f>
        <v/>
      </c>
      <c r="D265" s="114" t="str">
        <f t="array" ref="D265">IF(B265="","",IFERROR(INDEX('Location Master'!$E$2:$E$502, IFERROR(MATCH(B265,'Location Master'!$G$2:$G$502,0), IFERROR(MATCH(B265&amp;" (*",'Location Master'!$G$2:$G$502,0), MATCH(B265&amp;"*",'Location Master'!$G$2:$G$502,0)))), ""))</f>
        <v/>
      </c>
      <c r="E265" s="116"/>
      <c r="F265" s="117"/>
      <c r="G265" s="114" t="str">
        <f>IF(B265="","",IFERROR(VLOOKUP(B265,'Material Master'!$A$2:$E$201,4,FALSE),""))</f>
        <v/>
      </c>
      <c r="H265" s="114"/>
      <c r="I265" s="114"/>
      <c r="J265" s="11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4.0" customHeight="1">
      <c r="A266" s="113"/>
      <c r="B266" s="114"/>
      <c r="C266" s="114" t="str">
        <f>IF(B266="","",IFERROR(VLOOKUP(B266,'Material Master'!$A$2:$E$201,2,FALSE),""))</f>
        <v/>
      </c>
      <c r="D266" s="114" t="str">
        <f t="array" ref="D266">IF(B266="","",IFERROR(INDEX('Location Master'!$E$2:$E$502, IFERROR(MATCH(B266,'Location Master'!$G$2:$G$502,0), IFERROR(MATCH(B266&amp;" (*",'Location Master'!$G$2:$G$502,0), MATCH(B266&amp;"*",'Location Master'!$G$2:$G$502,0)))), ""))</f>
        <v/>
      </c>
      <c r="E266" s="116"/>
      <c r="F266" s="117"/>
      <c r="G266" s="114" t="str">
        <f>IF(B266="","",IFERROR(VLOOKUP(B266,'Material Master'!$A$2:$E$201,4,FALSE),""))</f>
        <v/>
      </c>
      <c r="H266" s="114"/>
      <c r="I266" s="114"/>
      <c r="J266" s="11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4.0" customHeight="1">
      <c r="A267" s="113"/>
      <c r="B267" s="114"/>
      <c r="C267" s="114" t="str">
        <f>IF(B267="","",IFERROR(VLOOKUP(B267,'Material Master'!$A$2:$E$201,2,FALSE),""))</f>
        <v/>
      </c>
      <c r="D267" s="114" t="str">
        <f t="array" ref="D267">IF(B267="","",IFERROR(INDEX('Location Master'!$E$2:$E$502, IFERROR(MATCH(B267,'Location Master'!$G$2:$G$502,0), IFERROR(MATCH(B267&amp;" (*",'Location Master'!$G$2:$G$502,0), MATCH(B267&amp;"*",'Location Master'!$G$2:$G$502,0)))), ""))</f>
        <v/>
      </c>
      <c r="E267" s="116"/>
      <c r="F267" s="117"/>
      <c r="G267" s="114" t="str">
        <f>IF(B267="","",IFERROR(VLOOKUP(B267,'Material Master'!$A$2:$E$201,4,FALSE),""))</f>
        <v/>
      </c>
      <c r="H267" s="114"/>
      <c r="I267" s="114"/>
      <c r="J267" s="11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4.0" customHeight="1">
      <c r="A268" s="113"/>
      <c r="B268" s="114"/>
      <c r="C268" s="114" t="str">
        <f>IF(B268="","",IFERROR(VLOOKUP(B268,'Material Master'!$A$2:$E$201,2,FALSE),""))</f>
        <v/>
      </c>
      <c r="D268" s="114" t="str">
        <f t="array" ref="D268">IF(B268="","",IFERROR(INDEX('Location Master'!$E$2:$E$502, IFERROR(MATCH(B268,'Location Master'!$G$2:$G$502,0), IFERROR(MATCH(B268&amp;" (*",'Location Master'!$G$2:$G$502,0), MATCH(B268&amp;"*",'Location Master'!$G$2:$G$502,0)))), ""))</f>
        <v/>
      </c>
      <c r="E268" s="116"/>
      <c r="F268" s="117"/>
      <c r="G268" s="114" t="str">
        <f>IF(B268="","",IFERROR(VLOOKUP(B268,'Material Master'!$A$2:$E$201,4,FALSE),""))</f>
        <v/>
      </c>
      <c r="H268" s="114"/>
      <c r="I268" s="114"/>
      <c r="J268" s="11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4.0" customHeight="1">
      <c r="A269" s="113"/>
      <c r="B269" s="114"/>
      <c r="C269" s="114" t="str">
        <f>IF(B269="","",IFERROR(VLOOKUP(B269,'Material Master'!$A$2:$E$201,2,FALSE),""))</f>
        <v/>
      </c>
      <c r="D269" s="114" t="str">
        <f t="array" ref="D269">IF(B269="","",IFERROR(INDEX('Location Master'!$E$2:$E$502, IFERROR(MATCH(B269,'Location Master'!$G$2:$G$502,0), IFERROR(MATCH(B269&amp;" (*",'Location Master'!$G$2:$G$502,0), MATCH(B269&amp;"*",'Location Master'!$G$2:$G$502,0)))), ""))</f>
        <v/>
      </c>
      <c r="E269" s="116"/>
      <c r="F269" s="117"/>
      <c r="G269" s="114" t="str">
        <f>IF(B269="","",IFERROR(VLOOKUP(B269,'Material Master'!$A$2:$E$201,4,FALSE),""))</f>
        <v/>
      </c>
      <c r="H269" s="114"/>
      <c r="I269" s="114"/>
      <c r="J269" s="11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4.0" customHeight="1">
      <c r="A270" s="113"/>
      <c r="B270" s="114"/>
      <c r="C270" s="114" t="str">
        <f>IF(B270="","",IFERROR(VLOOKUP(B270,'Material Master'!$A$2:$E$201,2,FALSE),""))</f>
        <v/>
      </c>
      <c r="D270" s="114" t="str">
        <f t="array" ref="D270">IF(B270="","",IFERROR(INDEX('Location Master'!$E$2:$E$502, IFERROR(MATCH(B270,'Location Master'!$G$2:$G$502,0), IFERROR(MATCH(B270&amp;" (*",'Location Master'!$G$2:$G$502,0), MATCH(B270&amp;"*",'Location Master'!$G$2:$G$502,0)))), ""))</f>
        <v/>
      </c>
      <c r="E270" s="116"/>
      <c r="F270" s="117"/>
      <c r="G270" s="114" t="str">
        <f>IF(B270="","",IFERROR(VLOOKUP(B270,'Material Master'!$A$2:$E$201,4,FALSE),""))</f>
        <v/>
      </c>
      <c r="H270" s="114"/>
      <c r="I270" s="114"/>
      <c r="J270" s="11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4.0" customHeight="1">
      <c r="A271" s="113"/>
      <c r="B271" s="114"/>
      <c r="C271" s="114" t="str">
        <f>IF(B271="","",IFERROR(VLOOKUP(B271,'Material Master'!$A$2:$E$201,2,FALSE),""))</f>
        <v/>
      </c>
      <c r="D271" s="114" t="str">
        <f t="array" ref="D271">IF(B271="","",IFERROR(INDEX('Location Master'!$E$2:$E$502, IFERROR(MATCH(B271,'Location Master'!$G$2:$G$502,0), IFERROR(MATCH(B271&amp;" (*",'Location Master'!$G$2:$G$502,0), MATCH(B271&amp;"*",'Location Master'!$G$2:$G$502,0)))), ""))</f>
        <v/>
      </c>
      <c r="E271" s="116"/>
      <c r="F271" s="117"/>
      <c r="G271" s="114" t="str">
        <f>IF(B271="","",IFERROR(VLOOKUP(B271,'Material Master'!$A$2:$E$201,4,FALSE),""))</f>
        <v/>
      </c>
      <c r="H271" s="114"/>
      <c r="I271" s="114"/>
      <c r="J271" s="11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4.0" customHeight="1">
      <c r="A272" s="113"/>
      <c r="B272" s="114"/>
      <c r="C272" s="114" t="str">
        <f>IF(B272="","",IFERROR(VLOOKUP(B272,'Material Master'!$A$2:$E$201,2,FALSE),""))</f>
        <v/>
      </c>
      <c r="D272" s="114" t="str">
        <f t="array" ref="D272">IF(B272="","",IFERROR(INDEX('Location Master'!$E$2:$E$502, IFERROR(MATCH(B272,'Location Master'!$G$2:$G$502,0), IFERROR(MATCH(B272&amp;" (*",'Location Master'!$G$2:$G$502,0), MATCH(B272&amp;"*",'Location Master'!$G$2:$G$502,0)))), ""))</f>
        <v/>
      </c>
      <c r="E272" s="116"/>
      <c r="F272" s="117"/>
      <c r="G272" s="114" t="str">
        <f>IF(B272="","",IFERROR(VLOOKUP(B272,'Material Master'!$A$2:$E$201,4,FALSE),""))</f>
        <v/>
      </c>
      <c r="H272" s="114"/>
      <c r="I272" s="114"/>
      <c r="J272" s="11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4.0" customHeight="1">
      <c r="A273" s="113"/>
      <c r="B273" s="114"/>
      <c r="C273" s="114" t="str">
        <f>IF(B273="","",IFERROR(VLOOKUP(B273,'Material Master'!$A$2:$E$201,2,FALSE),""))</f>
        <v/>
      </c>
      <c r="D273" s="114" t="str">
        <f t="array" ref="D273">IF(B273="","",IFERROR(INDEX('Location Master'!$E$2:$E$502, IFERROR(MATCH(B273,'Location Master'!$G$2:$G$502,0), IFERROR(MATCH(B273&amp;" (*",'Location Master'!$G$2:$G$502,0), MATCH(B273&amp;"*",'Location Master'!$G$2:$G$502,0)))), ""))</f>
        <v/>
      </c>
      <c r="E273" s="116"/>
      <c r="F273" s="117"/>
      <c r="G273" s="114" t="str">
        <f>IF(B273="","",IFERROR(VLOOKUP(B273,'Material Master'!$A$2:$E$201,4,FALSE),""))</f>
        <v/>
      </c>
      <c r="H273" s="114"/>
      <c r="I273" s="114"/>
      <c r="J273" s="11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4.0" customHeight="1">
      <c r="A274" s="113"/>
      <c r="B274" s="114"/>
      <c r="C274" s="114" t="str">
        <f>IF(B274="","",IFERROR(VLOOKUP(B274,'Material Master'!$A$2:$E$201,2,FALSE),""))</f>
        <v/>
      </c>
      <c r="D274" s="114" t="str">
        <f t="array" ref="D274">IF(B274="","",IFERROR(INDEX('Location Master'!$E$2:$E$502, IFERROR(MATCH(B274,'Location Master'!$G$2:$G$502,0), IFERROR(MATCH(B274&amp;" (*",'Location Master'!$G$2:$G$502,0), MATCH(B274&amp;"*",'Location Master'!$G$2:$G$502,0)))), ""))</f>
        <v/>
      </c>
      <c r="E274" s="116"/>
      <c r="F274" s="117"/>
      <c r="G274" s="114" t="str">
        <f>IF(B274="","",IFERROR(VLOOKUP(B274,'Material Master'!$A$2:$E$201,4,FALSE),""))</f>
        <v/>
      </c>
      <c r="H274" s="114"/>
      <c r="I274" s="114"/>
      <c r="J274" s="11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4.0" customHeight="1">
      <c r="A275" s="113"/>
      <c r="B275" s="114"/>
      <c r="C275" s="114" t="str">
        <f>IF(B275="","",IFERROR(VLOOKUP(B275,'Material Master'!$A$2:$E$201,2,FALSE),""))</f>
        <v/>
      </c>
      <c r="D275" s="114" t="str">
        <f t="array" ref="D275">IF(B275="","",IFERROR(INDEX('Location Master'!$E$2:$E$502, IFERROR(MATCH(B275,'Location Master'!$G$2:$G$502,0), IFERROR(MATCH(B275&amp;" (*",'Location Master'!$G$2:$G$502,0), MATCH(B275&amp;"*",'Location Master'!$G$2:$G$502,0)))), ""))</f>
        <v/>
      </c>
      <c r="E275" s="116"/>
      <c r="F275" s="117"/>
      <c r="G275" s="114" t="str">
        <f>IF(B275="","",IFERROR(VLOOKUP(B275,'Material Master'!$A$2:$E$201,4,FALSE),""))</f>
        <v/>
      </c>
      <c r="H275" s="114"/>
      <c r="I275" s="114"/>
      <c r="J275" s="11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4.0" customHeight="1">
      <c r="A276" s="113"/>
      <c r="B276" s="114"/>
      <c r="C276" s="114" t="str">
        <f>IF(B276="","",IFERROR(VLOOKUP(B276,'Material Master'!$A$2:$E$201,2,FALSE),""))</f>
        <v/>
      </c>
      <c r="D276" s="114" t="str">
        <f t="array" ref="D276">IF(B276="","",IFERROR(INDEX('Location Master'!$E$2:$E$502, IFERROR(MATCH(B276,'Location Master'!$G$2:$G$502,0), IFERROR(MATCH(B276&amp;" (*",'Location Master'!$G$2:$G$502,0), MATCH(B276&amp;"*",'Location Master'!$G$2:$G$502,0)))), ""))</f>
        <v/>
      </c>
      <c r="E276" s="116"/>
      <c r="F276" s="117"/>
      <c r="G276" s="114" t="str">
        <f>IF(B276="","",IFERROR(VLOOKUP(B276,'Material Master'!$A$2:$E$201,4,FALSE),""))</f>
        <v/>
      </c>
      <c r="H276" s="114"/>
      <c r="I276" s="114"/>
      <c r="J276" s="11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4.0" customHeight="1">
      <c r="A277" s="113"/>
      <c r="B277" s="114"/>
      <c r="C277" s="114" t="str">
        <f>IF(B277="","",IFERROR(VLOOKUP(B277,'Material Master'!$A$2:$E$201,2,FALSE),""))</f>
        <v/>
      </c>
      <c r="D277" s="114" t="str">
        <f t="array" ref="D277">IF(B277="","",IFERROR(INDEX('Location Master'!$E$2:$E$502, IFERROR(MATCH(B277,'Location Master'!$G$2:$G$502,0), IFERROR(MATCH(B277&amp;" (*",'Location Master'!$G$2:$G$502,0), MATCH(B277&amp;"*",'Location Master'!$G$2:$G$502,0)))), ""))</f>
        <v/>
      </c>
      <c r="E277" s="116"/>
      <c r="F277" s="117"/>
      <c r="G277" s="114" t="str">
        <f>IF(B277="","",IFERROR(VLOOKUP(B277,'Material Master'!$A$2:$E$201,4,FALSE),""))</f>
        <v/>
      </c>
      <c r="H277" s="114"/>
      <c r="I277" s="114"/>
      <c r="J277" s="11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4.0" customHeight="1">
      <c r="A278" s="113"/>
      <c r="B278" s="114"/>
      <c r="C278" s="114" t="str">
        <f>IF(B278="","",IFERROR(VLOOKUP(B278,'Material Master'!$A$2:$E$201,2,FALSE),""))</f>
        <v/>
      </c>
      <c r="D278" s="114" t="str">
        <f t="array" ref="D278">IF(B278="","",IFERROR(INDEX('Location Master'!$E$2:$E$502, IFERROR(MATCH(B278,'Location Master'!$G$2:$G$502,0), IFERROR(MATCH(B278&amp;" (*",'Location Master'!$G$2:$G$502,0), MATCH(B278&amp;"*",'Location Master'!$G$2:$G$502,0)))), ""))</f>
        <v/>
      </c>
      <c r="E278" s="116"/>
      <c r="F278" s="117"/>
      <c r="G278" s="114" t="str">
        <f>IF(B278="","",IFERROR(VLOOKUP(B278,'Material Master'!$A$2:$E$201,4,FALSE),""))</f>
        <v/>
      </c>
      <c r="H278" s="114"/>
      <c r="I278" s="114"/>
      <c r="J278" s="11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4.0" customHeight="1">
      <c r="A279" s="113"/>
      <c r="B279" s="114"/>
      <c r="C279" s="114" t="str">
        <f>IF(B279="","",IFERROR(VLOOKUP(B279,'Material Master'!$A$2:$E$201,2,FALSE),""))</f>
        <v/>
      </c>
      <c r="D279" s="114" t="str">
        <f t="array" ref="D279">IF(B279="","",IFERROR(INDEX('Location Master'!$E$2:$E$502, IFERROR(MATCH(B279,'Location Master'!$G$2:$G$502,0), IFERROR(MATCH(B279&amp;" (*",'Location Master'!$G$2:$G$502,0), MATCH(B279&amp;"*",'Location Master'!$G$2:$G$502,0)))), ""))</f>
        <v/>
      </c>
      <c r="E279" s="116"/>
      <c r="F279" s="117"/>
      <c r="G279" s="114" t="str">
        <f>IF(B279="","",IFERROR(VLOOKUP(B279,'Material Master'!$A$2:$E$201,4,FALSE),""))</f>
        <v/>
      </c>
      <c r="H279" s="114"/>
      <c r="I279" s="114"/>
      <c r="J279" s="11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4.0" customHeight="1">
      <c r="A280" s="113"/>
      <c r="B280" s="114"/>
      <c r="C280" s="114" t="str">
        <f>IF(B280="","",IFERROR(VLOOKUP(B280,'Material Master'!$A$2:$E$201,2,FALSE),""))</f>
        <v/>
      </c>
      <c r="D280" s="114" t="str">
        <f t="array" ref="D280">IF(B280="","",IFERROR(INDEX('Location Master'!$E$2:$E$502, IFERROR(MATCH(B280,'Location Master'!$G$2:$G$502,0), IFERROR(MATCH(B280&amp;" (*",'Location Master'!$G$2:$G$502,0), MATCH(B280&amp;"*",'Location Master'!$G$2:$G$502,0)))), ""))</f>
        <v/>
      </c>
      <c r="E280" s="116"/>
      <c r="F280" s="117"/>
      <c r="G280" s="114" t="str">
        <f>IF(B280="","",IFERROR(VLOOKUP(B280,'Material Master'!$A$2:$E$201,4,FALSE),""))</f>
        <v/>
      </c>
      <c r="H280" s="114"/>
      <c r="I280" s="114"/>
      <c r="J280" s="11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4.0" customHeight="1">
      <c r="A281" s="113"/>
      <c r="B281" s="114"/>
      <c r="C281" s="114" t="str">
        <f>IF(B281="","",IFERROR(VLOOKUP(B281,'Material Master'!$A$2:$E$201,2,FALSE),""))</f>
        <v/>
      </c>
      <c r="D281" s="114" t="str">
        <f t="array" ref="D281">IF(B281="","",IFERROR(INDEX('Location Master'!$E$2:$E$502, IFERROR(MATCH(B281,'Location Master'!$G$2:$G$502,0), IFERROR(MATCH(B281&amp;" (*",'Location Master'!$G$2:$G$502,0), MATCH(B281&amp;"*",'Location Master'!$G$2:$G$502,0)))), ""))</f>
        <v/>
      </c>
      <c r="E281" s="116"/>
      <c r="F281" s="117"/>
      <c r="G281" s="114" t="str">
        <f>IF(B281="","",IFERROR(VLOOKUP(B281,'Material Master'!$A$2:$E$201,4,FALSE),""))</f>
        <v/>
      </c>
      <c r="H281" s="114"/>
      <c r="I281" s="114"/>
      <c r="J281" s="11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4.0" customHeight="1">
      <c r="A282" s="113"/>
      <c r="B282" s="114"/>
      <c r="C282" s="114" t="str">
        <f>IF(B282="","",IFERROR(VLOOKUP(B282,'Material Master'!$A$2:$E$201,2,FALSE),""))</f>
        <v/>
      </c>
      <c r="D282" s="114" t="str">
        <f t="array" ref="D282">IF(B282="","",IFERROR(INDEX('Location Master'!$E$2:$E$502, IFERROR(MATCH(B282,'Location Master'!$G$2:$G$502,0), IFERROR(MATCH(B282&amp;" (*",'Location Master'!$G$2:$G$502,0), MATCH(B282&amp;"*",'Location Master'!$G$2:$G$502,0)))), ""))</f>
        <v/>
      </c>
      <c r="E282" s="116"/>
      <c r="F282" s="117"/>
      <c r="G282" s="114" t="str">
        <f>IF(B282="","",IFERROR(VLOOKUP(B282,'Material Master'!$A$2:$E$201,4,FALSE),""))</f>
        <v/>
      </c>
      <c r="H282" s="114"/>
      <c r="I282" s="114"/>
      <c r="J282" s="11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4.0" customHeight="1">
      <c r="A283" s="113"/>
      <c r="B283" s="114"/>
      <c r="C283" s="114" t="str">
        <f>IF(B283="","",IFERROR(VLOOKUP(B283,'Material Master'!$A$2:$E$201,2,FALSE),""))</f>
        <v/>
      </c>
      <c r="D283" s="114" t="str">
        <f t="array" ref="D283">IF(B283="","",IFERROR(INDEX('Location Master'!$E$2:$E$502, IFERROR(MATCH(B283,'Location Master'!$G$2:$G$502,0), IFERROR(MATCH(B283&amp;" (*",'Location Master'!$G$2:$G$502,0), MATCH(B283&amp;"*",'Location Master'!$G$2:$G$502,0)))), ""))</f>
        <v/>
      </c>
      <c r="E283" s="116"/>
      <c r="F283" s="117"/>
      <c r="G283" s="114" t="str">
        <f>IF(B283="","",IFERROR(VLOOKUP(B283,'Material Master'!$A$2:$E$201,4,FALSE),""))</f>
        <v/>
      </c>
      <c r="H283" s="114"/>
      <c r="I283" s="114"/>
      <c r="J283" s="11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4.0" customHeight="1">
      <c r="A284" s="113"/>
      <c r="B284" s="114"/>
      <c r="C284" s="114" t="str">
        <f>IF(B284="","",IFERROR(VLOOKUP(B284,'Material Master'!$A$2:$E$201,2,FALSE),""))</f>
        <v/>
      </c>
      <c r="D284" s="114" t="str">
        <f t="array" ref="D284">IF(B284="","",IFERROR(INDEX('Location Master'!$E$2:$E$502, IFERROR(MATCH(B284,'Location Master'!$G$2:$G$502,0), IFERROR(MATCH(B284&amp;" (*",'Location Master'!$G$2:$G$502,0), MATCH(B284&amp;"*",'Location Master'!$G$2:$G$502,0)))), ""))</f>
        <v/>
      </c>
      <c r="E284" s="116"/>
      <c r="F284" s="117"/>
      <c r="G284" s="114" t="str">
        <f>IF(B284="","",IFERROR(VLOOKUP(B284,'Material Master'!$A$2:$E$201,4,FALSE),""))</f>
        <v/>
      </c>
      <c r="H284" s="114"/>
      <c r="I284" s="114"/>
      <c r="J284" s="11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4.0" customHeight="1">
      <c r="A285" s="113"/>
      <c r="B285" s="114"/>
      <c r="C285" s="114" t="str">
        <f>IF(B285="","",IFERROR(VLOOKUP(B285,'Material Master'!$A$2:$E$201,2,FALSE),""))</f>
        <v/>
      </c>
      <c r="D285" s="114" t="str">
        <f t="array" ref="D285">IF(B285="","",IFERROR(INDEX('Location Master'!$E$2:$E$502, IFERROR(MATCH(B285,'Location Master'!$G$2:$G$502,0), IFERROR(MATCH(B285&amp;" (*",'Location Master'!$G$2:$G$502,0), MATCH(B285&amp;"*",'Location Master'!$G$2:$G$502,0)))), ""))</f>
        <v/>
      </c>
      <c r="E285" s="116"/>
      <c r="F285" s="117"/>
      <c r="G285" s="114" t="str">
        <f>IF(B285="","",IFERROR(VLOOKUP(B285,'Material Master'!$A$2:$E$201,4,FALSE),""))</f>
        <v/>
      </c>
      <c r="H285" s="114"/>
      <c r="I285" s="114"/>
      <c r="J285" s="11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4.0" customHeight="1">
      <c r="A286" s="113"/>
      <c r="B286" s="114"/>
      <c r="C286" s="114" t="str">
        <f>IF(B286="","",IFERROR(VLOOKUP(B286,'Material Master'!$A$2:$E$201,2,FALSE),""))</f>
        <v/>
      </c>
      <c r="D286" s="114" t="str">
        <f t="array" ref="D286">IF(B286="","",IFERROR(INDEX('Location Master'!$E$2:$E$502, IFERROR(MATCH(B286,'Location Master'!$G$2:$G$502,0), IFERROR(MATCH(B286&amp;" (*",'Location Master'!$G$2:$G$502,0), MATCH(B286&amp;"*",'Location Master'!$G$2:$G$502,0)))), ""))</f>
        <v/>
      </c>
      <c r="E286" s="116"/>
      <c r="F286" s="117"/>
      <c r="G286" s="114" t="str">
        <f>IF(B286="","",IFERROR(VLOOKUP(B286,'Material Master'!$A$2:$E$201,4,FALSE),""))</f>
        <v/>
      </c>
      <c r="H286" s="114"/>
      <c r="I286" s="114"/>
      <c r="J286" s="11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4.0" customHeight="1">
      <c r="A287" s="113"/>
      <c r="B287" s="114"/>
      <c r="C287" s="114" t="str">
        <f>IF(B287="","",IFERROR(VLOOKUP(B287,'Material Master'!$A$2:$E$201,2,FALSE),""))</f>
        <v/>
      </c>
      <c r="D287" s="114" t="str">
        <f t="array" ref="D287">IF(B287="","",IFERROR(INDEX('Location Master'!$E$2:$E$502, IFERROR(MATCH(B287,'Location Master'!$G$2:$G$502,0), IFERROR(MATCH(B287&amp;" (*",'Location Master'!$G$2:$G$502,0), MATCH(B287&amp;"*",'Location Master'!$G$2:$G$502,0)))), ""))</f>
        <v/>
      </c>
      <c r="E287" s="116"/>
      <c r="F287" s="117"/>
      <c r="G287" s="114" t="str">
        <f>IF(B287="","",IFERROR(VLOOKUP(B287,'Material Master'!$A$2:$E$201,4,FALSE),""))</f>
        <v/>
      </c>
      <c r="H287" s="114"/>
      <c r="I287" s="114"/>
      <c r="J287" s="11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4.0" customHeight="1">
      <c r="A288" s="113"/>
      <c r="B288" s="114"/>
      <c r="C288" s="114" t="str">
        <f>IF(B288="","",IFERROR(VLOOKUP(B288,'Material Master'!$A$2:$E$201,2,FALSE),""))</f>
        <v/>
      </c>
      <c r="D288" s="114" t="str">
        <f t="array" ref="D288">IF(B288="","",IFERROR(INDEX('Location Master'!$E$2:$E$502, IFERROR(MATCH(B288,'Location Master'!$G$2:$G$502,0), IFERROR(MATCH(B288&amp;" (*",'Location Master'!$G$2:$G$502,0), MATCH(B288&amp;"*",'Location Master'!$G$2:$G$502,0)))), ""))</f>
        <v/>
      </c>
      <c r="E288" s="116"/>
      <c r="F288" s="117"/>
      <c r="G288" s="114" t="str">
        <f>IF(B288="","",IFERROR(VLOOKUP(B288,'Material Master'!$A$2:$E$201,4,FALSE),""))</f>
        <v/>
      </c>
      <c r="H288" s="114"/>
      <c r="I288" s="114"/>
      <c r="J288" s="11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4.0" customHeight="1">
      <c r="A289" s="113"/>
      <c r="B289" s="114"/>
      <c r="C289" s="114" t="str">
        <f>IF(B289="","",IFERROR(VLOOKUP(B289,'Material Master'!$A$2:$E$201,2,FALSE),""))</f>
        <v/>
      </c>
      <c r="D289" s="114" t="str">
        <f t="array" ref="D289">IF(B289="","",IFERROR(INDEX('Location Master'!$E$2:$E$502, IFERROR(MATCH(B289,'Location Master'!$G$2:$G$502,0), IFERROR(MATCH(B289&amp;" (*",'Location Master'!$G$2:$G$502,0), MATCH(B289&amp;"*",'Location Master'!$G$2:$G$502,0)))), ""))</f>
        <v/>
      </c>
      <c r="E289" s="116"/>
      <c r="F289" s="117"/>
      <c r="G289" s="114" t="str">
        <f>IF(B289="","",IFERROR(VLOOKUP(B289,'Material Master'!$A$2:$E$201,4,FALSE),""))</f>
        <v/>
      </c>
      <c r="H289" s="114"/>
      <c r="I289" s="114"/>
      <c r="J289" s="11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4.0" customHeight="1">
      <c r="A290" s="113"/>
      <c r="B290" s="114"/>
      <c r="C290" s="114" t="str">
        <f>IF(B290="","",IFERROR(VLOOKUP(B290,'Material Master'!$A$2:$E$201,2,FALSE),""))</f>
        <v/>
      </c>
      <c r="D290" s="114" t="str">
        <f t="array" ref="D290">IF(B290="","",IFERROR(INDEX('Location Master'!$E$2:$E$502, IFERROR(MATCH(B290,'Location Master'!$G$2:$G$502,0), IFERROR(MATCH(B290&amp;" (*",'Location Master'!$G$2:$G$502,0), MATCH(B290&amp;"*",'Location Master'!$G$2:$G$502,0)))), ""))</f>
        <v/>
      </c>
      <c r="E290" s="116"/>
      <c r="F290" s="117"/>
      <c r="G290" s="114" t="str">
        <f>IF(B290="","",IFERROR(VLOOKUP(B290,'Material Master'!$A$2:$E$201,4,FALSE),""))</f>
        <v/>
      </c>
      <c r="H290" s="114"/>
      <c r="I290" s="114"/>
      <c r="J290" s="11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4.0" customHeight="1">
      <c r="A291" s="113"/>
      <c r="B291" s="114"/>
      <c r="C291" s="114" t="str">
        <f>IF(B291="","",IFERROR(VLOOKUP(B291,'Material Master'!$A$2:$E$201,2,FALSE),""))</f>
        <v/>
      </c>
      <c r="D291" s="114" t="str">
        <f t="array" ref="D291">IF(B291="","",IFERROR(INDEX('Location Master'!$E$2:$E$502, IFERROR(MATCH(B291,'Location Master'!$G$2:$G$502,0), IFERROR(MATCH(B291&amp;" (*",'Location Master'!$G$2:$G$502,0), MATCH(B291&amp;"*",'Location Master'!$G$2:$G$502,0)))), ""))</f>
        <v/>
      </c>
      <c r="E291" s="116"/>
      <c r="F291" s="117"/>
      <c r="G291" s="114" t="str">
        <f>IF(B291="","",IFERROR(VLOOKUP(B291,'Material Master'!$A$2:$E$201,4,FALSE),""))</f>
        <v/>
      </c>
      <c r="H291" s="114"/>
      <c r="I291" s="114"/>
      <c r="J291" s="11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4.0" customHeight="1">
      <c r="A292" s="113"/>
      <c r="B292" s="114"/>
      <c r="C292" s="114" t="str">
        <f>IF(B292="","",IFERROR(VLOOKUP(B292,'Material Master'!$A$2:$E$201,2,FALSE),""))</f>
        <v/>
      </c>
      <c r="D292" s="114" t="str">
        <f t="array" ref="D292">IF(B292="","",IFERROR(INDEX('Location Master'!$E$2:$E$502, IFERROR(MATCH(B292,'Location Master'!$G$2:$G$502,0), IFERROR(MATCH(B292&amp;" (*",'Location Master'!$G$2:$G$502,0), MATCH(B292&amp;"*",'Location Master'!$G$2:$G$502,0)))), ""))</f>
        <v/>
      </c>
      <c r="E292" s="116"/>
      <c r="F292" s="117"/>
      <c r="G292" s="114" t="str">
        <f>IF(B292="","",IFERROR(VLOOKUP(B292,'Material Master'!$A$2:$E$201,4,FALSE),""))</f>
        <v/>
      </c>
      <c r="H292" s="114"/>
      <c r="I292" s="114"/>
      <c r="J292" s="11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4.0" customHeight="1">
      <c r="A293" s="113"/>
      <c r="B293" s="114"/>
      <c r="C293" s="114" t="str">
        <f>IF(B293="","",IFERROR(VLOOKUP(B293,'Material Master'!$A$2:$E$201,2,FALSE),""))</f>
        <v/>
      </c>
      <c r="D293" s="114" t="str">
        <f t="array" ref="D293">IF(B293="","",IFERROR(INDEX('Location Master'!$E$2:$E$502, IFERROR(MATCH(B293,'Location Master'!$G$2:$G$502,0), IFERROR(MATCH(B293&amp;" (*",'Location Master'!$G$2:$G$502,0), MATCH(B293&amp;"*",'Location Master'!$G$2:$G$502,0)))), ""))</f>
        <v/>
      </c>
      <c r="E293" s="116"/>
      <c r="F293" s="117"/>
      <c r="G293" s="114" t="str">
        <f>IF(B293="","",IFERROR(VLOOKUP(B293,'Material Master'!$A$2:$E$201,4,FALSE),""))</f>
        <v/>
      </c>
      <c r="H293" s="114"/>
      <c r="I293" s="114"/>
      <c r="J293" s="11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4.0" customHeight="1">
      <c r="A294" s="113"/>
      <c r="B294" s="114"/>
      <c r="C294" s="114" t="str">
        <f>IF(B294="","",IFERROR(VLOOKUP(B294,'Material Master'!$A$2:$E$201,2,FALSE),""))</f>
        <v/>
      </c>
      <c r="D294" s="114" t="str">
        <f t="array" ref="D294">IF(B294="","",IFERROR(INDEX('Location Master'!$E$2:$E$502, IFERROR(MATCH(B294,'Location Master'!$G$2:$G$502,0), IFERROR(MATCH(B294&amp;" (*",'Location Master'!$G$2:$G$502,0), MATCH(B294&amp;"*",'Location Master'!$G$2:$G$502,0)))), ""))</f>
        <v/>
      </c>
      <c r="E294" s="116"/>
      <c r="F294" s="117"/>
      <c r="G294" s="114" t="str">
        <f>IF(B294="","",IFERROR(VLOOKUP(B294,'Material Master'!$A$2:$E$201,4,FALSE),""))</f>
        <v/>
      </c>
      <c r="H294" s="114"/>
      <c r="I294" s="114"/>
      <c r="J294" s="11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4.0" customHeight="1">
      <c r="A295" s="113"/>
      <c r="B295" s="114"/>
      <c r="C295" s="114" t="str">
        <f>IF(B295="","",IFERROR(VLOOKUP(B295,'Material Master'!$A$2:$E$201,2,FALSE),""))</f>
        <v/>
      </c>
      <c r="D295" s="114" t="str">
        <f t="array" ref="D295">IF(B295="","",IFERROR(INDEX('Location Master'!$E$2:$E$502, IFERROR(MATCH(B295,'Location Master'!$G$2:$G$502,0), IFERROR(MATCH(B295&amp;" (*",'Location Master'!$G$2:$G$502,0), MATCH(B295&amp;"*",'Location Master'!$G$2:$G$502,0)))), ""))</f>
        <v/>
      </c>
      <c r="E295" s="116"/>
      <c r="F295" s="117"/>
      <c r="G295" s="114" t="str">
        <f>IF(B295="","",IFERROR(VLOOKUP(B295,'Material Master'!$A$2:$E$201,4,FALSE),""))</f>
        <v/>
      </c>
      <c r="H295" s="114"/>
      <c r="I295" s="114"/>
      <c r="J295" s="11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4.0" customHeight="1">
      <c r="A296" s="113"/>
      <c r="B296" s="114"/>
      <c r="C296" s="114" t="str">
        <f>IF(B296="","",IFERROR(VLOOKUP(B296,'Material Master'!$A$2:$E$201,2,FALSE),""))</f>
        <v/>
      </c>
      <c r="D296" s="114" t="str">
        <f t="array" ref="D296">IF(B296="","",IFERROR(INDEX('Location Master'!$E$2:$E$502, IFERROR(MATCH(B296,'Location Master'!$G$2:$G$502,0), IFERROR(MATCH(B296&amp;" (*",'Location Master'!$G$2:$G$502,0), MATCH(B296&amp;"*",'Location Master'!$G$2:$G$502,0)))), ""))</f>
        <v/>
      </c>
      <c r="E296" s="116"/>
      <c r="F296" s="117"/>
      <c r="G296" s="114" t="str">
        <f>IF(B296="","",IFERROR(VLOOKUP(B296,'Material Master'!$A$2:$E$201,4,FALSE),""))</f>
        <v/>
      </c>
      <c r="H296" s="114"/>
      <c r="I296" s="114"/>
      <c r="J296" s="11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4.0" customHeight="1">
      <c r="A297" s="113"/>
      <c r="B297" s="114"/>
      <c r="C297" s="114" t="str">
        <f>IF(B297="","",IFERROR(VLOOKUP(B297,'Material Master'!$A$2:$E$201,2,FALSE),""))</f>
        <v/>
      </c>
      <c r="D297" s="114" t="str">
        <f t="array" ref="D297">IF(B297="","",IFERROR(INDEX('Location Master'!$E$2:$E$502, IFERROR(MATCH(B297,'Location Master'!$G$2:$G$502,0), IFERROR(MATCH(B297&amp;" (*",'Location Master'!$G$2:$G$502,0), MATCH(B297&amp;"*",'Location Master'!$G$2:$G$502,0)))), ""))</f>
        <v/>
      </c>
      <c r="E297" s="116"/>
      <c r="F297" s="117"/>
      <c r="G297" s="114" t="str">
        <f>IF(B297="","",IFERROR(VLOOKUP(B297,'Material Master'!$A$2:$E$201,4,FALSE),""))</f>
        <v/>
      </c>
      <c r="H297" s="114"/>
      <c r="I297" s="114"/>
      <c r="J297" s="11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4.0" customHeight="1">
      <c r="A298" s="113"/>
      <c r="B298" s="114"/>
      <c r="C298" s="114" t="str">
        <f>IF(B298="","",IFERROR(VLOOKUP(B298,'Material Master'!$A$2:$E$201,2,FALSE),""))</f>
        <v/>
      </c>
      <c r="D298" s="114" t="str">
        <f t="array" ref="D298">IF(B298="","",IFERROR(INDEX('Location Master'!$E$2:$E$502, IFERROR(MATCH(B298,'Location Master'!$G$2:$G$502,0), IFERROR(MATCH(B298&amp;" (*",'Location Master'!$G$2:$G$502,0), MATCH(B298&amp;"*",'Location Master'!$G$2:$G$502,0)))), ""))</f>
        <v/>
      </c>
      <c r="E298" s="116"/>
      <c r="F298" s="117"/>
      <c r="G298" s="114" t="str">
        <f>IF(B298="","",IFERROR(VLOOKUP(B298,'Material Master'!$A$2:$E$201,4,FALSE),""))</f>
        <v/>
      </c>
      <c r="H298" s="114"/>
      <c r="I298" s="114"/>
      <c r="J298" s="11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4.0" customHeight="1">
      <c r="A299" s="113"/>
      <c r="B299" s="114"/>
      <c r="C299" s="114" t="str">
        <f>IF(B299="","",IFERROR(VLOOKUP(B299,'Material Master'!$A$2:$E$201,2,FALSE),""))</f>
        <v/>
      </c>
      <c r="D299" s="114" t="str">
        <f t="array" ref="D299">IF(B299="","",IFERROR(INDEX('Location Master'!$E$2:$E$502, IFERROR(MATCH(B299,'Location Master'!$G$2:$G$502,0), IFERROR(MATCH(B299&amp;" (*",'Location Master'!$G$2:$G$502,0), MATCH(B299&amp;"*",'Location Master'!$G$2:$G$502,0)))), ""))</f>
        <v/>
      </c>
      <c r="E299" s="116"/>
      <c r="F299" s="117"/>
      <c r="G299" s="114" t="str">
        <f>IF(B299="","",IFERROR(VLOOKUP(B299,'Material Master'!$A$2:$E$201,4,FALSE),""))</f>
        <v/>
      </c>
      <c r="H299" s="114"/>
      <c r="I299" s="114"/>
      <c r="J299" s="11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4.0" customHeight="1">
      <c r="A300" s="113"/>
      <c r="B300" s="114"/>
      <c r="C300" s="114" t="str">
        <f>IF(B300="","",IFERROR(VLOOKUP(B300,'Material Master'!$A$2:$E$201,2,FALSE),""))</f>
        <v/>
      </c>
      <c r="D300" s="114" t="str">
        <f t="array" ref="D300">IF(B300="","",IFERROR(INDEX('Location Master'!$E$2:$E$502, IFERROR(MATCH(B300,'Location Master'!$G$2:$G$502,0), IFERROR(MATCH(B300&amp;" (*",'Location Master'!$G$2:$G$502,0), MATCH(B300&amp;"*",'Location Master'!$G$2:$G$502,0)))), ""))</f>
        <v/>
      </c>
      <c r="E300" s="116"/>
      <c r="F300" s="117"/>
      <c r="G300" s="114" t="str">
        <f>IF(B300="","",IFERROR(VLOOKUP(B300,'Material Master'!$A$2:$E$201,4,FALSE),""))</f>
        <v/>
      </c>
      <c r="H300" s="114"/>
      <c r="I300" s="114"/>
      <c r="J300" s="11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4.0" customHeight="1">
      <c r="A301" s="113"/>
      <c r="B301" s="114"/>
      <c r="C301" s="114" t="str">
        <f>IF(B301="","",IFERROR(VLOOKUP(B301,'Material Master'!$A$2:$E$201,2,FALSE),""))</f>
        <v/>
      </c>
      <c r="D301" s="114" t="str">
        <f t="array" ref="D301">IF(B301="","",IFERROR(INDEX('Location Master'!$E$2:$E$502, IFERROR(MATCH(B301,'Location Master'!$G$2:$G$502,0), IFERROR(MATCH(B301&amp;" (*",'Location Master'!$G$2:$G$502,0), MATCH(B301&amp;"*",'Location Master'!$G$2:$G$502,0)))), ""))</f>
        <v/>
      </c>
      <c r="E301" s="116"/>
      <c r="F301" s="117"/>
      <c r="G301" s="114" t="str">
        <f>IF(B301="","",IFERROR(VLOOKUP(B301,'Material Master'!$A$2:$E$201,4,FALSE),""))</f>
        <v/>
      </c>
      <c r="H301" s="114"/>
      <c r="I301" s="114"/>
      <c r="J301" s="11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4.0" customHeight="1">
      <c r="A302" s="113"/>
      <c r="B302" s="114"/>
      <c r="C302" s="114" t="str">
        <f>IF(B302="","",IFERROR(VLOOKUP(B302,'Material Master'!$A$2:$E$201,2,FALSE),""))</f>
        <v/>
      </c>
      <c r="D302" s="114" t="str">
        <f t="array" ref="D302">IF(B302="","",IFERROR(INDEX('Location Master'!$E$2:$E$502, IFERROR(MATCH(B302,'Location Master'!$G$2:$G$502,0), IFERROR(MATCH(B302&amp;" (*",'Location Master'!$G$2:$G$502,0), MATCH(B302&amp;"*",'Location Master'!$G$2:$G$502,0)))), ""))</f>
        <v/>
      </c>
      <c r="E302" s="116"/>
      <c r="F302" s="117"/>
      <c r="G302" s="114" t="str">
        <f>IF(B302="","",IFERROR(VLOOKUP(B302,'Material Master'!$A$2:$E$201,4,FALSE),""))</f>
        <v/>
      </c>
      <c r="H302" s="114"/>
      <c r="I302" s="114"/>
      <c r="J302" s="11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4.0" customHeight="1">
      <c r="A303" s="113"/>
      <c r="B303" s="114"/>
      <c r="C303" s="114" t="str">
        <f>IF(B303="","",IFERROR(VLOOKUP(B303,'Material Master'!$A$2:$E$201,2,FALSE),""))</f>
        <v/>
      </c>
      <c r="D303" s="114" t="str">
        <f t="array" ref="D303">IF(B303="","",IFERROR(INDEX('Location Master'!$E$2:$E$502, IFERROR(MATCH(B303,'Location Master'!$G$2:$G$502,0), IFERROR(MATCH(B303&amp;" (*",'Location Master'!$G$2:$G$502,0), MATCH(B303&amp;"*",'Location Master'!$G$2:$G$502,0)))), ""))</f>
        <v/>
      </c>
      <c r="E303" s="116"/>
      <c r="F303" s="117"/>
      <c r="G303" s="114" t="str">
        <f>IF(B303="","",IFERROR(VLOOKUP(B303,'Material Master'!$A$2:$E$201,4,FALSE),""))</f>
        <v/>
      </c>
      <c r="H303" s="114"/>
      <c r="I303" s="114"/>
      <c r="J303" s="11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4.0" customHeight="1">
      <c r="A304" s="113"/>
      <c r="B304" s="114"/>
      <c r="C304" s="114" t="str">
        <f>IF(B304="","",IFERROR(VLOOKUP(B304,'Material Master'!$A$2:$E$201,2,FALSE),""))</f>
        <v/>
      </c>
      <c r="D304" s="114" t="str">
        <f t="array" ref="D304">IF(B304="","",IFERROR(INDEX('Location Master'!$E$2:$E$502, IFERROR(MATCH(B304,'Location Master'!$G$2:$G$502,0), IFERROR(MATCH(B304&amp;" (*",'Location Master'!$G$2:$G$502,0), MATCH(B304&amp;"*",'Location Master'!$G$2:$G$502,0)))), ""))</f>
        <v/>
      </c>
      <c r="E304" s="116"/>
      <c r="F304" s="117"/>
      <c r="G304" s="114" t="str">
        <f>IF(B304="","",IFERROR(VLOOKUP(B304,'Material Master'!$A$2:$E$201,4,FALSE),""))</f>
        <v/>
      </c>
      <c r="H304" s="114"/>
      <c r="I304" s="114"/>
      <c r="J304" s="11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4.0" customHeight="1">
      <c r="A305" s="113"/>
      <c r="B305" s="114"/>
      <c r="C305" s="114" t="str">
        <f>IF(B305="","",IFERROR(VLOOKUP(B305,'Material Master'!$A$2:$E$201,2,FALSE),""))</f>
        <v/>
      </c>
      <c r="D305" s="114" t="str">
        <f t="array" ref="D305">IF(B305="","",IFERROR(INDEX('Location Master'!$E$2:$E$502, IFERROR(MATCH(B305,'Location Master'!$G$2:$G$502,0), IFERROR(MATCH(B305&amp;" (*",'Location Master'!$G$2:$G$502,0), MATCH(B305&amp;"*",'Location Master'!$G$2:$G$502,0)))), ""))</f>
        <v/>
      </c>
      <c r="E305" s="116"/>
      <c r="F305" s="117"/>
      <c r="G305" s="114" t="str">
        <f>IF(B305="","",IFERROR(VLOOKUP(B305,'Material Master'!$A$2:$E$201,4,FALSE),""))</f>
        <v/>
      </c>
      <c r="H305" s="114"/>
      <c r="I305" s="114"/>
      <c r="J305" s="11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4.0" customHeight="1">
      <c r="A306" s="113"/>
      <c r="B306" s="114"/>
      <c r="C306" s="114" t="str">
        <f>IF(B306="","",IFERROR(VLOOKUP(B306,'Material Master'!$A$2:$E$201,2,FALSE),""))</f>
        <v/>
      </c>
      <c r="D306" s="114" t="str">
        <f t="array" ref="D306">IF(B306="","",IFERROR(INDEX('Location Master'!$E$2:$E$502, IFERROR(MATCH(B306,'Location Master'!$G$2:$G$502,0), IFERROR(MATCH(B306&amp;" (*",'Location Master'!$G$2:$G$502,0), MATCH(B306&amp;"*",'Location Master'!$G$2:$G$502,0)))), ""))</f>
        <v/>
      </c>
      <c r="E306" s="116"/>
      <c r="F306" s="117"/>
      <c r="G306" s="114" t="str">
        <f>IF(B306="","",IFERROR(VLOOKUP(B306,'Material Master'!$A$2:$E$201,4,FALSE),""))</f>
        <v/>
      </c>
      <c r="H306" s="114"/>
      <c r="I306" s="114"/>
      <c r="J306" s="11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4.0" customHeight="1">
      <c r="A307" s="113"/>
      <c r="B307" s="114"/>
      <c r="C307" s="114" t="str">
        <f>IF(B307="","",IFERROR(VLOOKUP(B307,'Material Master'!$A$2:$E$201,2,FALSE),""))</f>
        <v/>
      </c>
      <c r="D307" s="114" t="str">
        <f t="array" ref="D307">IF(B307="","",IFERROR(INDEX('Location Master'!$E$2:$E$502, IFERROR(MATCH(B307,'Location Master'!$G$2:$G$502,0), IFERROR(MATCH(B307&amp;" (*",'Location Master'!$G$2:$G$502,0), MATCH(B307&amp;"*",'Location Master'!$G$2:$G$502,0)))), ""))</f>
        <v/>
      </c>
      <c r="E307" s="116"/>
      <c r="F307" s="117"/>
      <c r="G307" s="114" t="str">
        <f>IF(B307="","",IFERROR(VLOOKUP(B307,'Material Master'!$A$2:$E$201,4,FALSE),""))</f>
        <v/>
      </c>
      <c r="H307" s="114"/>
      <c r="I307" s="114"/>
      <c r="J307" s="11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4.0" customHeight="1">
      <c r="A308" s="113"/>
      <c r="B308" s="114"/>
      <c r="C308" s="114" t="str">
        <f>IF(B308="","",IFERROR(VLOOKUP(B308,'Material Master'!$A$2:$E$201,2,FALSE),""))</f>
        <v/>
      </c>
      <c r="D308" s="114" t="str">
        <f t="array" ref="D308">IF(B308="","",IFERROR(INDEX('Location Master'!$E$2:$E$502, IFERROR(MATCH(B308,'Location Master'!$G$2:$G$502,0), IFERROR(MATCH(B308&amp;" (*",'Location Master'!$G$2:$G$502,0), MATCH(B308&amp;"*",'Location Master'!$G$2:$G$502,0)))), ""))</f>
        <v/>
      </c>
      <c r="E308" s="116"/>
      <c r="F308" s="117"/>
      <c r="G308" s="114" t="str">
        <f>IF(B308="","",IFERROR(VLOOKUP(B308,'Material Master'!$A$2:$E$201,4,FALSE),""))</f>
        <v/>
      </c>
      <c r="H308" s="114"/>
      <c r="I308" s="114"/>
      <c r="J308" s="11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4.0" customHeight="1">
      <c r="A309" s="113"/>
      <c r="B309" s="114"/>
      <c r="C309" s="114" t="str">
        <f>IF(B309="","",IFERROR(VLOOKUP(B309,'Material Master'!$A$2:$E$201,2,FALSE),""))</f>
        <v/>
      </c>
      <c r="D309" s="114" t="str">
        <f t="array" ref="D309">IF(B309="","",IFERROR(INDEX('Location Master'!$E$2:$E$502, IFERROR(MATCH(B309,'Location Master'!$G$2:$G$502,0), IFERROR(MATCH(B309&amp;" (*",'Location Master'!$G$2:$G$502,0), MATCH(B309&amp;"*",'Location Master'!$G$2:$G$502,0)))), ""))</f>
        <v/>
      </c>
      <c r="E309" s="116"/>
      <c r="F309" s="117"/>
      <c r="G309" s="114" t="str">
        <f>IF(B309="","",IFERROR(VLOOKUP(B309,'Material Master'!$A$2:$E$201,4,FALSE),""))</f>
        <v/>
      </c>
      <c r="H309" s="114"/>
      <c r="I309" s="114"/>
      <c r="J309" s="11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4.0" customHeight="1">
      <c r="A310" s="113"/>
      <c r="B310" s="114"/>
      <c r="C310" s="114" t="str">
        <f>IF(B310="","",IFERROR(VLOOKUP(B310,'Material Master'!$A$2:$E$201,2,FALSE),""))</f>
        <v/>
      </c>
      <c r="D310" s="114" t="str">
        <f t="array" ref="D310">IF(B310="","",IFERROR(INDEX('Location Master'!$E$2:$E$502, IFERROR(MATCH(B310,'Location Master'!$G$2:$G$502,0), IFERROR(MATCH(B310&amp;" (*",'Location Master'!$G$2:$G$502,0), MATCH(B310&amp;"*",'Location Master'!$G$2:$G$502,0)))), ""))</f>
        <v/>
      </c>
      <c r="E310" s="116"/>
      <c r="F310" s="117"/>
      <c r="G310" s="114" t="str">
        <f>IF(B310="","",IFERROR(VLOOKUP(B310,'Material Master'!$A$2:$E$201,4,FALSE),""))</f>
        <v/>
      </c>
      <c r="H310" s="114"/>
      <c r="I310" s="114"/>
      <c r="J310" s="11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4.0" customHeight="1">
      <c r="A311" s="113"/>
      <c r="B311" s="114"/>
      <c r="C311" s="114" t="str">
        <f>IF(B311="","",IFERROR(VLOOKUP(B311,'Material Master'!$A$2:$E$201,2,FALSE),""))</f>
        <v/>
      </c>
      <c r="D311" s="114" t="str">
        <f t="array" ref="D311">IF(B311="","",IFERROR(INDEX('Location Master'!$E$2:$E$502, IFERROR(MATCH(B311,'Location Master'!$G$2:$G$502,0), IFERROR(MATCH(B311&amp;" (*",'Location Master'!$G$2:$G$502,0), MATCH(B311&amp;"*",'Location Master'!$G$2:$G$502,0)))), ""))</f>
        <v/>
      </c>
      <c r="E311" s="116"/>
      <c r="F311" s="117"/>
      <c r="G311" s="114" t="str">
        <f>IF(B311="","",IFERROR(VLOOKUP(B311,'Material Master'!$A$2:$E$201,4,FALSE),""))</f>
        <v/>
      </c>
      <c r="H311" s="114"/>
      <c r="I311" s="114"/>
      <c r="J311" s="11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4.0" customHeight="1">
      <c r="A312" s="113"/>
      <c r="B312" s="114"/>
      <c r="C312" s="114" t="str">
        <f>IF(B312="","",IFERROR(VLOOKUP(B312,'Material Master'!$A$2:$E$201,2,FALSE),""))</f>
        <v/>
      </c>
      <c r="D312" s="114" t="str">
        <f t="array" ref="D312">IF(B312="","",IFERROR(INDEX('Location Master'!$E$2:$E$502, IFERROR(MATCH(B312,'Location Master'!$G$2:$G$502,0), IFERROR(MATCH(B312&amp;" (*",'Location Master'!$G$2:$G$502,0), MATCH(B312&amp;"*",'Location Master'!$G$2:$G$502,0)))), ""))</f>
        <v/>
      </c>
      <c r="E312" s="116"/>
      <c r="F312" s="117"/>
      <c r="G312" s="114" t="str">
        <f>IF(B312="","",IFERROR(VLOOKUP(B312,'Material Master'!$A$2:$E$201,4,FALSE),""))</f>
        <v/>
      </c>
      <c r="H312" s="114"/>
      <c r="I312" s="114"/>
      <c r="J312" s="11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4.0" customHeight="1">
      <c r="A313" s="113"/>
      <c r="B313" s="114"/>
      <c r="C313" s="114" t="str">
        <f>IF(B313="","",IFERROR(VLOOKUP(B313,'Material Master'!$A$2:$E$201,2,FALSE),""))</f>
        <v/>
      </c>
      <c r="D313" s="114" t="str">
        <f t="array" ref="D313">IF(B313="","",IFERROR(INDEX('Location Master'!$E$2:$E$502, IFERROR(MATCH(B313,'Location Master'!$G$2:$G$502,0), IFERROR(MATCH(B313&amp;" (*",'Location Master'!$G$2:$G$502,0), MATCH(B313&amp;"*",'Location Master'!$G$2:$G$502,0)))), ""))</f>
        <v/>
      </c>
      <c r="E313" s="116"/>
      <c r="F313" s="117"/>
      <c r="G313" s="114" t="str">
        <f>IF(B313="","",IFERROR(VLOOKUP(B313,'Material Master'!$A$2:$E$201,4,FALSE),""))</f>
        <v/>
      </c>
      <c r="H313" s="114"/>
      <c r="I313" s="114"/>
      <c r="J313" s="11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4.0" customHeight="1">
      <c r="A314" s="113"/>
      <c r="B314" s="114"/>
      <c r="C314" s="114" t="str">
        <f>IF(B314="","",IFERROR(VLOOKUP(B314,'Material Master'!$A$2:$E$201,2,FALSE),""))</f>
        <v/>
      </c>
      <c r="D314" s="114" t="str">
        <f t="array" ref="D314">IF(B314="","",IFERROR(INDEX('Location Master'!$E$2:$E$502, IFERROR(MATCH(B314,'Location Master'!$G$2:$G$502,0), IFERROR(MATCH(B314&amp;" (*",'Location Master'!$G$2:$G$502,0), MATCH(B314&amp;"*",'Location Master'!$G$2:$G$502,0)))), ""))</f>
        <v/>
      </c>
      <c r="E314" s="116"/>
      <c r="F314" s="117"/>
      <c r="G314" s="114" t="str">
        <f>IF(B314="","",IFERROR(VLOOKUP(B314,'Material Master'!$A$2:$E$201,4,FALSE),""))</f>
        <v/>
      </c>
      <c r="H314" s="114"/>
      <c r="I314" s="114"/>
      <c r="J314" s="11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4.0" customHeight="1">
      <c r="A315" s="113"/>
      <c r="B315" s="114"/>
      <c r="C315" s="114" t="str">
        <f>IF(B315="","",IFERROR(VLOOKUP(B315,'Material Master'!$A$2:$E$201,2,FALSE),""))</f>
        <v/>
      </c>
      <c r="D315" s="114" t="str">
        <f t="array" ref="D315">IF(B315="","",IFERROR(INDEX('Location Master'!$E$2:$E$502, IFERROR(MATCH(B315,'Location Master'!$G$2:$G$502,0), IFERROR(MATCH(B315&amp;" (*",'Location Master'!$G$2:$G$502,0), MATCH(B315&amp;"*",'Location Master'!$G$2:$G$502,0)))), ""))</f>
        <v/>
      </c>
      <c r="E315" s="116"/>
      <c r="F315" s="117"/>
      <c r="G315" s="114" t="str">
        <f>IF(B315="","",IFERROR(VLOOKUP(B315,'Material Master'!$A$2:$E$201,4,FALSE),""))</f>
        <v/>
      </c>
      <c r="H315" s="114"/>
      <c r="I315" s="114"/>
      <c r="J315" s="11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4.0" customHeight="1">
      <c r="A316" s="113"/>
      <c r="B316" s="114"/>
      <c r="C316" s="114" t="str">
        <f>IF(B316="","",IFERROR(VLOOKUP(B316,'Material Master'!$A$2:$E$201,2,FALSE),""))</f>
        <v/>
      </c>
      <c r="D316" s="114" t="str">
        <f t="array" ref="D316">IF(B316="","",IFERROR(INDEX('Location Master'!$E$2:$E$502, IFERROR(MATCH(B316,'Location Master'!$G$2:$G$502,0), IFERROR(MATCH(B316&amp;" (*",'Location Master'!$G$2:$G$502,0), MATCH(B316&amp;"*",'Location Master'!$G$2:$G$502,0)))), ""))</f>
        <v/>
      </c>
      <c r="E316" s="116"/>
      <c r="F316" s="117"/>
      <c r="G316" s="114" t="str">
        <f>IF(B316="","",IFERROR(VLOOKUP(B316,'Material Master'!$A$2:$E$201,4,FALSE),""))</f>
        <v/>
      </c>
      <c r="H316" s="114"/>
      <c r="I316" s="114"/>
      <c r="J316" s="11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4.0" customHeight="1">
      <c r="A317" s="113"/>
      <c r="B317" s="114"/>
      <c r="C317" s="114" t="str">
        <f>IF(B317="","",IFERROR(VLOOKUP(B317,'Material Master'!$A$2:$E$201,2,FALSE),""))</f>
        <v/>
      </c>
      <c r="D317" s="114" t="str">
        <f t="array" ref="D317">IF(B317="","",IFERROR(INDEX('Location Master'!$E$2:$E$502, IFERROR(MATCH(B317,'Location Master'!$G$2:$G$502,0), IFERROR(MATCH(B317&amp;" (*",'Location Master'!$G$2:$G$502,0), MATCH(B317&amp;"*",'Location Master'!$G$2:$G$502,0)))), ""))</f>
        <v/>
      </c>
      <c r="E317" s="116"/>
      <c r="F317" s="117"/>
      <c r="G317" s="114" t="str">
        <f>IF(B317="","",IFERROR(VLOOKUP(B317,'Material Master'!$A$2:$E$201,4,FALSE),""))</f>
        <v/>
      </c>
      <c r="H317" s="114"/>
      <c r="I317" s="114"/>
      <c r="J317" s="11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4.0" customHeight="1">
      <c r="A318" s="113"/>
      <c r="B318" s="114"/>
      <c r="C318" s="114" t="str">
        <f>IF(B318="","",IFERROR(VLOOKUP(B318,'Material Master'!$A$2:$E$201,2,FALSE),""))</f>
        <v/>
      </c>
      <c r="D318" s="114" t="str">
        <f t="array" ref="D318">IF(B318="","",IFERROR(INDEX('Location Master'!$E$2:$E$502, IFERROR(MATCH(B318,'Location Master'!$G$2:$G$502,0), IFERROR(MATCH(B318&amp;" (*",'Location Master'!$G$2:$G$502,0), MATCH(B318&amp;"*",'Location Master'!$G$2:$G$502,0)))), ""))</f>
        <v/>
      </c>
      <c r="E318" s="116"/>
      <c r="F318" s="117"/>
      <c r="G318" s="114" t="str">
        <f>IF(B318="","",IFERROR(VLOOKUP(B318,'Material Master'!$A$2:$E$201,4,FALSE),""))</f>
        <v/>
      </c>
      <c r="H318" s="114"/>
      <c r="I318" s="114"/>
      <c r="J318" s="11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4.0" customHeight="1">
      <c r="A319" s="113"/>
      <c r="B319" s="114"/>
      <c r="C319" s="114" t="str">
        <f>IF(B319="","",IFERROR(VLOOKUP(B319,'Material Master'!$A$2:$E$201,2,FALSE),""))</f>
        <v/>
      </c>
      <c r="D319" s="114" t="str">
        <f t="array" ref="D319">IF(B319="","",IFERROR(INDEX('Location Master'!$E$2:$E$502, IFERROR(MATCH(B319,'Location Master'!$G$2:$G$502,0), IFERROR(MATCH(B319&amp;" (*",'Location Master'!$G$2:$G$502,0), MATCH(B319&amp;"*",'Location Master'!$G$2:$G$502,0)))), ""))</f>
        <v/>
      </c>
      <c r="E319" s="116"/>
      <c r="F319" s="117"/>
      <c r="G319" s="114" t="str">
        <f>IF(B319="","",IFERROR(VLOOKUP(B319,'Material Master'!$A$2:$E$201,4,FALSE),""))</f>
        <v/>
      </c>
      <c r="H319" s="114"/>
      <c r="I319" s="114"/>
      <c r="J319" s="11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4.0" customHeight="1">
      <c r="A320" s="113"/>
      <c r="B320" s="114"/>
      <c r="C320" s="114" t="str">
        <f>IF(B320="","",IFERROR(VLOOKUP(B320,'Material Master'!$A$2:$E$201,2,FALSE),""))</f>
        <v/>
      </c>
      <c r="D320" s="114" t="str">
        <f t="array" ref="D320">IF(B320="","",IFERROR(INDEX('Location Master'!$E$2:$E$502, IFERROR(MATCH(B320,'Location Master'!$G$2:$G$502,0), IFERROR(MATCH(B320&amp;" (*",'Location Master'!$G$2:$G$502,0), MATCH(B320&amp;"*",'Location Master'!$G$2:$G$502,0)))), ""))</f>
        <v/>
      </c>
      <c r="E320" s="116"/>
      <c r="F320" s="117"/>
      <c r="G320" s="114" t="str">
        <f>IF(B320="","",IFERROR(VLOOKUP(B320,'Material Master'!$A$2:$E$201,4,FALSE),""))</f>
        <v/>
      </c>
      <c r="H320" s="114"/>
      <c r="I320" s="114"/>
      <c r="J320" s="11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4.0" customHeight="1">
      <c r="A321" s="113"/>
      <c r="B321" s="114"/>
      <c r="C321" s="114" t="str">
        <f>IF(B321="","",IFERROR(VLOOKUP(B321,'Material Master'!$A$2:$E$201,2,FALSE),""))</f>
        <v/>
      </c>
      <c r="D321" s="114" t="str">
        <f t="array" ref="D321">IF(B321="","",IFERROR(INDEX('Location Master'!$E$2:$E$502, IFERROR(MATCH(B321,'Location Master'!$G$2:$G$502,0), IFERROR(MATCH(B321&amp;" (*",'Location Master'!$G$2:$G$502,0), MATCH(B321&amp;"*",'Location Master'!$G$2:$G$502,0)))), ""))</f>
        <v/>
      </c>
      <c r="E321" s="116"/>
      <c r="F321" s="117"/>
      <c r="G321" s="114" t="str">
        <f>IF(B321="","",IFERROR(VLOOKUP(B321,'Material Master'!$A$2:$E$201,4,FALSE),""))</f>
        <v/>
      </c>
      <c r="H321" s="114"/>
      <c r="I321" s="114"/>
      <c r="J321" s="11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4.0" customHeight="1">
      <c r="A322" s="113"/>
      <c r="B322" s="114"/>
      <c r="C322" s="114" t="str">
        <f>IF(B322="","",IFERROR(VLOOKUP(B322,'Material Master'!$A$2:$E$201,2,FALSE),""))</f>
        <v/>
      </c>
      <c r="D322" s="114" t="str">
        <f t="array" ref="D322">IF(B322="","",IFERROR(INDEX('Location Master'!$E$2:$E$502, IFERROR(MATCH(B322,'Location Master'!$G$2:$G$502,0), IFERROR(MATCH(B322&amp;" (*",'Location Master'!$G$2:$G$502,0), MATCH(B322&amp;"*",'Location Master'!$G$2:$G$502,0)))), ""))</f>
        <v/>
      </c>
      <c r="E322" s="116"/>
      <c r="F322" s="117"/>
      <c r="G322" s="114" t="str">
        <f>IF(B322="","",IFERROR(VLOOKUP(B322,'Material Master'!$A$2:$E$201,4,FALSE),""))</f>
        <v/>
      </c>
      <c r="H322" s="114"/>
      <c r="I322" s="114"/>
      <c r="J322" s="11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4.0" customHeight="1">
      <c r="A323" s="113"/>
      <c r="B323" s="114"/>
      <c r="C323" s="114" t="str">
        <f>IF(B323="","",IFERROR(VLOOKUP(B323,'Material Master'!$A$2:$E$201,2,FALSE),""))</f>
        <v/>
      </c>
      <c r="D323" s="114" t="str">
        <f t="array" ref="D323">IF(B323="","",IFERROR(INDEX('Location Master'!$E$2:$E$502, IFERROR(MATCH(B323,'Location Master'!$G$2:$G$502,0), IFERROR(MATCH(B323&amp;" (*",'Location Master'!$G$2:$G$502,0), MATCH(B323&amp;"*",'Location Master'!$G$2:$G$502,0)))), ""))</f>
        <v/>
      </c>
      <c r="E323" s="116"/>
      <c r="F323" s="117"/>
      <c r="G323" s="114" t="str">
        <f>IF(B323="","",IFERROR(VLOOKUP(B323,'Material Master'!$A$2:$E$201,4,FALSE),""))</f>
        <v/>
      </c>
      <c r="H323" s="114"/>
      <c r="I323" s="114"/>
      <c r="J323" s="11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4.0" customHeight="1">
      <c r="A324" s="113"/>
      <c r="B324" s="114"/>
      <c r="C324" s="114" t="str">
        <f>IF(B324="","",IFERROR(VLOOKUP(B324,'Material Master'!$A$2:$E$201,2,FALSE),""))</f>
        <v/>
      </c>
      <c r="D324" s="114" t="str">
        <f t="array" ref="D324">IF(B324="","",IFERROR(INDEX('Location Master'!$E$2:$E$502, IFERROR(MATCH(B324,'Location Master'!$G$2:$G$502,0), IFERROR(MATCH(B324&amp;" (*",'Location Master'!$G$2:$G$502,0), MATCH(B324&amp;"*",'Location Master'!$G$2:$G$502,0)))), ""))</f>
        <v/>
      </c>
      <c r="E324" s="116"/>
      <c r="F324" s="117"/>
      <c r="G324" s="114" t="str">
        <f>IF(B324="","",IFERROR(VLOOKUP(B324,'Material Master'!$A$2:$E$201,4,FALSE),""))</f>
        <v/>
      </c>
      <c r="H324" s="114"/>
      <c r="I324" s="114"/>
      <c r="J324" s="11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4.0" customHeight="1">
      <c r="A325" s="113"/>
      <c r="B325" s="114"/>
      <c r="C325" s="114" t="str">
        <f>IF(B325="","",IFERROR(VLOOKUP(B325,'Material Master'!$A$2:$E$201,2,FALSE),""))</f>
        <v/>
      </c>
      <c r="D325" s="114" t="str">
        <f t="array" ref="D325">IF(B325="","",IFERROR(INDEX('Location Master'!$E$2:$E$502, IFERROR(MATCH(B325,'Location Master'!$G$2:$G$502,0), IFERROR(MATCH(B325&amp;" (*",'Location Master'!$G$2:$G$502,0), MATCH(B325&amp;"*",'Location Master'!$G$2:$G$502,0)))), ""))</f>
        <v/>
      </c>
      <c r="E325" s="116"/>
      <c r="F325" s="117"/>
      <c r="G325" s="114" t="str">
        <f>IF(B325="","",IFERROR(VLOOKUP(B325,'Material Master'!$A$2:$E$201,4,FALSE),""))</f>
        <v/>
      </c>
      <c r="H325" s="114"/>
      <c r="I325" s="114"/>
      <c r="J325" s="11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4.0" customHeight="1">
      <c r="A326" s="113"/>
      <c r="B326" s="114"/>
      <c r="C326" s="114" t="str">
        <f>IF(B326="","",IFERROR(VLOOKUP(B326,'Material Master'!$A$2:$E$201,2,FALSE),""))</f>
        <v/>
      </c>
      <c r="D326" s="114" t="str">
        <f t="array" ref="D326">IF(B326="","",IFERROR(INDEX('Location Master'!$E$2:$E$502, IFERROR(MATCH(B326,'Location Master'!$G$2:$G$502,0), IFERROR(MATCH(B326&amp;" (*",'Location Master'!$G$2:$G$502,0), MATCH(B326&amp;"*",'Location Master'!$G$2:$G$502,0)))), ""))</f>
        <v/>
      </c>
      <c r="E326" s="116"/>
      <c r="F326" s="117"/>
      <c r="G326" s="114" t="str">
        <f>IF(B326="","",IFERROR(VLOOKUP(B326,'Material Master'!$A$2:$E$201,4,FALSE),""))</f>
        <v/>
      </c>
      <c r="H326" s="114"/>
      <c r="I326" s="114"/>
      <c r="J326" s="11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4.0" customHeight="1">
      <c r="A327" s="113"/>
      <c r="B327" s="114"/>
      <c r="C327" s="114" t="str">
        <f>IF(B327="","",IFERROR(VLOOKUP(B327,'Material Master'!$A$2:$E$201,2,FALSE),""))</f>
        <v/>
      </c>
      <c r="D327" s="114" t="str">
        <f t="array" ref="D327">IF(B327="","",IFERROR(INDEX('Location Master'!$E$2:$E$502, IFERROR(MATCH(B327,'Location Master'!$G$2:$G$502,0), IFERROR(MATCH(B327&amp;" (*",'Location Master'!$G$2:$G$502,0), MATCH(B327&amp;"*",'Location Master'!$G$2:$G$502,0)))), ""))</f>
        <v/>
      </c>
      <c r="E327" s="116"/>
      <c r="F327" s="117"/>
      <c r="G327" s="114" t="str">
        <f>IF(B327="","",IFERROR(VLOOKUP(B327,'Material Master'!$A$2:$E$201,4,FALSE),""))</f>
        <v/>
      </c>
      <c r="H327" s="114"/>
      <c r="I327" s="114"/>
      <c r="J327" s="11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4.0" customHeight="1">
      <c r="A328" s="113"/>
      <c r="B328" s="114"/>
      <c r="C328" s="114" t="str">
        <f>IF(B328="","",IFERROR(VLOOKUP(B328,'Material Master'!$A$2:$E$201,2,FALSE),""))</f>
        <v/>
      </c>
      <c r="D328" s="114" t="str">
        <f t="array" ref="D328">IF(B328="","",IFERROR(INDEX('Location Master'!$E$2:$E$502, IFERROR(MATCH(B328,'Location Master'!$G$2:$G$502,0), IFERROR(MATCH(B328&amp;" (*",'Location Master'!$G$2:$G$502,0), MATCH(B328&amp;"*",'Location Master'!$G$2:$G$502,0)))), ""))</f>
        <v/>
      </c>
      <c r="E328" s="116"/>
      <c r="F328" s="117"/>
      <c r="G328" s="114" t="str">
        <f>IF(B328="","",IFERROR(VLOOKUP(B328,'Material Master'!$A$2:$E$201,4,FALSE),""))</f>
        <v/>
      </c>
      <c r="H328" s="114"/>
      <c r="I328" s="114"/>
      <c r="J328" s="11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4.0" customHeight="1">
      <c r="A329" s="113"/>
      <c r="B329" s="114"/>
      <c r="C329" s="114" t="str">
        <f>IF(B329="","",IFERROR(VLOOKUP(B329,'Material Master'!$A$2:$E$201,2,FALSE),""))</f>
        <v/>
      </c>
      <c r="D329" s="114" t="str">
        <f t="array" ref="D329">IF(B329="","",IFERROR(INDEX('Location Master'!$E$2:$E$502, IFERROR(MATCH(B329,'Location Master'!$G$2:$G$502,0), IFERROR(MATCH(B329&amp;" (*",'Location Master'!$G$2:$G$502,0), MATCH(B329&amp;"*",'Location Master'!$G$2:$G$502,0)))), ""))</f>
        <v/>
      </c>
      <c r="E329" s="116"/>
      <c r="F329" s="117"/>
      <c r="G329" s="114" t="str">
        <f>IF(B329="","",IFERROR(VLOOKUP(B329,'Material Master'!$A$2:$E$201,4,FALSE),""))</f>
        <v/>
      </c>
      <c r="H329" s="114"/>
      <c r="I329" s="114"/>
      <c r="J329" s="11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4.0" customHeight="1">
      <c r="A330" s="113"/>
      <c r="B330" s="114"/>
      <c r="C330" s="114" t="str">
        <f>IF(B330="","",IFERROR(VLOOKUP(B330,'Material Master'!$A$2:$E$201,2,FALSE),""))</f>
        <v/>
      </c>
      <c r="D330" s="114" t="str">
        <f t="array" ref="D330">IF(B330="","",IFERROR(INDEX('Location Master'!$E$2:$E$502, IFERROR(MATCH(B330,'Location Master'!$G$2:$G$502,0), IFERROR(MATCH(B330&amp;" (*",'Location Master'!$G$2:$G$502,0), MATCH(B330&amp;"*",'Location Master'!$G$2:$G$502,0)))), ""))</f>
        <v/>
      </c>
      <c r="E330" s="116"/>
      <c r="F330" s="117"/>
      <c r="G330" s="114" t="str">
        <f>IF(B330="","",IFERROR(VLOOKUP(B330,'Material Master'!$A$2:$E$201,4,FALSE),""))</f>
        <v/>
      </c>
      <c r="H330" s="114"/>
      <c r="I330" s="114"/>
      <c r="J330" s="11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4.0" customHeight="1">
      <c r="A331" s="113"/>
      <c r="B331" s="114"/>
      <c r="C331" s="114" t="str">
        <f>IF(B331="","",IFERROR(VLOOKUP(B331,'Material Master'!$A$2:$E$201,2,FALSE),""))</f>
        <v/>
      </c>
      <c r="D331" s="114" t="str">
        <f t="array" ref="D331">IF(B331="","",IFERROR(INDEX('Location Master'!$E$2:$E$502, IFERROR(MATCH(B331,'Location Master'!$G$2:$G$502,0), IFERROR(MATCH(B331&amp;" (*",'Location Master'!$G$2:$G$502,0), MATCH(B331&amp;"*",'Location Master'!$G$2:$G$502,0)))), ""))</f>
        <v/>
      </c>
      <c r="E331" s="116"/>
      <c r="F331" s="117"/>
      <c r="G331" s="114" t="str">
        <f>IF(B331="","",IFERROR(VLOOKUP(B331,'Material Master'!$A$2:$E$201,4,FALSE),""))</f>
        <v/>
      </c>
      <c r="H331" s="114"/>
      <c r="I331" s="114"/>
      <c r="J331" s="11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4.0" customHeight="1">
      <c r="A332" s="113"/>
      <c r="B332" s="114"/>
      <c r="C332" s="114" t="str">
        <f>IF(B332="","",IFERROR(VLOOKUP(B332,'Material Master'!$A$2:$E$201,2,FALSE),""))</f>
        <v/>
      </c>
      <c r="D332" s="114" t="str">
        <f t="array" ref="D332">IF(B332="","",IFERROR(INDEX('Location Master'!$E$2:$E$502, IFERROR(MATCH(B332,'Location Master'!$G$2:$G$502,0), IFERROR(MATCH(B332&amp;" (*",'Location Master'!$G$2:$G$502,0), MATCH(B332&amp;"*",'Location Master'!$G$2:$G$502,0)))), ""))</f>
        <v/>
      </c>
      <c r="E332" s="116"/>
      <c r="F332" s="117"/>
      <c r="G332" s="114" t="str">
        <f>IF(B332="","",IFERROR(VLOOKUP(B332,'Material Master'!$A$2:$E$201,4,FALSE),""))</f>
        <v/>
      </c>
      <c r="H332" s="114"/>
      <c r="I332" s="114"/>
      <c r="J332" s="11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4.0" customHeight="1">
      <c r="A333" s="113"/>
      <c r="B333" s="114"/>
      <c r="C333" s="114" t="str">
        <f>IF(B333="","",IFERROR(VLOOKUP(B333,'Material Master'!$A$2:$E$201,2,FALSE),""))</f>
        <v/>
      </c>
      <c r="D333" s="114" t="str">
        <f t="array" ref="D333">IF(B333="","",IFERROR(INDEX('Location Master'!$E$2:$E$502, IFERROR(MATCH(B333,'Location Master'!$G$2:$G$502,0), IFERROR(MATCH(B333&amp;" (*",'Location Master'!$G$2:$G$502,0), MATCH(B333&amp;"*",'Location Master'!$G$2:$G$502,0)))), ""))</f>
        <v/>
      </c>
      <c r="E333" s="116"/>
      <c r="F333" s="117"/>
      <c r="G333" s="114" t="str">
        <f>IF(B333="","",IFERROR(VLOOKUP(B333,'Material Master'!$A$2:$E$201,4,FALSE),""))</f>
        <v/>
      </c>
      <c r="H333" s="114"/>
      <c r="I333" s="114"/>
      <c r="J333" s="11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4.0" customHeight="1">
      <c r="A334" s="113"/>
      <c r="B334" s="114"/>
      <c r="C334" s="114" t="str">
        <f>IF(B334="","",IFERROR(VLOOKUP(B334,'Material Master'!$A$2:$E$201,2,FALSE),""))</f>
        <v/>
      </c>
      <c r="D334" s="114" t="str">
        <f t="array" ref="D334">IF(B334="","",IFERROR(INDEX('Location Master'!$E$2:$E$502, IFERROR(MATCH(B334,'Location Master'!$G$2:$G$502,0), IFERROR(MATCH(B334&amp;" (*",'Location Master'!$G$2:$G$502,0), MATCH(B334&amp;"*",'Location Master'!$G$2:$G$502,0)))), ""))</f>
        <v/>
      </c>
      <c r="E334" s="116"/>
      <c r="F334" s="117"/>
      <c r="G334" s="114" t="str">
        <f>IF(B334="","",IFERROR(VLOOKUP(B334,'Material Master'!$A$2:$E$201,4,FALSE),""))</f>
        <v/>
      </c>
      <c r="H334" s="114"/>
      <c r="I334" s="114"/>
      <c r="J334" s="11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4.0" customHeight="1">
      <c r="A335" s="113"/>
      <c r="B335" s="114"/>
      <c r="C335" s="114" t="str">
        <f>IF(B335="","",IFERROR(VLOOKUP(B335,'Material Master'!$A$2:$E$201,2,FALSE),""))</f>
        <v/>
      </c>
      <c r="D335" s="114" t="str">
        <f t="array" ref="D335">IF(B335="","",IFERROR(INDEX('Location Master'!$E$2:$E$502, IFERROR(MATCH(B335,'Location Master'!$G$2:$G$502,0), IFERROR(MATCH(B335&amp;" (*",'Location Master'!$G$2:$G$502,0), MATCH(B335&amp;"*",'Location Master'!$G$2:$G$502,0)))), ""))</f>
        <v/>
      </c>
      <c r="E335" s="116"/>
      <c r="F335" s="117"/>
      <c r="G335" s="114" t="str">
        <f>IF(B335="","",IFERROR(VLOOKUP(B335,'Material Master'!$A$2:$E$201,4,FALSE),""))</f>
        <v/>
      </c>
      <c r="H335" s="114"/>
      <c r="I335" s="114"/>
      <c r="J335" s="11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4.0" customHeight="1">
      <c r="A336" s="113"/>
      <c r="B336" s="114"/>
      <c r="C336" s="114" t="str">
        <f>IF(B336="","",IFERROR(VLOOKUP(B336,'Material Master'!$A$2:$E$201,2,FALSE),""))</f>
        <v/>
      </c>
      <c r="D336" s="114" t="str">
        <f t="array" ref="D336">IF(B336="","",IFERROR(INDEX('Location Master'!$E$2:$E$502, IFERROR(MATCH(B336,'Location Master'!$G$2:$G$502,0), IFERROR(MATCH(B336&amp;" (*",'Location Master'!$G$2:$G$502,0), MATCH(B336&amp;"*",'Location Master'!$G$2:$G$502,0)))), ""))</f>
        <v/>
      </c>
      <c r="E336" s="116"/>
      <c r="F336" s="117"/>
      <c r="G336" s="114" t="str">
        <f>IF(B336="","",IFERROR(VLOOKUP(B336,'Material Master'!$A$2:$E$201,4,FALSE),""))</f>
        <v/>
      </c>
      <c r="H336" s="114"/>
      <c r="I336" s="114"/>
      <c r="J336" s="11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4.0" customHeight="1">
      <c r="A337" s="113"/>
      <c r="B337" s="114"/>
      <c r="C337" s="114" t="str">
        <f>IF(B337="","",IFERROR(VLOOKUP(B337,'Material Master'!$A$2:$E$201,2,FALSE),""))</f>
        <v/>
      </c>
      <c r="D337" s="114" t="str">
        <f t="array" ref="D337">IF(B337="","",IFERROR(INDEX('Location Master'!$E$2:$E$502, IFERROR(MATCH(B337,'Location Master'!$G$2:$G$502,0), IFERROR(MATCH(B337&amp;" (*",'Location Master'!$G$2:$G$502,0), MATCH(B337&amp;"*",'Location Master'!$G$2:$G$502,0)))), ""))</f>
        <v/>
      </c>
      <c r="E337" s="116"/>
      <c r="F337" s="117"/>
      <c r="G337" s="114" t="str">
        <f>IF(B337="","",IFERROR(VLOOKUP(B337,'Material Master'!$A$2:$E$201,4,FALSE),""))</f>
        <v/>
      </c>
      <c r="H337" s="114"/>
      <c r="I337" s="114"/>
      <c r="J337" s="11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4.0" customHeight="1">
      <c r="A338" s="113"/>
      <c r="B338" s="114"/>
      <c r="C338" s="114" t="str">
        <f>IF(B338="","",IFERROR(VLOOKUP(B338,'Material Master'!$A$2:$E$201,2,FALSE),""))</f>
        <v/>
      </c>
      <c r="D338" s="114" t="str">
        <f t="array" ref="D338">IF(B338="","",IFERROR(INDEX('Location Master'!$E$2:$E$502, IFERROR(MATCH(B338,'Location Master'!$G$2:$G$502,0), IFERROR(MATCH(B338&amp;" (*",'Location Master'!$G$2:$G$502,0), MATCH(B338&amp;"*",'Location Master'!$G$2:$G$502,0)))), ""))</f>
        <v/>
      </c>
      <c r="E338" s="116"/>
      <c r="F338" s="117"/>
      <c r="G338" s="114" t="str">
        <f>IF(B338="","",IFERROR(VLOOKUP(B338,'Material Master'!$A$2:$E$201,4,FALSE),""))</f>
        <v/>
      </c>
      <c r="H338" s="114"/>
      <c r="I338" s="114"/>
      <c r="J338" s="11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4.0" customHeight="1">
      <c r="A339" s="113"/>
      <c r="B339" s="114"/>
      <c r="C339" s="114" t="str">
        <f>IF(B339="","",IFERROR(VLOOKUP(B339,'Material Master'!$A$2:$E$201,2,FALSE),""))</f>
        <v/>
      </c>
      <c r="D339" s="114" t="str">
        <f t="array" ref="D339">IF(B339="","",IFERROR(INDEX('Location Master'!$E$2:$E$502, IFERROR(MATCH(B339,'Location Master'!$G$2:$G$502,0), IFERROR(MATCH(B339&amp;" (*",'Location Master'!$G$2:$G$502,0), MATCH(B339&amp;"*",'Location Master'!$G$2:$G$502,0)))), ""))</f>
        <v/>
      </c>
      <c r="E339" s="116"/>
      <c r="F339" s="117"/>
      <c r="G339" s="114" t="str">
        <f>IF(B339="","",IFERROR(VLOOKUP(B339,'Material Master'!$A$2:$E$201,4,FALSE),""))</f>
        <v/>
      </c>
      <c r="H339" s="114"/>
      <c r="I339" s="114"/>
      <c r="J339" s="11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4.0" customHeight="1">
      <c r="A340" s="113"/>
      <c r="B340" s="114"/>
      <c r="C340" s="114" t="str">
        <f>IF(B340="","",IFERROR(VLOOKUP(B340,'Material Master'!$A$2:$E$201,2,FALSE),""))</f>
        <v/>
      </c>
      <c r="D340" s="114" t="str">
        <f t="array" ref="D340">IF(B340="","",IFERROR(INDEX('Location Master'!$E$2:$E$502, IFERROR(MATCH(B340,'Location Master'!$G$2:$G$502,0), IFERROR(MATCH(B340&amp;" (*",'Location Master'!$G$2:$G$502,0), MATCH(B340&amp;"*",'Location Master'!$G$2:$G$502,0)))), ""))</f>
        <v/>
      </c>
      <c r="E340" s="116"/>
      <c r="F340" s="117"/>
      <c r="G340" s="114" t="str">
        <f>IF(B340="","",IFERROR(VLOOKUP(B340,'Material Master'!$A$2:$E$201,4,FALSE),""))</f>
        <v/>
      </c>
      <c r="H340" s="114"/>
      <c r="I340" s="114"/>
      <c r="J340" s="11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4.0" customHeight="1">
      <c r="A341" s="113"/>
      <c r="B341" s="114"/>
      <c r="C341" s="114" t="str">
        <f>IF(B341="","",IFERROR(VLOOKUP(B341,'Material Master'!$A$2:$E$201,2,FALSE),""))</f>
        <v/>
      </c>
      <c r="D341" s="114" t="str">
        <f t="array" ref="D341">IF(B341="","",IFERROR(INDEX('Location Master'!$E$2:$E$502, IFERROR(MATCH(B341,'Location Master'!$G$2:$G$502,0), IFERROR(MATCH(B341&amp;" (*",'Location Master'!$G$2:$G$502,0), MATCH(B341&amp;"*",'Location Master'!$G$2:$G$502,0)))), ""))</f>
        <v/>
      </c>
      <c r="E341" s="116"/>
      <c r="F341" s="117"/>
      <c r="G341" s="114" t="str">
        <f>IF(B341="","",IFERROR(VLOOKUP(B341,'Material Master'!$A$2:$E$201,4,FALSE),""))</f>
        <v/>
      </c>
      <c r="H341" s="114"/>
      <c r="I341" s="114"/>
      <c r="J341" s="11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4.0" customHeight="1">
      <c r="A342" s="113"/>
      <c r="B342" s="114"/>
      <c r="C342" s="114" t="str">
        <f>IF(B342="","",IFERROR(VLOOKUP(B342,'Material Master'!$A$2:$E$201,2,FALSE),""))</f>
        <v/>
      </c>
      <c r="D342" s="114" t="str">
        <f t="array" ref="D342">IF(B342="","",IFERROR(INDEX('Location Master'!$E$2:$E$502, IFERROR(MATCH(B342,'Location Master'!$G$2:$G$502,0), IFERROR(MATCH(B342&amp;" (*",'Location Master'!$G$2:$G$502,0), MATCH(B342&amp;"*",'Location Master'!$G$2:$G$502,0)))), ""))</f>
        <v/>
      </c>
      <c r="E342" s="116"/>
      <c r="F342" s="117"/>
      <c r="G342" s="114" t="str">
        <f>IF(B342="","",IFERROR(VLOOKUP(B342,'Material Master'!$A$2:$E$201,4,FALSE),""))</f>
        <v/>
      </c>
      <c r="H342" s="114"/>
      <c r="I342" s="114"/>
      <c r="J342" s="11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4.0" customHeight="1">
      <c r="A343" s="113"/>
      <c r="B343" s="114"/>
      <c r="C343" s="114" t="str">
        <f>IF(B343="","",IFERROR(VLOOKUP(B343,'Material Master'!$A$2:$E$201,2,FALSE),""))</f>
        <v/>
      </c>
      <c r="D343" s="114" t="str">
        <f t="array" ref="D343">IF(B343="","",IFERROR(INDEX('Location Master'!$E$2:$E$502, IFERROR(MATCH(B343,'Location Master'!$G$2:$G$502,0), IFERROR(MATCH(B343&amp;" (*",'Location Master'!$G$2:$G$502,0), MATCH(B343&amp;"*",'Location Master'!$G$2:$G$502,0)))), ""))</f>
        <v/>
      </c>
      <c r="E343" s="116"/>
      <c r="F343" s="117"/>
      <c r="G343" s="114" t="str">
        <f>IF(B343="","",IFERROR(VLOOKUP(B343,'Material Master'!$A$2:$E$201,4,FALSE),""))</f>
        <v/>
      </c>
      <c r="H343" s="114"/>
      <c r="I343" s="114"/>
      <c r="J343" s="11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4.0" customHeight="1">
      <c r="A344" s="113"/>
      <c r="B344" s="114"/>
      <c r="C344" s="114" t="str">
        <f>IF(B344="","",IFERROR(VLOOKUP(B344,'Material Master'!$A$2:$E$201,2,FALSE),""))</f>
        <v/>
      </c>
      <c r="D344" s="114" t="str">
        <f t="array" ref="D344">IF(B344="","",IFERROR(INDEX('Location Master'!$E$2:$E$502, IFERROR(MATCH(B344,'Location Master'!$G$2:$G$502,0), IFERROR(MATCH(B344&amp;" (*",'Location Master'!$G$2:$G$502,0), MATCH(B344&amp;"*",'Location Master'!$G$2:$G$502,0)))), ""))</f>
        <v/>
      </c>
      <c r="E344" s="116"/>
      <c r="F344" s="117"/>
      <c r="G344" s="114" t="str">
        <f>IF(B344="","",IFERROR(VLOOKUP(B344,'Material Master'!$A$2:$E$201,4,FALSE),""))</f>
        <v/>
      </c>
      <c r="H344" s="114"/>
      <c r="I344" s="114"/>
      <c r="J344" s="11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4.0" customHeight="1">
      <c r="A345" s="113"/>
      <c r="B345" s="114"/>
      <c r="C345" s="114" t="str">
        <f>IF(B345="","",IFERROR(VLOOKUP(B345,'Material Master'!$A$2:$E$201,2,FALSE),""))</f>
        <v/>
      </c>
      <c r="D345" s="114" t="str">
        <f t="array" ref="D345">IF(B345="","",IFERROR(INDEX('Location Master'!$E$2:$E$502, IFERROR(MATCH(B345,'Location Master'!$G$2:$G$502,0), IFERROR(MATCH(B345&amp;" (*",'Location Master'!$G$2:$G$502,0), MATCH(B345&amp;"*",'Location Master'!$G$2:$G$502,0)))), ""))</f>
        <v/>
      </c>
      <c r="E345" s="116"/>
      <c r="F345" s="117"/>
      <c r="G345" s="114" t="str">
        <f>IF(B345="","",IFERROR(VLOOKUP(B345,'Material Master'!$A$2:$E$201,4,FALSE),""))</f>
        <v/>
      </c>
      <c r="H345" s="114"/>
      <c r="I345" s="114"/>
      <c r="J345" s="11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4.0" customHeight="1">
      <c r="A346" s="113"/>
      <c r="B346" s="114"/>
      <c r="C346" s="114" t="str">
        <f>IF(B346="","",IFERROR(VLOOKUP(B346,'Material Master'!$A$2:$E$201,2,FALSE),""))</f>
        <v/>
      </c>
      <c r="D346" s="114" t="str">
        <f t="array" ref="D346">IF(B346="","",IFERROR(INDEX('Location Master'!$E$2:$E$502, IFERROR(MATCH(B346,'Location Master'!$G$2:$G$502,0), IFERROR(MATCH(B346&amp;" (*",'Location Master'!$G$2:$G$502,0), MATCH(B346&amp;"*",'Location Master'!$G$2:$G$502,0)))), ""))</f>
        <v/>
      </c>
      <c r="E346" s="116"/>
      <c r="F346" s="117"/>
      <c r="G346" s="114" t="str">
        <f>IF(B346="","",IFERROR(VLOOKUP(B346,'Material Master'!$A$2:$E$201,4,FALSE),""))</f>
        <v/>
      </c>
      <c r="H346" s="114"/>
      <c r="I346" s="114"/>
      <c r="J346" s="11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4.0" customHeight="1">
      <c r="A347" s="113"/>
      <c r="B347" s="114"/>
      <c r="C347" s="114" t="str">
        <f>IF(B347="","",IFERROR(VLOOKUP(B347,'Material Master'!$A$2:$E$201,2,FALSE),""))</f>
        <v/>
      </c>
      <c r="D347" s="114" t="str">
        <f t="array" ref="D347">IF(B347="","",IFERROR(INDEX('Location Master'!$E$2:$E$502, IFERROR(MATCH(B347,'Location Master'!$G$2:$G$502,0), IFERROR(MATCH(B347&amp;" (*",'Location Master'!$G$2:$G$502,0), MATCH(B347&amp;"*",'Location Master'!$G$2:$G$502,0)))), ""))</f>
        <v/>
      </c>
      <c r="E347" s="116"/>
      <c r="F347" s="117"/>
      <c r="G347" s="114" t="str">
        <f>IF(B347="","",IFERROR(VLOOKUP(B347,'Material Master'!$A$2:$E$201,4,FALSE),""))</f>
        <v/>
      </c>
      <c r="H347" s="114"/>
      <c r="I347" s="114"/>
      <c r="J347" s="11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4.0" customHeight="1">
      <c r="A348" s="113"/>
      <c r="B348" s="114"/>
      <c r="C348" s="114" t="str">
        <f>IF(B348="","",IFERROR(VLOOKUP(B348,'Material Master'!$A$2:$E$201,2,FALSE),""))</f>
        <v/>
      </c>
      <c r="D348" s="114" t="str">
        <f t="array" ref="D348">IF(B348="","",IFERROR(INDEX('Location Master'!$E$2:$E$502, IFERROR(MATCH(B348,'Location Master'!$G$2:$G$502,0), IFERROR(MATCH(B348&amp;" (*",'Location Master'!$G$2:$G$502,0), MATCH(B348&amp;"*",'Location Master'!$G$2:$G$502,0)))), ""))</f>
        <v/>
      </c>
      <c r="E348" s="116"/>
      <c r="F348" s="117"/>
      <c r="G348" s="114" t="str">
        <f>IF(B348="","",IFERROR(VLOOKUP(B348,'Material Master'!$A$2:$E$201,4,FALSE),""))</f>
        <v/>
      </c>
      <c r="H348" s="114"/>
      <c r="I348" s="114"/>
      <c r="J348" s="11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4.0" customHeight="1">
      <c r="A349" s="113"/>
      <c r="B349" s="114"/>
      <c r="C349" s="114" t="str">
        <f>IF(B349="","",IFERROR(VLOOKUP(B349,'Material Master'!$A$2:$E$201,2,FALSE),""))</f>
        <v/>
      </c>
      <c r="D349" s="114" t="str">
        <f t="array" ref="D349">IF(B349="","",IFERROR(INDEX('Location Master'!$E$2:$E$502, IFERROR(MATCH(B349,'Location Master'!$G$2:$G$502,0), IFERROR(MATCH(B349&amp;" (*",'Location Master'!$G$2:$G$502,0), MATCH(B349&amp;"*",'Location Master'!$G$2:$G$502,0)))), ""))</f>
        <v/>
      </c>
      <c r="E349" s="116"/>
      <c r="F349" s="117"/>
      <c r="G349" s="114" t="str">
        <f>IF(B349="","",IFERROR(VLOOKUP(B349,'Material Master'!$A$2:$E$201,4,FALSE),""))</f>
        <v/>
      </c>
      <c r="H349" s="114"/>
      <c r="I349" s="114"/>
      <c r="J349" s="11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4.0" customHeight="1">
      <c r="A350" s="113"/>
      <c r="B350" s="114"/>
      <c r="C350" s="114" t="str">
        <f>IF(B350="","",IFERROR(VLOOKUP(B350,'Material Master'!$A$2:$E$201,2,FALSE),""))</f>
        <v/>
      </c>
      <c r="D350" s="114" t="str">
        <f t="array" ref="D350">IF(B350="","",IFERROR(INDEX('Location Master'!$E$2:$E$502, IFERROR(MATCH(B350,'Location Master'!$G$2:$G$502,0), IFERROR(MATCH(B350&amp;" (*",'Location Master'!$G$2:$G$502,0), MATCH(B350&amp;"*",'Location Master'!$G$2:$G$502,0)))), ""))</f>
        <v/>
      </c>
      <c r="E350" s="116"/>
      <c r="F350" s="117"/>
      <c r="G350" s="114" t="str">
        <f>IF(B350="","",IFERROR(VLOOKUP(B350,'Material Master'!$A$2:$E$201,4,FALSE),""))</f>
        <v/>
      </c>
      <c r="H350" s="114"/>
      <c r="I350" s="114"/>
      <c r="J350" s="11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4.0" customHeight="1">
      <c r="A351" s="113"/>
      <c r="B351" s="114"/>
      <c r="C351" s="114" t="str">
        <f>IF(B351="","",IFERROR(VLOOKUP(B351,'Material Master'!$A$2:$E$201,2,FALSE),""))</f>
        <v/>
      </c>
      <c r="D351" s="114" t="str">
        <f t="array" ref="D351">IF(B351="","",IFERROR(INDEX('Location Master'!$E$2:$E$502, IFERROR(MATCH(B351,'Location Master'!$G$2:$G$502,0), IFERROR(MATCH(B351&amp;" (*",'Location Master'!$G$2:$G$502,0), MATCH(B351&amp;"*",'Location Master'!$G$2:$G$502,0)))), ""))</f>
        <v/>
      </c>
      <c r="E351" s="116"/>
      <c r="F351" s="117"/>
      <c r="G351" s="114" t="str">
        <f>IF(B351="","",IFERROR(VLOOKUP(B351,'Material Master'!$A$2:$E$201,4,FALSE),""))</f>
        <v/>
      </c>
      <c r="H351" s="114"/>
      <c r="I351" s="114"/>
      <c r="J351" s="11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4.0" customHeight="1">
      <c r="A352" s="113"/>
      <c r="B352" s="114"/>
      <c r="C352" s="114" t="str">
        <f>IF(B352="","",IFERROR(VLOOKUP(B352,'Material Master'!$A$2:$E$201,2,FALSE),""))</f>
        <v/>
      </c>
      <c r="D352" s="114" t="str">
        <f t="array" ref="D352">IF(B352="","",IFERROR(INDEX('Location Master'!$E$2:$E$502, IFERROR(MATCH(B352,'Location Master'!$G$2:$G$502,0), IFERROR(MATCH(B352&amp;" (*",'Location Master'!$G$2:$G$502,0), MATCH(B352&amp;"*",'Location Master'!$G$2:$G$502,0)))), ""))</f>
        <v/>
      </c>
      <c r="E352" s="116"/>
      <c r="F352" s="117"/>
      <c r="G352" s="114" t="str">
        <f>IF(B352="","",IFERROR(VLOOKUP(B352,'Material Master'!$A$2:$E$201,4,FALSE),""))</f>
        <v/>
      </c>
      <c r="H352" s="114"/>
      <c r="I352" s="114"/>
      <c r="J352" s="11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4.0" customHeight="1">
      <c r="A353" s="113"/>
      <c r="B353" s="114"/>
      <c r="C353" s="114" t="str">
        <f>IF(B353="","",IFERROR(VLOOKUP(B353,'Material Master'!$A$2:$E$201,2,FALSE),""))</f>
        <v/>
      </c>
      <c r="D353" s="114" t="str">
        <f t="array" ref="D353">IF(B353="","",IFERROR(INDEX('Location Master'!$E$2:$E$502, IFERROR(MATCH(B353,'Location Master'!$G$2:$G$502,0), IFERROR(MATCH(B353&amp;" (*",'Location Master'!$G$2:$G$502,0), MATCH(B353&amp;"*",'Location Master'!$G$2:$G$502,0)))), ""))</f>
        <v/>
      </c>
      <c r="E353" s="116"/>
      <c r="F353" s="117"/>
      <c r="G353" s="114" t="str">
        <f>IF(B353="","",IFERROR(VLOOKUP(B353,'Material Master'!$A$2:$E$201,4,FALSE),""))</f>
        <v/>
      </c>
      <c r="H353" s="114"/>
      <c r="I353" s="114"/>
      <c r="J353" s="11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4.0" customHeight="1">
      <c r="A354" s="113"/>
      <c r="B354" s="114"/>
      <c r="C354" s="114" t="str">
        <f>IF(B354="","",IFERROR(VLOOKUP(B354,'Material Master'!$A$2:$E$201,2,FALSE),""))</f>
        <v/>
      </c>
      <c r="D354" s="114" t="str">
        <f t="array" ref="D354">IF(B354="","",IFERROR(INDEX('Location Master'!$E$2:$E$502, IFERROR(MATCH(B354,'Location Master'!$G$2:$G$502,0), IFERROR(MATCH(B354&amp;" (*",'Location Master'!$G$2:$G$502,0), MATCH(B354&amp;"*",'Location Master'!$G$2:$G$502,0)))), ""))</f>
        <v/>
      </c>
      <c r="E354" s="116"/>
      <c r="F354" s="117"/>
      <c r="G354" s="114" t="str">
        <f>IF(B354="","",IFERROR(VLOOKUP(B354,'Material Master'!$A$2:$E$201,4,FALSE),""))</f>
        <v/>
      </c>
      <c r="H354" s="114"/>
      <c r="I354" s="114"/>
      <c r="J354" s="11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4.0" customHeight="1">
      <c r="A355" s="113"/>
      <c r="B355" s="114"/>
      <c r="C355" s="114" t="str">
        <f>IF(B355="","",IFERROR(VLOOKUP(B355,'Material Master'!$A$2:$E$201,2,FALSE),""))</f>
        <v/>
      </c>
      <c r="D355" s="114" t="str">
        <f t="array" ref="D355">IF(B355="","",IFERROR(INDEX('Location Master'!$E$2:$E$502, IFERROR(MATCH(B355,'Location Master'!$G$2:$G$502,0), IFERROR(MATCH(B355&amp;" (*",'Location Master'!$G$2:$G$502,0), MATCH(B355&amp;"*",'Location Master'!$G$2:$G$502,0)))), ""))</f>
        <v/>
      </c>
      <c r="E355" s="116"/>
      <c r="F355" s="117"/>
      <c r="G355" s="114" t="str">
        <f>IF(B355="","",IFERROR(VLOOKUP(B355,'Material Master'!$A$2:$E$201,4,FALSE),""))</f>
        <v/>
      </c>
      <c r="H355" s="114"/>
      <c r="I355" s="114"/>
      <c r="J355" s="11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4.0" customHeight="1">
      <c r="A356" s="113"/>
      <c r="B356" s="114"/>
      <c r="C356" s="114" t="str">
        <f>IF(B356="","",IFERROR(VLOOKUP(B356,'Material Master'!$A$2:$E$201,2,FALSE),""))</f>
        <v/>
      </c>
      <c r="D356" s="114" t="str">
        <f t="array" ref="D356">IF(B356="","",IFERROR(INDEX('Location Master'!$E$2:$E$502, IFERROR(MATCH(B356,'Location Master'!$G$2:$G$502,0), IFERROR(MATCH(B356&amp;" (*",'Location Master'!$G$2:$G$502,0), MATCH(B356&amp;"*",'Location Master'!$G$2:$G$502,0)))), ""))</f>
        <v/>
      </c>
      <c r="E356" s="116"/>
      <c r="F356" s="117"/>
      <c r="G356" s="114" t="str">
        <f>IF(B356="","",IFERROR(VLOOKUP(B356,'Material Master'!$A$2:$E$201,4,FALSE),""))</f>
        <v/>
      </c>
      <c r="H356" s="114"/>
      <c r="I356" s="114"/>
      <c r="J356" s="11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4.0" customHeight="1">
      <c r="A357" s="113"/>
      <c r="B357" s="114"/>
      <c r="C357" s="114" t="str">
        <f>IF(B357="","",IFERROR(VLOOKUP(B357,'Material Master'!$A$2:$E$201,2,FALSE),""))</f>
        <v/>
      </c>
      <c r="D357" s="114" t="str">
        <f t="array" ref="D357">IF(B357="","",IFERROR(INDEX('Location Master'!$E$2:$E$502, IFERROR(MATCH(B357,'Location Master'!$G$2:$G$502,0), IFERROR(MATCH(B357&amp;" (*",'Location Master'!$G$2:$G$502,0), MATCH(B357&amp;"*",'Location Master'!$G$2:$G$502,0)))), ""))</f>
        <v/>
      </c>
      <c r="E357" s="116"/>
      <c r="F357" s="117"/>
      <c r="G357" s="114" t="str">
        <f>IF(B357="","",IFERROR(VLOOKUP(B357,'Material Master'!$A$2:$E$201,4,FALSE),""))</f>
        <v/>
      </c>
      <c r="H357" s="114"/>
      <c r="I357" s="114"/>
      <c r="J357" s="11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4.0" customHeight="1">
      <c r="A358" s="113"/>
      <c r="B358" s="114"/>
      <c r="C358" s="114" t="str">
        <f>IF(B358="","",IFERROR(VLOOKUP(B358,'Material Master'!$A$2:$E$201,2,FALSE),""))</f>
        <v/>
      </c>
      <c r="D358" s="114" t="str">
        <f t="array" ref="D358">IF(B358="","",IFERROR(INDEX('Location Master'!$E$2:$E$502, IFERROR(MATCH(B358,'Location Master'!$G$2:$G$502,0), IFERROR(MATCH(B358&amp;" (*",'Location Master'!$G$2:$G$502,0), MATCH(B358&amp;"*",'Location Master'!$G$2:$G$502,0)))), ""))</f>
        <v/>
      </c>
      <c r="E358" s="116"/>
      <c r="F358" s="117"/>
      <c r="G358" s="114" t="str">
        <f>IF(B358="","",IFERROR(VLOOKUP(B358,'Material Master'!$A$2:$E$201,4,FALSE),""))</f>
        <v/>
      </c>
      <c r="H358" s="114"/>
      <c r="I358" s="114"/>
      <c r="J358" s="11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4.0" customHeight="1">
      <c r="A359" s="113"/>
      <c r="B359" s="114"/>
      <c r="C359" s="114" t="str">
        <f>IF(B359="","",IFERROR(VLOOKUP(B359,'Material Master'!$A$2:$E$201,2,FALSE),""))</f>
        <v/>
      </c>
      <c r="D359" s="114" t="str">
        <f t="array" ref="D359">IF(B359="","",IFERROR(INDEX('Location Master'!$E$2:$E$502, IFERROR(MATCH(B359,'Location Master'!$G$2:$G$502,0), IFERROR(MATCH(B359&amp;" (*",'Location Master'!$G$2:$G$502,0), MATCH(B359&amp;"*",'Location Master'!$G$2:$G$502,0)))), ""))</f>
        <v/>
      </c>
      <c r="E359" s="116"/>
      <c r="F359" s="117"/>
      <c r="G359" s="114" t="str">
        <f>IF(B359="","",IFERROR(VLOOKUP(B359,'Material Master'!$A$2:$E$201,4,FALSE),""))</f>
        <v/>
      </c>
      <c r="H359" s="114"/>
      <c r="I359" s="114"/>
      <c r="J359" s="11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4.0" customHeight="1">
      <c r="A360" s="113"/>
      <c r="B360" s="114"/>
      <c r="C360" s="114" t="str">
        <f>IF(B360="","",IFERROR(VLOOKUP(B360,'Material Master'!$A$2:$E$201,2,FALSE),""))</f>
        <v/>
      </c>
      <c r="D360" s="114" t="str">
        <f t="array" ref="D360">IF(B360="","",IFERROR(INDEX('Location Master'!$E$2:$E$502, IFERROR(MATCH(B360,'Location Master'!$G$2:$G$502,0), IFERROR(MATCH(B360&amp;" (*",'Location Master'!$G$2:$G$502,0), MATCH(B360&amp;"*",'Location Master'!$G$2:$G$502,0)))), ""))</f>
        <v/>
      </c>
      <c r="E360" s="116"/>
      <c r="F360" s="117"/>
      <c r="G360" s="114" t="str">
        <f>IF(B360="","",IFERROR(VLOOKUP(B360,'Material Master'!$A$2:$E$201,4,FALSE),""))</f>
        <v/>
      </c>
      <c r="H360" s="114"/>
      <c r="I360" s="114"/>
      <c r="J360" s="11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4.0" customHeight="1">
      <c r="A361" s="113"/>
      <c r="B361" s="114"/>
      <c r="C361" s="114" t="str">
        <f>IF(B361="","",IFERROR(VLOOKUP(B361,'Material Master'!$A$2:$E$201,2,FALSE),""))</f>
        <v/>
      </c>
      <c r="D361" s="114" t="str">
        <f t="array" ref="D361">IF(B361="","",IFERROR(INDEX('Location Master'!$E$2:$E$502, IFERROR(MATCH(B361,'Location Master'!$G$2:$G$502,0), IFERROR(MATCH(B361&amp;" (*",'Location Master'!$G$2:$G$502,0), MATCH(B361&amp;"*",'Location Master'!$G$2:$G$502,0)))), ""))</f>
        <v/>
      </c>
      <c r="E361" s="116"/>
      <c r="F361" s="117"/>
      <c r="G361" s="114" t="str">
        <f>IF(B361="","",IFERROR(VLOOKUP(B361,'Material Master'!$A$2:$E$201,4,FALSE),""))</f>
        <v/>
      </c>
      <c r="H361" s="114"/>
      <c r="I361" s="114"/>
      <c r="J361" s="11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4.0" customHeight="1">
      <c r="A362" s="113"/>
      <c r="B362" s="114"/>
      <c r="C362" s="114" t="str">
        <f>IF(B362="","",IFERROR(VLOOKUP(B362,'Material Master'!$A$2:$E$201,2,FALSE),""))</f>
        <v/>
      </c>
      <c r="D362" s="114" t="str">
        <f t="array" ref="D362">IF(B362="","",IFERROR(INDEX('Location Master'!$E$2:$E$502, IFERROR(MATCH(B362,'Location Master'!$G$2:$G$502,0), IFERROR(MATCH(B362&amp;" (*",'Location Master'!$G$2:$G$502,0), MATCH(B362&amp;"*",'Location Master'!$G$2:$G$502,0)))), ""))</f>
        <v/>
      </c>
      <c r="E362" s="116"/>
      <c r="F362" s="117"/>
      <c r="G362" s="114" t="str">
        <f>IF(B362="","",IFERROR(VLOOKUP(B362,'Material Master'!$A$2:$E$201,4,FALSE),""))</f>
        <v/>
      </c>
      <c r="H362" s="114"/>
      <c r="I362" s="114"/>
      <c r="J362" s="1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4.0" customHeight="1">
      <c r="A363" s="113"/>
      <c r="B363" s="114"/>
      <c r="C363" s="114" t="str">
        <f>IF(B363="","",IFERROR(VLOOKUP(B363,'Material Master'!$A$2:$E$201,2,FALSE),""))</f>
        <v/>
      </c>
      <c r="D363" s="114" t="str">
        <f t="array" ref="D363">IF(B363="","",IFERROR(INDEX('Location Master'!$E$2:$E$502, IFERROR(MATCH(B363,'Location Master'!$G$2:$G$502,0), IFERROR(MATCH(B363&amp;" (*",'Location Master'!$G$2:$G$502,0), MATCH(B363&amp;"*",'Location Master'!$G$2:$G$502,0)))), ""))</f>
        <v/>
      </c>
      <c r="E363" s="116"/>
      <c r="F363" s="117"/>
      <c r="G363" s="114" t="str">
        <f>IF(B363="","",IFERROR(VLOOKUP(B363,'Material Master'!$A$2:$E$201,4,FALSE),""))</f>
        <v/>
      </c>
      <c r="H363" s="114"/>
      <c r="I363" s="114"/>
      <c r="J363" s="1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4.0" customHeight="1">
      <c r="A364" s="113"/>
      <c r="B364" s="114"/>
      <c r="C364" s="114" t="str">
        <f>IF(B364="","",IFERROR(VLOOKUP(B364,'Material Master'!$A$2:$E$201,2,FALSE),""))</f>
        <v/>
      </c>
      <c r="D364" s="114" t="str">
        <f t="array" ref="D364">IF(B364="","",IFERROR(INDEX('Location Master'!$E$2:$E$502, IFERROR(MATCH(B364,'Location Master'!$G$2:$G$502,0), IFERROR(MATCH(B364&amp;" (*",'Location Master'!$G$2:$G$502,0), MATCH(B364&amp;"*",'Location Master'!$G$2:$G$502,0)))), ""))</f>
        <v/>
      </c>
      <c r="E364" s="116"/>
      <c r="F364" s="117"/>
      <c r="G364" s="114" t="str">
        <f>IF(B364="","",IFERROR(VLOOKUP(B364,'Material Master'!$A$2:$E$201,4,FALSE),""))</f>
        <v/>
      </c>
      <c r="H364" s="114"/>
      <c r="I364" s="114"/>
      <c r="J364" s="1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4.0" customHeight="1">
      <c r="A365" s="113"/>
      <c r="B365" s="114"/>
      <c r="C365" s="114" t="str">
        <f>IF(B365="","",IFERROR(VLOOKUP(B365,'Material Master'!$A$2:$E$201,2,FALSE),""))</f>
        <v/>
      </c>
      <c r="D365" s="114" t="str">
        <f t="array" ref="D365">IF(B365="","",IFERROR(INDEX('Location Master'!$E$2:$E$502, IFERROR(MATCH(B365,'Location Master'!$G$2:$G$502,0), IFERROR(MATCH(B365&amp;" (*",'Location Master'!$G$2:$G$502,0), MATCH(B365&amp;"*",'Location Master'!$G$2:$G$502,0)))), ""))</f>
        <v/>
      </c>
      <c r="E365" s="116"/>
      <c r="F365" s="117"/>
      <c r="G365" s="114" t="str">
        <f>IF(B365="","",IFERROR(VLOOKUP(B365,'Material Master'!$A$2:$E$201,4,FALSE),""))</f>
        <v/>
      </c>
      <c r="H365" s="114"/>
      <c r="I365" s="114"/>
      <c r="J365" s="1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4.0" customHeight="1">
      <c r="A366" s="113"/>
      <c r="B366" s="114"/>
      <c r="C366" s="114" t="str">
        <f>IF(B366="","",IFERROR(VLOOKUP(B366,'Material Master'!$A$2:$E$201,2,FALSE),""))</f>
        <v/>
      </c>
      <c r="D366" s="114" t="str">
        <f t="array" ref="D366">IF(B366="","",IFERROR(INDEX('Location Master'!$E$2:$E$502, IFERROR(MATCH(B366,'Location Master'!$G$2:$G$502,0), IFERROR(MATCH(B366&amp;" (*",'Location Master'!$G$2:$G$502,0), MATCH(B366&amp;"*",'Location Master'!$G$2:$G$502,0)))), ""))</f>
        <v/>
      </c>
      <c r="E366" s="116"/>
      <c r="F366" s="117"/>
      <c r="G366" s="114" t="str">
        <f>IF(B366="","",IFERROR(VLOOKUP(B366,'Material Master'!$A$2:$E$201,4,FALSE),""))</f>
        <v/>
      </c>
      <c r="H366" s="114"/>
      <c r="I366" s="114"/>
      <c r="J366" s="1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4.0" customHeight="1">
      <c r="A367" s="113"/>
      <c r="B367" s="114"/>
      <c r="C367" s="114" t="str">
        <f>IF(B367="","",IFERROR(VLOOKUP(B367,'Material Master'!$A$2:$E$201,2,FALSE),""))</f>
        <v/>
      </c>
      <c r="D367" s="114" t="str">
        <f t="array" ref="D367">IF(B367="","",IFERROR(INDEX('Location Master'!$E$2:$E$502, IFERROR(MATCH(B367,'Location Master'!$G$2:$G$502,0), IFERROR(MATCH(B367&amp;" (*",'Location Master'!$G$2:$G$502,0), MATCH(B367&amp;"*",'Location Master'!$G$2:$G$502,0)))), ""))</f>
        <v/>
      </c>
      <c r="E367" s="116"/>
      <c r="F367" s="117"/>
      <c r="G367" s="114" t="str">
        <f>IF(B367="","",IFERROR(VLOOKUP(B367,'Material Master'!$A$2:$E$201,4,FALSE),""))</f>
        <v/>
      </c>
      <c r="H367" s="114"/>
      <c r="I367" s="114"/>
      <c r="J367" s="1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4.0" customHeight="1">
      <c r="A368" s="113"/>
      <c r="B368" s="114"/>
      <c r="C368" s="114" t="str">
        <f>IF(B368="","",IFERROR(VLOOKUP(B368,'Material Master'!$A$2:$E$201,2,FALSE),""))</f>
        <v/>
      </c>
      <c r="D368" s="114" t="str">
        <f t="array" ref="D368">IF(B368="","",IFERROR(INDEX('Location Master'!$E$2:$E$502, IFERROR(MATCH(B368,'Location Master'!$G$2:$G$502,0), IFERROR(MATCH(B368&amp;" (*",'Location Master'!$G$2:$G$502,0), MATCH(B368&amp;"*",'Location Master'!$G$2:$G$502,0)))), ""))</f>
        <v/>
      </c>
      <c r="E368" s="116"/>
      <c r="F368" s="117"/>
      <c r="G368" s="114" t="str">
        <f>IF(B368="","",IFERROR(VLOOKUP(B368,'Material Master'!$A$2:$E$201,4,FALSE),""))</f>
        <v/>
      </c>
      <c r="H368" s="114"/>
      <c r="I368" s="114"/>
      <c r="J368" s="1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4.0" customHeight="1">
      <c r="A369" s="113"/>
      <c r="B369" s="114"/>
      <c r="C369" s="114" t="str">
        <f>IF(B369="","",IFERROR(VLOOKUP(B369,'Material Master'!$A$2:$E$201,2,FALSE),""))</f>
        <v/>
      </c>
      <c r="D369" s="114" t="str">
        <f t="array" ref="D369">IF(B369="","",IFERROR(INDEX('Location Master'!$E$2:$E$502, IFERROR(MATCH(B369,'Location Master'!$G$2:$G$502,0), IFERROR(MATCH(B369&amp;" (*",'Location Master'!$G$2:$G$502,0), MATCH(B369&amp;"*",'Location Master'!$G$2:$G$502,0)))), ""))</f>
        <v/>
      </c>
      <c r="E369" s="116"/>
      <c r="F369" s="117"/>
      <c r="G369" s="114" t="str">
        <f>IF(B369="","",IFERROR(VLOOKUP(B369,'Material Master'!$A$2:$E$201,4,FALSE),""))</f>
        <v/>
      </c>
      <c r="H369" s="114"/>
      <c r="I369" s="114"/>
      <c r="J369" s="1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4.0" customHeight="1">
      <c r="A370" s="113"/>
      <c r="B370" s="114"/>
      <c r="C370" s="114" t="str">
        <f>IF(B370="","",IFERROR(VLOOKUP(B370,'Material Master'!$A$2:$E$201,2,FALSE),""))</f>
        <v/>
      </c>
      <c r="D370" s="114" t="str">
        <f t="array" ref="D370">IF(B370="","",IFERROR(INDEX('Location Master'!$E$2:$E$502, IFERROR(MATCH(B370,'Location Master'!$G$2:$G$502,0), IFERROR(MATCH(B370&amp;" (*",'Location Master'!$G$2:$G$502,0), MATCH(B370&amp;"*",'Location Master'!$G$2:$G$502,0)))), ""))</f>
        <v/>
      </c>
      <c r="E370" s="116"/>
      <c r="F370" s="117"/>
      <c r="G370" s="114" t="str">
        <f>IF(B370="","",IFERROR(VLOOKUP(B370,'Material Master'!$A$2:$E$201,4,FALSE),""))</f>
        <v/>
      </c>
      <c r="H370" s="114"/>
      <c r="I370" s="114"/>
      <c r="J370" s="1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4.0" customHeight="1">
      <c r="A371" s="113"/>
      <c r="B371" s="114"/>
      <c r="C371" s="114" t="str">
        <f>IF(B371="","",IFERROR(VLOOKUP(B371,'Material Master'!$A$2:$E$201,2,FALSE),""))</f>
        <v/>
      </c>
      <c r="D371" s="114" t="str">
        <f t="array" ref="D371">IF(B371="","",IFERROR(INDEX('Location Master'!$E$2:$E$502, IFERROR(MATCH(B371,'Location Master'!$G$2:$G$502,0), IFERROR(MATCH(B371&amp;" (*",'Location Master'!$G$2:$G$502,0), MATCH(B371&amp;"*",'Location Master'!$G$2:$G$502,0)))), ""))</f>
        <v/>
      </c>
      <c r="E371" s="116"/>
      <c r="F371" s="117"/>
      <c r="G371" s="114" t="str">
        <f>IF(B371="","",IFERROR(VLOOKUP(B371,'Material Master'!$A$2:$E$201,4,FALSE),""))</f>
        <v/>
      </c>
      <c r="H371" s="114"/>
      <c r="I371" s="114"/>
      <c r="J371" s="1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4.0" customHeight="1">
      <c r="A372" s="113"/>
      <c r="B372" s="114"/>
      <c r="C372" s="114" t="str">
        <f>IF(B372="","",IFERROR(VLOOKUP(B372,'Material Master'!$A$2:$E$201,2,FALSE),""))</f>
        <v/>
      </c>
      <c r="D372" s="114" t="str">
        <f t="array" ref="D372">IF(B372="","",IFERROR(INDEX('Location Master'!$E$2:$E$502, IFERROR(MATCH(B372,'Location Master'!$G$2:$G$502,0), IFERROR(MATCH(B372&amp;" (*",'Location Master'!$G$2:$G$502,0), MATCH(B372&amp;"*",'Location Master'!$G$2:$G$502,0)))), ""))</f>
        <v/>
      </c>
      <c r="E372" s="116"/>
      <c r="F372" s="117"/>
      <c r="G372" s="114" t="str">
        <f>IF(B372="","",IFERROR(VLOOKUP(B372,'Material Master'!$A$2:$E$201,4,FALSE),""))</f>
        <v/>
      </c>
      <c r="H372" s="114"/>
      <c r="I372" s="114"/>
      <c r="J372" s="1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4.0" customHeight="1">
      <c r="A373" s="113"/>
      <c r="B373" s="114"/>
      <c r="C373" s="114" t="str">
        <f>IF(B373="","",IFERROR(VLOOKUP(B373,'Material Master'!$A$2:$E$201,2,FALSE),""))</f>
        <v/>
      </c>
      <c r="D373" s="114" t="str">
        <f t="array" ref="D373">IF(B373="","",IFERROR(INDEX('Location Master'!$E$2:$E$502, IFERROR(MATCH(B373,'Location Master'!$G$2:$G$502,0), IFERROR(MATCH(B373&amp;" (*",'Location Master'!$G$2:$G$502,0), MATCH(B373&amp;"*",'Location Master'!$G$2:$G$502,0)))), ""))</f>
        <v/>
      </c>
      <c r="E373" s="116"/>
      <c r="F373" s="117"/>
      <c r="G373" s="114" t="str">
        <f>IF(B373="","",IFERROR(VLOOKUP(B373,'Material Master'!$A$2:$E$201,4,FALSE),""))</f>
        <v/>
      </c>
      <c r="H373" s="114"/>
      <c r="I373" s="114"/>
      <c r="J373" s="1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4.0" customHeight="1">
      <c r="A374" s="113"/>
      <c r="B374" s="114"/>
      <c r="C374" s="114" t="str">
        <f>IF(B374="","",IFERROR(VLOOKUP(B374,'Material Master'!$A$2:$E$201,2,FALSE),""))</f>
        <v/>
      </c>
      <c r="D374" s="114" t="str">
        <f t="array" ref="D374">IF(B374="","",IFERROR(INDEX('Location Master'!$E$2:$E$502, IFERROR(MATCH(B374,'Location Master'!$G$2:$G$502,0), IFERROR(MATCH(B374&amp;" (*",'Location Master'!$G$2:$G$502,0), MATCH(B374&amp;"*",'Location Master'!$G$2:$G$502,0)))), ""))</f>
        <v/>
      </c>
      <c r="E374" s="116"/>
      <c r="F374" s="117"/>
      <c r="G374" s="114" t="str">
        <f>IF(B374="","",IFERROR(VLOOKUP(B374,'Material Master'!$A$2:$E$201,4,FALSE),""))</f>
        <v/>
      </c>
      <c r="H374" s="114"/>
      <c r="I374" s="114"/>
      <c r="J374" s="1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4.0" customHeight="1">
      <c r="A375" s="113"/>
      <c r="B375" s="114"/>
      <c r="C375" s="114" t="str">
        <f>IF(B375="","",IFERROR(VLOOKUP(B375,'Material Master'!$A$2:$E$201,2,FALSE),""))</f>
        <v/>
      </c>
      <c r="D375" s="114" t="str">
        <f t="array" ref="D375">IF(B375="","",IFERROR(INDEX('Location Master'!$E$2:$E$502, IFERROR(MATCH(B375,'Location Master'!$G$2:$G$502,0), IFERROR(MATCH(B375&amp;" (*",'Location Master'!$G$2:$G$502,0), MATCH(B375&amp;"*",'Location Master'!$G$2:$G$502,0)))), ""))</f>
        <v/>
      </c>
      <c r="E375" s="116"/>
      <c r="F375" s="117"/>
      <c r="G375" s="114" t="str">
        <f>IF(B375="","",IFERROR(VLOOKUP(B375,'Material Master'!$A$2:$E$201,4,FALSE),""))</f>
        <v/>
      </c>
      <c r="H375" s="114"/>
      <c r="I375" s="114"/>
      <c r="J375" s="1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4.0" customHeight="1">
      <c r="A376" s="113"/>
      <c r="B376" s="114"/>
      <c r="C376" s="114" t="str">
        <f>IF(B376="","",IFERROR(VLOOKUP(B376,'Material Master'!$A$2:$E$201,2,FALSE),""))</f>
        <v/>
      </c>
      <c r="D376" s="114" t="str">
        <f t="array" ref="D376">IF(B376="","",IFERROR(INDEX('Location Master'!$E$2:$E$502, IFERROR(MATCH(B376,'Location Master'!$G$2:$G$502,0), IFERROR(MATCH(B376&amp;" (*",'Location Master'!$G$2:$G$502,0), MATCH(B376&amp;"*",'Location Master'!$G$2:$G$502,0)))), ""))</f>
        <v/>
      </c>
      <c r="E376" s="116"/>
      <c r="F376" s="117"/>
      <c r="G376" s="114" t="str">
        <f>IF(B376="","",IFERROR(VLOOKUP(B376,'Material Master'!$A$2:$E$201,4,FALSE),""))</f>
        <v/>
      </c>
      <c r="H376" s="114"/>
      <c r="I376" s="114"/>
      <c r="J376" s="1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4.0" customHeight="1">
      <c r="A377" s="113"/>
      <c r="B377" s="114"/>
      <c r="C377" s="114" t="str">
        <f>IF(B377="","",IFERROR(VLOOKUP(B377,'Material Master'!$A$2:$E$201,2,FALSE),""))</f>
        <v/>
      </c>
      <c r="D377" s="114" t="str">
        <f t="array" ref="D377">IF(B377="","",IFERROR(INDEX('Location Master'!$E$2:$E$502, IFERROR(MATCH(B377,'Location Master'!$G$2:$G$502,0), IFERROR(MATCH(B377&amp;" (*",'Location Master'!$G$2:$G$502,0), MATCH(B377&amp;"*",'Location Master'!$G$2:$G$502,0)))), ""))</f>
        <v/>
      </c>
      <c r="E377" s="116"/>
      <c r="F377" s="117"/>
      <c r="G377" s="114" t="str">
        <f>IF(B377="","",IFERROR(VLOOKUP(B377,'Material Master'!$A$2:$E$201,4,FALSE),""))</f>
        <v/>
      </c>
      <c r="H377" s="114"/>
      <c r="I377" s="114"/>
      <c r="J377" s="1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4.0" customHeight="1">
      <c r="A378" s="113"/>
      <c r="B378" s="114"/>
      <c r="C378" s="114" t="str">
        <f>IF(B378="","",IFERROR(VLOOKUP(B378,'Material Master'!$A$2:$E$201,2,FALSE),""))</f>
        <v/>
      </c>
      <c r="D378" s="114" t="str">
        <f t="array" ref="D378">IF(B378="","",IFERROR(INDEX('Location Master'!$E$2:$E$502, IFERROR(MATCH(B378,'Location Master'!$G$2:$G$502,0), IFERROR(MATCH(B378&amp;" (*",'Location Master'!$G$2:$G$502,0), MATCH(B378&amp;"*",'Location Master'!$G$2:$G$502,0)))), ""))</f>
        <v/>
      </c>
      <c r="E378" s="116"/>
      <c r="F378" s="117"/>
      <c r="G378" s="114" t="str">
        <f>IF(B378="","",IFERROR(VLOOKUP(B378,'Material Master'!$A$2:$E$201,4,FALSE),""))</f>
        <v/>
      </c>
      <c r="H378" s="114"/>
      <c r="I378" s="114"/>
      <c r="J378" s="1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4.0" customHeight="1">
      <c r="A379" s="113"/>
      <c r="B379" s="114"/>
      <c r="C379" s="114" t="str">
        <f>IF(B379="","",IFERROR(VLOOKUP(B379,'Material Master'!$A$2:$E$201,2,FALSE),""))</f>
        <v/>
      </c>
      <c r="D379" s="114" t="str">
        <f t="array" ref="D379">IF(B379="","",IFERROR(INDEX('Location Master'!$E$2:$E$502, IFERROR(MATCH(B379,'Location Master'!$G$2:$G$502,0), IFERROR(MATCH(B379&amp;" (*",'Location Master'!$G$2:$G$502,0), MATCH(B379&amp;"*",'Location Master'!$G$2:$G$502,0)))), ""))</f>
        <v/>
      </c>
      <c r="E379" s="116"/>
      <c r="F379" s="117"/>
      <c r="G379" s="114" t="str">
        <f>IF(B379="","",IFERROR(VLOOKUP(B379,'Material Master'!$A$2:$E$201,4,FALSE),""))</f>
        <v/>
      </c>
      <c r="H379" s="114"/>
      <c r="I379" s="114"/>
      <c r="J379" s="1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4.0" customHeight="1">
      <c r="A380" s="113"/>
      <c r="B380" s="114"/>
      <c r="C380" s="114" t="str">
        <f>IF(B380="","",IFERROR(VLOOKUP(B380,'Material Master'!$A$2:$E$201,2,FALSE),""))</f>
        <v/>
      </c>
      <c r="D380" s="114" t="str">
        <f t="array" ref="D380">IF(B380="","",IFERROR(INDEX('Location Master'!$E$2:$E$502, IFERROR(MATCH(B380,'Location Master'!$G$2:$G$502,0), IFERROR(MATCH(B380&amp;" (*",'Location Master'!$G$2:$G$502,0), MATCH(B380&amp;"*",'Location Master'!$G$2:$G$502,0)))), ""))</f>
        <v/>
      </c>
      <c r="E380" s="116"/>
      <c r="F380" s="117"/>
      <c r="G380" s="114" t="str">
        <f>IF(B380="","",IFERROR(VLOOKUP(B380,'Material Master'!$A$2:$E$201,4,FALSE),""))</f>
        <v/>
      </c>
      <c r="H380" s="114"/>
      <c r="I380" s="114"/>
      <c r="J380" s="1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4.0" customHeight="1">
      <c r="A381" s="113"/>
      <c r="B381" s="114"/>
      <c r="C381" s="114" t="str">
        <f>IF(B381="","",IFERROR(VLOOKUP(B381,'Material Master'!$A$2:$E$201,2,FALSE),""))</f>
        <v/>
      </c>
      <c r="D381" s="114" t="str">
        <f t="array" ref="D381">IF(B381="","",IFERROR(INDEX('Location Master'!$E$2:$E$502, IFERROR(MATCH(B381,'Location Master'!$G$2:$G$502,0), IFERROR(MATCH(B381&amp;" (*",'Location Master'!$G$2:$G$502,0), MATCH(B381&amp;"*",'Location Master'!$G$2:$G$502,0)))), ""))</f>
        <v/>
      </c>
      <c r="E381" s="116"/>
      <c r="F381" s="117"/>
      <c r="G381" s="114" t="str">
        <f>IF(B381="","",IFERROR(VLOOKUP(B381,'Material Master'!$A$2:$E$201,4,FALSE),""))</f>
        <v/>
      </c>
      <c r="H381" s="114"/>
      <c r="I381" s="114"/>
      <c r="J381" s="1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4.0" customHeight="1">
      <c r="A382" s="113"/>
      <c r="B382" s="114"/>
      <c r="C382" s="114" t="str">
        <f>IF(B382="","",IFERROR(VLOOKUP(B382,'Material Master'!$A$2:$E$201,2,FALSE),""))</f>
        <v/>
      </c>
      <c r="D382" s="114" t="str">
        <f t="array" ref="D382">IF(B382="","",IFERROR(INDEX('Location Master'!$E$2:$E$502, IFERROR(MATCH(B382,'Location Master'!$G$2:$G$502,0), IFERROR(MATCH(B382&amp;" (*",'Location Master'!$G$2:$G$502,0), MATCH(B382&amp;"*",'Location Master'!$G$2:$G$502,0)))), ""))</f>
        <v/>
      </c>
      <c r="E382" s="116"/>
      <c r="F382" s="117"/>
      <c r="G382" s="114" t="str">
        <f>IF(B382="","",IFERROR(VLOOKUP(B382,'Material Master'!$A$2:$E$201,4,FALSE),""))</f>
        <v/>
      </c>
      <c r="H382" s="114"/>
      <c r="I382" s="114"/>
      <c r="J382" s="1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4.0" customHeight="1">
      <c r="A383" s="113"/>
      <c r="B383" s="114"/>
      <c r="C383" s="114" t="str">
        <f>IF(B383="","",IFERROR(VLOOKUP(B383,'Material Master'!$A$2:$E$201,2,FALSE),""))</f>
        <v/>
      </c>
      <c r="D383" s="114" t="str">
        <f t="array" ref="D383">IF(B383="","",IFERROR(INDEX('Location Master'!$E$2:$E$502, IFERROR(MATCH(B383,'Location Master'!$G$2:$G$502,0), IFERROR(MATCH(B383&amp;" (*",'Location Master'!$G$2:$G$502,0), MATCH(B383&amp;"*",'Location Master'!$G$2:$G$502,0)))), ""))</f>
        <v/>
      </c>
      <c r="E383" s="116"/>
      <c r="F383" s="117"/>
      <c r="G383" s="114" t="str">
        <f>IF(B383="","",IFERROR(VLOOKUP(B383,'Material Master'!$A$2:$E$201,4,FALSE),""))</f>
        <v/>
      </c>
      <c r="H383" s="114"/>
      <c r="I383" s="114"/>
      <c r="J383" s="1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4.0" customHeight="1">
      <c r="A384" s="113"/>
      <c r="B384" s="114"/>
      <c r="C384" s="114" t="str">
        <f>IF(B384="","",IFERROR(VLOOKUP(B384,'Material Master'!$A$2:$E$201,2,FALSE),""))</f>
        <v/>
      </c>
      <c r="D384" s="114" t="str">
        <f t="array" ref="D384">IF(B384="","",IFERROR(INDEX('Location Master'!$E$2:$E$502, IFERROR(MATCH(B384,'Location Master'!$G$2:$G$502,0), IFERROR(MATCH(B384&amp;" (*",'Location Master'!$G$2:$G$502,0), MATCH(B384&amp;"*",'Location Master'!$G$2:$G$502,0)))), ""))</f>
        <v/>
      </c>
      <c r="E384" s="116"/>
      <c r="F384" s="117"/>
      <c r="G384" s="114" t="str">
        <f>IF(B384="","",IFERROR(VLOOKUP(B384,'Material Master'!$A$2:$E$201,4,FALSE),""))</f>
        <v/>
      </c>
      <c r="H384" s="114"/>
      <c r="I384" s="114"/>
      <c r="J384" s="1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4.0" customHeight="1">
      <c r="A385" s="113"/>
      <c r="B385" s="114"/>
      <c r="C385" s="114" t="str">
        <f>IF(B385="","",IFERROR(VLOOKUP(B385,'Material Master'!$A$2:$E$201,2,FALSE),""))</f>
        <v/>
      </c>
      <c r="D385" s="114" t="str">
        <f t="array" ref="D385">IF(B385="","",IFERROR(INDEX('Location Master'!$E$2:$E$502, IFERROR(MATCH(B385,'Location Master'!$G$2:$G$502,0), IFERROR(MATCH(B385&amp;" (*",'Location Master'!$G$2:$G$502,0), MATCH(B385&amp;"*",'Location Master'!$G$2:$G$502,0)))), ""))</f>
        <v/>
      </c>
      <c r="E385" s="116"/>
      <c r="F385" s="117"/>
      <c r="G385" s="114" t="str">
        <f>IF(B385="","",IFERROR(VLOOKUP(B385,'Material Master'!$A$2:$E$201,4,FALSE),""))</f>
        <v/>
      </c>
      <c r="H385" s="114"/>
      <c r="I385" s="114"/>
      <c r="J385" s="1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4.0" customHeight="1">
      <c r="A386" s="113"/>
      <c r="B386" s="114"/>
      <c r="C386" s="114" t="str">
        <f>IF(B386="","",IFERROR(VLOOKUP(B386,'Material Master'!$A$2:$E$201,2,FALSE),""))</f>
        <v/>
      </c>
      <c r="D386" s="114" t="str">
        <f t="array" ref="D386">IF(B386="","",IFERROR(INDEX('Location Master'!$E$2:$E$502, IFERROR(MATCH(B386,'Location Master'!$G$2:$G$502,0), IFERROR(MATCH(B386&amp;" (*",'Location Master'!$G$2:$G$502,0), MATCH(B386&amp;"*",'Location Master'!$G$2:$G$502,0)))), ""))</f>
        <v/>
      </c>
      <c r="E386" s="116"/>
      <c r="F386" s="117"/>
      <c r="G386" s="114" t="str">
        <f>IF(B386="","",IFERROR(VLOOKUP(B386,'Material Master'!$A$2:$E$201,4,FALSE),""))</f>
        <v/>
      </c>
      <c r="H386" s="114"/>
      <c r="I386" s="114"/>
      <c r="J386" s="1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4.0" customHeight="1">
      <c r="A387" s="113"/>
      <c r="B387" s="114"/>
      <c r="C387" s="114" t="str">
        <f>IF(B387="","",IFERROR(VLOOKUP(B387,'Material Master'!$A$2:$E$201,2,FALSE),""))</f>
        <v/>
      </c>
      <c r="D387" s="114" t="str">
        <f t="array" ref="D387">IF(B387="","",IFERROR(INDEX('Location Master'!$E$2:$E$502, IFERROR(MATCH(B387,'Location Master'!$G$2:$G$502,0), IFERROR(MATCH(B387&amp;" (*",'Location Master'!$G$2:$G$502,0), MATCH(B387&amp;"*",'Location Master'!$G$2:$G$502,0)))), ""))</f>
        <v/>
      </c>
      <c r="E387" s="116"/>
      <c r="F387" s="117"/>
      <c r="G387" s="114" t="str">
        <f>IF(B387="","",IFERROR(VLOOKUP(B387,'Material Master'!$A$2:$E$201,4,FALSE),""))</f>
        <v/>
      </c>
      <c r="H387" s="114"/>
      <c r="I387" s="114"/>
      <c r="J387" s="1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4.0" customHeight="1">
      <c r="A388" s="113"/>
      <c r="B388" s="114"/>
      <c r="C388" s="114" t="str">
        <f>IF(B388="","",IFERROR(VLOOKUP(B388,'Material Master'!$A$2:$E$201,2,FALSE),""))</f>
        <v/>
      </c>
      <c r="D388" s="114" t="str">
        <f t="array" ref="D388">IF(B388="","",IFERROR(INDEX('Location Master'!$E$2:$E$502, IFERROR(MATCH(B388,'Location Master'!$G$2:$G$502,0), IFERROR(MATCH(B388&amp;" (*",'Location Master'!$G$2:$G$502,0), MATCH(B388&amp;"*",'Location Master'!$G$2:$G$502,0)))), ""))</f>
        <v/>
      </c>
      <c r="E388" s="116"/>
      <c r="F388" s="117"/>
      <c r="G388" s="114" t="str">
        <f>IF(B388="","",IFERROR(VLOOKUP(B388,'Material Master'!$A$2:$E$201,4,FALSE),""))</f>
        <v/>
      </c>
      <c r="H388" s="114"/>
      <c r="I388" s="114"/>
      <c r="J388" s="1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4.0" customHeight="1">
      <c r="A389" s="113"/>
      <c r="B389" s="114"/>
      <c r="C389" s="114" t="str">
        <f>IF(B389="","",IFERROR(VLOOKUP(B389,'Material Master'!$A$2:$E$201,2,FALSE),""))</f>
        <v/>
      </c>
      <c r="D389" s="114" t="str">
        <f t="array" ref="D389">IF(B389="","",IFERROR(INDEX('Location Master'!$E$2:$E$502, IFERROR(MATCH(B389,'Location Master'!$G$2:$G$502,0), IFERROR(MATCH(B389&amp;" (*",'Location Master'!$G$2:$G$502,0), MATCH(B389&amp;"*",'Location Master'!$G$2:$G$502,0)))), ""))</f>
        <v/>
      </c>
      <c r="E389" s="116"/>
      <c r="F389" s="117"/>
      <c r="G389" s="114" t="str">
        <f>IF(B389="","",IFERROR(VLOOKUP(B389,'Material Master'!$A$2:$E$201,4,FALSE),""))</f>
        <v/>
      </c>
      <c r="H389" s="114"/>
      <c r="I389" s="114"/>
      <c r="J389" s="1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4.0" customHeight="1">
      <c r="A390" s="113"/>
      <c r="B390" s="114"/>
      <c r="C390" s="114" t="str">
        <f>IF(B390="","",IFERROR(VLOOKUP(B390,'Material Master'!$A$2:$E$201,2,FALSE),""))</f>
        <v/>
      </c>
      <c r="D390" s="114" t="str">
        <f t="array" ref="D390">IF(B390="","",IFERROR(INDEX('Location Master'!$E$2:$E$502, IFERROR(MATCH(B390,'Location Master'!$G$2:$G$502,0), IFERROR(MATCH(B390&amp;" (*",'Location Master'!$G$2:$G$502,0), MATCH(B390&amp;"*",'Location Master'!$G$2:$G$502,0)))), ""))</f>
        <v/>
      </c>
      <c r="E390" s="116"/>
      <c r="F390" s="117"/>
      <c r="G390" s="114" t="str">
        <f>IF(B390="","",IFERROR(VLOOKUP(B390,'Material Master'!$A$2:$E$201,4,FALSE),""))</f>
        <v/>
      </c>
      <c r="H390" s="114"/>
      <c r="I390" s="114"/>
      <c r="J390" s="1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4.0" customHeight="1">
      <c r="A391" s="113"/>
      <c r="B391" s="114"/>
      <c r="C391" s="114" t="str">
        <f>IF(B391="","",IFERROR(VLOOKUP(B391,'Material Master'!$A$2:$E$201,2,FALSE),""))</f>
        <v/>
      </c>
      <c r="D391" s="114" t="str">
        <f t="array" ref="D391">IF(B391="","",IFERROR(INDEX('Location Master'!$E$2:$E$502, IFERROR(MATCH(B391,'Location Master'!$G$2:$G$502,0), IFERROR(MATCH(B391&amp;" (*",'Location Master'!$G$2:$G$502,0), MATCH(B391&amp;"*",'Location Master'!$G$2:$G$502,0)))), ""))</f>
        <v/>
      </c>
      <c r="E391" s="116"/>
      <c r="F391" s="117"/>
      <c r="G391" s="114" t="str">
        <f>IF(B391="","",IFERROR(VLOOKUP(B391,'Material Master'!$A$2:$E$201,4,FALSE),""))</f>
        <v/>
      </c>
      <c r="H391" s="114"/>
      <c r="I391" s="114"/>
      <c r="J391" s="1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4.0" customHeight="1">
      <c r="A392" s="113"/>
      <c r="B392" s="114"/>
      <c r="C392" s="114" t="str">
        <f>IF(B392="","",IFERROR(VLOOKUP(B392,'Material Master'!$A$2:$E$201,2,FALSE),""))</f>
        <v/>
      </c>
      <c r="D392" s="114" t="str">
        <f t="array" ref="D392">IF(B392="","",IFERROR(INDEX('Location Master'!$E$2:$E$502, IFERROR(MATCH(B392,'Location Master'!$G$2:$G$502,0), IFERROR(MATCH(B392&amp;" (*",'Location Master'!$G$2:$G$502,0), MATCH(B392&amp;"*",'Location Master'!$G$2:$G$502,0)))), ""))</f>
        <v/>
      </c>
      <c r="E392" s="116"/>
      <c r="F392" s="117"/>
      <c r="G392" s="114" t="str">
        <f>IF(B392="","",IFERROR(VLOOKUP(B392,'Material Master'!$A$2:$E$201,4,FALSE),""))</f>
        <v/>
      </c>
      <c r="H392" s="114"/>
      <c r="I392" s="114"/>
      <c r="J392" s="1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4.0" customHeight="1">
      <c r="A393" s="113"/>
      <c r="B393" s="114"/>
      <c r="C393" s="114" t="str">
        <f>IF(B393="","",IFERROR(VLOOKUP(B393,'Material Master'!$A$2:$E$201,2,FALSE),""))</f>
        <v/>
      </c>
      <c r="D393" s="114" t="str">
        <f t="array" ref="D393">IF(B393="","",IFERROR(INDEX('Location Master'!$E$2:$E$502, IFERROR(MATCH(B393,'Location Master'!$G$2:$G$502,0), IFERROR(MATCH(B393&amp;" (*",'Location Master'!$G$2:$G$502,0), MATCH(B393&amp;"*",'Location Master'!$G$2:$G$502,0)))), ""))</f>
        <v/>
      </c>
      <c r="E393" s="116"/>
      <c r="F393" s="117"/>
      <c r="G393" s="114" t="str">
        <f>IF(B393="","",IFERROR(VLOOKUP(B393,'Material Master'!$A$2:$E$201,4,FALSE),""))</f>
        <v/>
      </c>
      <c r="H393" s="114"/>
      <c r="I393" s="114"/>
      <c r="J393" s="1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4.0" customHeight="1">
      <c r="A394" s="113"/>
      <c r="B394" s="114"/>
      <c r="C394" s="114" t="str">
        <f>IF(B394="","",IFERROR(VLOOKUP(B394,'Material Master'!$A$2:$E$201,2,FALSE),""))</f>
        <v/>
      </c>
      <c r="D394" s="114" t="str">
        <f t="array" ref="D394">IF(B394="","",IFERROR(INDEX('Location Master'!$E$2:$E$502, IFERROR(MATCH(B394,'Location Master'!$G$2:$G$502,0), IFERROR(MATCH(B394&amp;" (*",'Location Master'!$G$2:$G$502,0), MATCH(B394&amp;"*",'Location Master'!$G$2:$G$502,0)))), ""))</f>
        <v/>
      </c>
      <c r="E394" s="116"/>
      <c r="F394" s="117"/>
      <c r="G394" s="114" t="str">
        <f>IF(B394="","",IFERROR(VLOOKUP(B394,'Material Master'!$A$2:$E$201,4,FALSE),""))</f>
        <v/>
      </c>
      <c r="H394" s="114"/>
      <c r="I394" s="114"/>
      <c r="J394" s="1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4.0" customHeight="1">
      <c r="A395" s="113"/>
      <c r="B395" s="114"/>
      <c r="C395" s="114" t="str">
        <f>IF(B395="","",IFERROR(VLOOKUP(B395,'Material Master'!$A$2:$E$201,2,FALSE),""))</f>
        <v/>
      </c>
      <c r="D395" s="114" t="str">
        <f t="array" ref="D395">IF(B395="","",IFERROR(INDEX('Location Master'!$E$2:$E$502, IFERROR(MATCH(B395,'Location Master'!$G$2:$G$502,0), IFERROR(MATCH(B395&amp;" (*",'Location Master'!$G$2:$G$502,0), MATCH(B395&amp;"*",'Location Master'!$G$2:$G$502,0)))), ""))</f>
        <v/>
      </c>
      <c r="E395" s="116"/>
      <c r="F395" s="117"/>
      <c r="G395" s="114" t="str">
        <f>IF(B395="","",IFERROR(VLOOKUP(B395,'Material Master'!$A$2:$E$201,4,FALSE),""))</f>
        <v/>
      </c>
      <c r="H395" s="114"/>
      <c r="I395" s="114"/>
      <c r="J395" s="1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4.0" customHeight="1">
      <c r="A396" s="113"/>
      <c r="B396" s="114"/>
      <c r="C396" s="114" t="str">
        <f>IF(B396="","",IFERROR(VLOOKUP(B396,'Material Master'!$A$2:$E$201,2,FALSE),""))</f>
        <v/>
      </c>
      <c r="D396" s="114" t="str">
        <f t="array" ref="D396">IF(B396="","",IFERROR(INDEX('Location Master'!$E$2:$E$502, IFERROR(MATCH(B396,'Location Master'!$G$2:$G$502,0), IFERROR(MATCH(B396&amp;" (*",'Location Master'!$G$2:$G$502,0), MATCH(B396&amp;"*",'Location Master'!$G$2:$G$502,0)))), ""))</f>
        <v/>
      </c>
      <c r="E396" s="116"/>
      <c r="F396" s="117"/>
      <c r="G396" s="114" t="str">
        <f>IF(B396="","",IFERROR(VLOOKUP(B396,'Material Master'!$A$2:$E$201,4,FALSE),""))</f>
        <v/>
      </c>
      <c r="H396" s="114"/>
      <c r="I396" s="114"/>
      <c r="J396" s="1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4.0" customHeight="1">
      <c r="A397" s="113"/>
      <c r="B397" s="114"/>
      <c r="C397" s="114" t="str">
        <f>IF(B397="","",IFERROR(VLOOKUP(B397,'Material Master'!$A$2:$E$201,2,FALSE),""))</f>
        <v/>
      </c>
      <c r="D397" s="114" t="str">
        <f t="array" ref="D397">IF(B397="","",IFERROR(INDEX('Location Master'!$E$2:$E$502, IFERROR(MATCH(B397,'Location Master'!$G$2:$G$502,0), IFERROR(MATCH(B397&amp;" (*",'Location Master'!$G$2:$G$502,0), MATCH(B397&amp;"*",'Location Master'!$G$2:$G$502,0)))), ""))</f>
        <v/>
      </c>
      <c r="E397" s="116"/>
      <c r="F397" s="117"/>
      <c r="G397" s="114" t="str">
        <f>IF(B397="","",IFERROR(VLOOKUP(B397,'Material Master'!$A$2:$E$201,4,FALSE),""))</f>
        <v/>
      </c>
      <c r="H397" s="114"/>
      <c r="I397" s="114"/>
      <c r="J397" s="1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4.0" customHeight="1">
      <c r="A398" s="113"/>
      <c r="B398" s="114"/>
      <c r="C398" s="114" t="str">
        <f>IF(B398="","",IFERROR(VLOOKUP(B398,'Material Master'!$A$2:$E$201,2,FALSE),""))</f>
        <v/>
      </c>
      <c r="D398" s="114" t="str">
        <f t="array" ref="D398">IF(B398="","",IFERROR(INDEX('Location Master'!$E$2:$E$502, IFERROR(MATCH(B398,'Location Master'!$G$2:$G$502,0), IFERROR(MATCH(B398&amp;" (*",'Location Master'!$G$2:$G$502,0), MATCH(B398&amp;"*",'Location Master'!$G$2:$G$502,0)))), ""))</f>
        <v/>
      </c>
      <c r="E398" s="116"/>
      <c r="F398" s="117"/>
      <c r="G398" s="114" t="str">
        <f>IF(B398="","",IFERROR(VLOOKUP(B398,'Material Master'!$A$2:$E$201,4,FALSE),""))</f>
        <v/>
      </c>
      <c r="H398" s="114"/>
      <c r="I398" s="114"/>
      <c r="J398" s="1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4.0" customHeight="1">
      <c r="A399" s="113"/>
      <c r="B399" s="114"/>
      <c r="C399" s="114" t="str">
        <f>IF(B399="","",IFERROR(VLOOKUP(B399,'Material Master'!$A$2:$E$201,2,FALSE),""))</f>
        <v/>
      </c>
      <c r="D399" s="114" t="str">
        <f t="array" ref="D399">IF(B399="","",IFERROR(INDEX('Location Master'!$E$2:$E$502, IFERROR(MATCH(B399,'Location Master'!$G$2:$G$502,0), IFERROR(MATCH(B399&amp;" (*",'Location Master'!$G$2:$G$502,0), MATCH(B399&amp;"*",'Location Master'!$G$2:$G$502,0)))), ""))</f>
        <v/>
      </c>
      <c r="E399" s="116"/>
      <c r="F399" s="117"/>
      <c r="G399" s="114" t="str">
        <f>IF(B399="","",IFERROR(VLOOKUP(B399,'Material Master'!$A$2:$E$201,4,FALSE),""))</f>
        <v/>
      </c>
      <c r="H399" s="114"/>
      <c r="I399" s="114"/>
      <c r="J399" s="1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4.0" customHeight="1">
      <c r="A400" s="113"/>
      <c r="B400" s="114"/>
      <c r="C400" s="114" t="str">
        <f>IF(B400="","",IFERROR(VLOOKUP(B400,'Material Master'!$A$2:$E$201,2,FALSE),""))</f>
        <v/>
      </c>
      <c r="D400" s="114" t="str">
        <f t="array" ref="D400">IF(B400="","",IFERROR(INDEX('Location Master'!$E$2:$E$502, IFERROR(MATCH(B400,'Location Master'!$G$2:$G$502,0), IFERROR(MATCH(B400&amp;" (*",'Location Master'!$G$2:$G$502,0), MATCH(B400&amp;"*",'Location Master'!$G$2:$G$502,0)))), ""))</f>
        <v/>
      </c>
      <c r="E400" s="116"/>
      <c r="F400" s="117"/>
      <c r="G400" s="114" t="str">
        <f>IF(B400="","",IFERROR(VLOOKUP(B400,'Material Master'!$A$2:$E$201,4,FALSE),""))</f>
        <v/>
      </c>
      <c r="H400" s="114"/>
      <c r="I400" s="114"/>
      <c r="J400" s="1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4.0" customHeight="1">
      <c r="A401" s="113"/>
      <c r="B401" s="114"/>
      <c r="C401" s="114" t="str">
        <f>IF(B401="","",IFERROR(VLOOKUP(B401,'Material Master'!$A$2:$E$201,2,FALSE),""))</f>
        <v/>
      </c>
      <c r="D401" s="114" t="str">
        <f t="array" ref="D401">IF(B401="","",IFERROR(INDEX('Location Master'!$E$2:$E$502, IFERROR(MATCH(B401,'Location Master'!$G$2:$G$502,0), IFERROR(MATCH(B401&amp;" (*",'Location Master'!$G$2:$G$502,0), MATCH(B401&amp;"*",'Location Master'!$G$2:$G$502,0)))), ""))</f>
        <v/>
      </c>
      <c r="E401" s="116"/>
      <c r="F401" s="117"/>
      <c r="G401" s="114" t="str">
        <f>IF(B401="","",IFERROR(VLOOKUP(B401,'Material Master'!$A$2:$E$201,4,FALSE),""))</f>
        <v/>
      </c>
      <c r="H401" s="114"/>
      <c r="I401" s="114"/>
      <c r="J401" s="1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4.0" customHeight="1">
      <c r="A402" s="113"/>
      <c r="B402" s="114"/>
      <c r="C402" s="114" t="str">
        <f>IF(B402="","",IFERROR(VLOOKUP(B402,'Material Master'!$A$2:$E$201,2,FALSE),""))</f>
        <v/>
      </c>
      <c r="D402" s="114" t="str">
        <f t="array" ref="D402">IF(B402="","",IFERROR(INDEX('Location Master'!$E$2:$E$502, IFERROR(MATCH(B402,'Location Master'!$G$2:$G$502,0), IFERROR(MATCH(B402&amp;" (*",'Location Master'!$G$2:$G$502,0), MATCH(B402&amp;"*",'Location Master'!$G$2:$G$502,0)))), ""))</f>
        <v/>
      </c>
      <c r="E402" s="116"/>
      <c r="F402" s="117"/>
      <c r="G402" s="114" t="str">
        <f>IF(B402="","",IFERROR(VLOOKUP(B402,'Material Master'!$A$2:$E$201,4,FALSE),""))</f>
        <v/>
      </c>
      <c r="H402" s="114"/>
      <c r="I402" s="114"/>
      <c r="J402" s="1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4.0" customHeight="1">
      <c r="A403" s="113"/>
      <c r="B403" s="114"/>
      <c r="C403" s="114" t="str">
        <f>IF(B403="","",IFERROR(VLOOKUP(B403,'Material Master'!$A$2:$E$201,2,FALSE),""))</f>
        <v/>
      </c>
      <c r="D403" s="114" t="str">
        <f t="array" ref="D403">IF(B403="","",IFERROR(INDEX('Location Master'!$E$2:$E$502, IFERROR(MATCH(B403,'Location Master'!$G$2:$G$502,0), IFERROR(MATCH(B403&amp;" (*",'Location Master'!$G$2:$G$502,0), MATCH(B403&amp;"*",'Location Master'!$G$2:$G$502,0)))), ""))</f>
        <v/>
      </c>
      <c r="E403" s="116"/>
      <c r="F403" s="117"/>
      <c r="G403" s="114" t="str">
        <f>IF(B403="","",IFERROR(VLOOKUP(B403,'Material Master'!$A$2:$E$201,4,FALSE),""))</f>
        <v/>
      </c>
      <c r="H403" s="114"/>
      <c r="I403" s="114"/>
      <c r="J403" s="1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4.0" customHeight="1">
      <c r="A404" s="113"/>
      <c r="B404" s="114"/>
      <c r="C404" s="114" t="str">
        <f>IF(B404="","",IFERROR(VLOOKUP(B404,'Material Master'!$A$2:$E$201,2,FALSE),""))</f>
        <v/>
      </c>
      <c r="D404" s="114" t="str">
        <f t="array" ref="D404">IF(B404="","",IFERROR(INDEX('Location Master'!$E$2:$E$502, IFERROR(MATCH(B404,'Location Master'!$G$2:$G$502,0), IFERROR(MATCH(B404&amp;" (*",'Location Master'!$G$2:$G$502,0), MATCH(B404&amp;"*",'Location Master'!$G$2:$G$502,0)))), ""))</f>
        <v/>
      </c>
      <c r="E404" s="116"/>
      <c r="F404" s="117"/>
      <c r="G404" s="114" t="str">
        <f>IF(B404="","",IFERROR(VLOOKUP(B404,'Material Master'!$A$2:$E$201,4,FALSE),""))</f>
        <v/>
      </c>
      <c r="H404" s="114"/>
      <c r="I404" s="114"/>
      <c r="J404" s="1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4.0" customHeight="1">
      <c r="A405" s="113"/>
      <c r="B405" s="114"/>
      <c r="C405" s="114" t="str">
        <f>IF(B405="","",IFERROR(VLOOKUP(B405,'Material Master'!$A$2:$E$201,2,FALSE),""))</f>
        <v/>
      </c>
      <c r="D405" s="114" t="str">
        <f t="array" ref="D405">IF(B405="","",IFERROR(INDEX('Location Master'!$E$2:$E$502, IFERROR(MATCH(B405,'Location Master'!$G$2:$G$502,0), IFERROR(MATCH(B405&amp;" (*",'Location Master'!$G$2:$G$502,0), MATCH(B405&amp;"*",'Location Master'!$G$2:$G$502,0)))), ""))</f>
        <v/>
      </c>
      <c r="E405" s="116"/>
      <c r="F405" s="117"/>
      <c r="G405" s="114" t="str">
        <f>IF(B405="","",IFERROR(VLOOKUP(B405,'Material Master'!$A$2:$E$201,4,FALSE),""))</f>
        <v/>
      </c>
      <c r="H405" s="114"/>
      <c r="I405" s="114"/>
      <c r="J405" s="1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4.0" customHeight="1">
      <c r="A406" s="113"/>
      <c r="B406" s="114"/>
      <c r="C406" s="114" t="str">
        <f>IF(B406="","",IFERROR(VLOOKUP(B406,'Material Master'!$A$2:$E$201,2,FALSE),""))</f>
        <v/>
      </c>
      <c r="D406" s="114" t="str">
        <f t="array" ref="D406">IF(B406="","",IFERROR(INDEX('Location Master'!$E$2:$E$502, IFERROR(MATCH(B406,'Location Master'!$G$2:$G$502,0), IFERROR(MATCH(B406&amp;" (*",'Location Master'!$G$2:$G$502,0), MATCH(B406&amp;"*",'Location Master'!$G$2:$G$502,0)))), ""))</f>
        <v/>
      </c>
      <c r="E406" s="116"/>
      <c r="F406" s="117"/>
      <c r="G406" s="114" t="str">
        <f>IF(B406="","",IFERROR(VLOOKUP(B406,'Material Master'!$A$2:$E$201,4,FALSE),""))</f>
        <v/>
      </c>
      <c r="H406" s="114"/>
      <c r="I406" s="114"/>
      <c r="J406" s="1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4.0" customHeight="1">
      <c r="A407" s="113"/>
      <c r="B407" s="114"/>
      <c r="C407" s="114" t="str">
        <f>IF(B407="","",IFERROR(VLOOKUP(B407,'Material Master'!$A$2:$E$201,2,FALSE),""))</f>
        <v/>
      </c>
      <c r="D407" s="114" t="str">
        <f t="array" ref="D407">IF(B407="","",IFERROR(INDEX('Location Master'!$E$2:$E$502, IFERROR(MATCH(B407,'Location Master'!$G$2:$G$502,0), IFERROR(MATCH(B407&amp;" (*",'Location Master'!$G$2:$G$502,0), MATCH(B407&amp;"*",'Location Master'!$G$2:$G$502,0)))), ""))</f>
        <v/>
      </c>
      <c r="E407" s="116"/>
      <c r="F407" s="117"/>
      <c r="G407" s="114" t="str">
        <f>IF(B407="","",IFERROR(VLOOKUP(B407,'Material Master'!$A$2:$E$201,4,FALSE),""))</f>
        <v/>
      </c>
      <c r="H407" s="114"/>
      <c r="I407" s="114"/>
      <c r="J407" s="1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4.0" customHeight="1">
      <c r="A408" s="113"/>
      <c r="B408" s="114"/>
      <c r="C408" s="114" t="str">
        <f>IF(B408="","",IFERROR(VLOOKUP(B408,'Material Master'!$A$2:$E$201,2,FALSE),""))</f>
        <v/>
      </c>
      <c r="D408" s="114" t="str">
        <f t="array" ref="D408">IF(B408="","",IFERROR(INDEX('Location Master'!$E$2:$E$502, IFERROR(MATCH(B408,'Location Master'!$G$2:$G$502,0), IFERROR(MATCH(B408&amp;" (*",'Location Master'!$G$2:$G$502,0), MATCH(B408&amp;"*",'Location Master'!$G$2:$G$502,0)))), ""))</f>
        <v/>
      </c>
      <c r="E408" s="116"/>
      <c r="F408" s="117"/>
      <c r="G408" s="114" t="str">
        <f>IF(B408="","",IFERROR(VLOOKUP(B408,'Material Master'!$A$2:$E$201,4,FALSE),""))</f>
        <v/>
      </c>
      <c r="H408" s="114"/>
      <c r="I408" s="114"/>
      <c r="J408" s="1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4.0" customHeight="1">
      <c r="A409" s="113"/>
      <c r="B409" s="114"/>
      <c r="C409" s="114" t="str">
        <f>IF(B409="","",IFERROR(VLOOKUP(B409,'Material Master'!$A$2:$E$201,2,FALSE),""))</f>
        <v/>
      </c>
      <c r="D409" s="114" t="str">
        <f t="array" ref="D409">IF(B409="","",IFERROR(INDEX('Location Master'!$E$2:$E$502, IFERROR(MATCH(B409,'Location Master'!$G$2:$G$502,0), IFERROR(MATCH(B409&amp;" (*",'Location Master'!$G$2:$G$502,0), MATCH(B409&amp;"*",'Location Master'!$G$2:$G$502,0)))), ""))</f>
        <v/>
      </c>
      <c r="E409" s="116"/>
      <c r="F409" s="117"/>
      <c r="G409" s="114" t="str">
        <f>IF(B409="","",IFERROR(VLOOKUP(B409,'Material Master'!$A$2:$E$201,4,FALSE),""))</f>
        <v/>
      </c>
      <c r="H409" s="114"/>
      <c r="I409" s="114"/>
      <c r="J409" s="1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4.0" customHeight="1">
      <c r="A410" s="113"/>
      <c r="B410" s="114"/>
      <c r="C410" s="114" t="str">
        <f>IF(B410="","",IFERROR(VLOOKUP(B410,'Material Master'!$A$2:$E$201,2,FALSE),""))</f>
        <v/>
      </c>
      <c r="D410" s="114" t="str">
        <f t="array" ref="D410">IF(B410="","",IFERROR(INDEX('Location Master'!$E$2:$E$502, IFERROR(MATCH(B410,'Location Master'!$G$2:$G$502,0), IFERROR(MATCH(B410&amp;" (*",'Location Master'!$G$2:$G$502,0), MATCH(B410&amp;"*",'Location Master'!$G$2:$G$502,0)))), ""))</f>
        <v/>
      </c>
      <c r="E410" s="116"/>
      <c r="F410" s="117"/>
      <c r="G410" s="114" t="str">
        <f>IF(B410="","",IFERROR(VLOOKUP(B410,'Material Master'!$A$2:$E$201,4,FALSE),""))</f>
        <v/>
      </c>
      <c r="H410" s="114"/>
      <c r="I410" s="114"/>
      <c r="J410" s="1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4.0" customHeight="1">
      <c r="A411" s="113"/>
      <c r="B411" s="114"/>
      <c r="C411" s="114" t="str">
        <f>IF(B411="","",IFERROR(VLOOKUP(B411,'Material Master'!$A$2:$E$201,2,FALSE),""))</f>
        <v/>
      </c>
      <c r="D411" s="114" t="str">
        <f t="array" ref="D411">IF(B411="","",IFERROR(INDEX('Location Master'!$E$2:$E$502, IFERROR(MATCH(B411,'Location Master'!$G$2:$G$502,0), IFERROR(MATCH(B411&amp;" (*",'Location Master'!$G$2:$G$502,0), MATCH(B411&amp;"*",'Location Master'!$G$2:$G$502,0)))), ""))</f>
        <v/>
      </c>
      <c r="E411" s="116"/>
      <c r="F411" s="117"/>
      <c r="G411" s="114" t="str">
        <f>IF(B411="","",IFERROR(VLOOKUP(B411,'Material Master'!$A$2:$E$201,4,FALSE),""))</f>
        <v/>
      </c>
      <c r="H411" s="114"/>
      <c r="I411" s="114"/>
      <c r="J411" s="1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4.0" customHeight="1">
      <c r="A412" s="113"/>
      <c r="B412" s="114"/>
      <c r="C412" s="114" t="str">
        <f>IF(B412="","",IFERROR(VLOOKUP(B412,'Material Master'!$A$2:$E$201,2,FALSE),""))</f>
        <v/>
      </c>
      <c r="D412" s="114" t="str">
        <f t="array" ref="D412">IF(B412="","",IFERROR(INDEX('Location Master'!$E$2:$E$502, IFERROR(MATCH(B412,'Location Master'!$G$2:$G$502,0), IFERROR(MATCH(B412&amp;" (*",'Location Master'!$G$2:$G$502,0), MATCH(B412&amp;"*",'Location Master'!$G$2:$G$502,0)))), ""))</f>
        <v/>
      </c>
      <c r="E412" s="116"/>
      <c r="F412" s="117"/>
      <c r="G412" s="114" t="str">
        <f>IF(B412="","",IFERROR(VLOOKUP(B412,'Material Master'!$A$2:$E$201,4,FALSE),""))</f>
        <v/>
      </c>
      <c r="H412" s="114"/>
      <c r="I412" s="114"/>
      <c r="J412" s="1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4.0" customHeight="1">
      <c r="A413" s="113"/>
      <c r="B413" s="114"/>
      <c r="C413" s="114" t="str">
        <f>IF(B413="","",IFERROR(VLOOKUP(B413,'Material Master'!$A$2:$E$201,2,FALSE),""))</f>
        <v/>
      </c>
      <c r="D413" s="114" t="str">
        <f t="array" ref="D413">IF(B413="","",IFERROR(INDEX('Location Master'!$E$2:$E$502, IFERROR(MATCH(B413,'Location Master'!$G$2:$G$502,0), IFERROR(MATCH(B413&amp;" (*",'Location Master'!$G$2:$G$502,0), MATCH(B413&amp;"*",'Location Master'!$G$2:$G$502,0)))), ""))</f>
        <v/>
      </c>
      <c r="E413" s="116"/>
      <c r="F413" s="117"/>
      <c r="G413" s="114" t="str">
        <f>IF(B413="","",IFERROR(VLOOKUP(B413,'Material Master'!$A$2:$E$201,4,FALSE),""))</f>
        <v/>
      </c>
      <c r="H413" s="114"/>
      <c r="I413" s="114"/>
      <c r="J413" s="1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4.0" customHeight="1">
      <c r="A414" s="113"/>
      <c r="B414" s="114"/>
      <c r="C414" s="114" t="str">
        <f>IF(B414="","",IFERROR(VLOOKUP(B414,'Material Master'!$A$2:$E$201,2,FALSE),""))</f>
        <v/>
      </c>
      <c r="D414" s="114" t="str">
        <f t="array" ref="D414">IF(B414="","",IFERROR(INDEX('Location Master'!$E$2:$E$502, IFERROR(MATCH(B414,'Location Master'!$G$2:$G$502,0), IFERROR(MATCH(B414&amp;" (*",'Location Master'!$G$2:$G$502,0), MATCH(B414&amp;"*",'Location Master'!$G$2:$G$502,0)))), ""))</f>
        <v/>
      </c>
      <c r="E414" s="116"/>
      <c r="F414" s="117"/>
      <c r="G414" s="114" t="str">
        <f>IF(B414="","",IFERROR(VLOOKUP(B414,'Material Master'!$A$2:$E$201,4,FALSE),""))</f>
        <v/>
      </c>
      <c r="H414" s="114"/>
      <c r="I414" s="114"/>
      <c r="J414" s="1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4.0" customHeight="1">
      <c r="A415" s="113"/>
      <c r="B415" s="114"/>
      <c r="C415" s="114" t="str">
        <f>IF(B415="","",IFERROR(VLOOKUP(B415,'Material Master'!$A$2:$E$201,2,FALSE),""))</f>
        <v/>
      </c>
      <c r="D415" s="114" t="str">
        <f t="array" ref="D415">IF(B415="","",IFERROR(INDEX('Location Master'!$E$2:$E$502, IFERROR(MATCH(B415,'Location Master'!$G$2:$G$502,0), IFERROR(MATCH(B415&amp;" (*",'Location Master'!$G$2:$G$502,0), MATCH(B415&amp;"*",'Location Master'!$G$2:$G$502,0)))), ""))</f>
        <v/>
      </c>
      <c r="E415" s="116"/>
      <c r="F415" s="117"/>
      <c r="G415" s="114" t="str">
        <f>IF(B415="","",IFERROR(VLOOKUP(B415,'Material Master'!$A$2:$E$201,4,FALSE),""))</f>
        <v/>
      </c>
      <c r="H415" s="114"/>
      <c r="I415" s="114"/>
      <c r="J415" s="1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4.0" customHeight="1">
      <c r="A416" s="113"/>
      <c r="B416" s="114"/>
      <c r="C416" s="114" t="str">
        <f>IF(B416="","",IFERROR(VLOOKUP(B416,'Material Master'!$A$2:$E$201,2,FALSE),""))</f>
        <v/>
      </c>
      <c r="D416" s="114" t="str">
        <f t="array" ref="D416">IF(B416="","",IFERROR(INDEX('Location Master'!$E$2:$E$502, IFERROR(MATCH(B416,'Location Master'!$G$2:$G$502,0), IFERROR(MATCH(B416&amp;" (*",'Location Master'!$G$2:$G$502,0), MATCH(B416&amp;"*",'Location Master'!$G$2:$G$502,0)))), ""))</f>
        <v/>
      </c>
      <c r="E416" s="116"/>
      <c r="F416" s="117"/>
      <c r="G416" s="114" t="str">
        <f>IF(B416="","",IFERROR(VLOOKUP(B416,'Material Master'!$A$2:$E$201,4,FALSE),""))</f>
        <v/>
      </c>
      <c r="H416" s="114"/>
      <c r="I416" s="114"/>
      <c r="J416" s="1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4.0" customHeight="1">
      <c r="A417" s="113"/>
      <c r="B417" s="114"/>
      <c r="C417" s="114" t="str">
        <f>IF(B417="","",IFERROR(VLOOKUP(B417,'Material Master'!$A$2:$E$201,2,FALSE),""))</f>
        <v/>
      </c>
      <c r="D417" s="114" t="str">
        <f t="array" ref="D417">IF(B417="","",IFERROR(INDEX('Location Master'!$E$2:$E$502, IFERROR(MATCH(B417,'Location Master'!$G$2:$G$502,0), IFERROR(MATCH(B417&amp;" (*",'Location Master'!$G$2:$G$502,0), MATCH(B417&amp;"*",'Location Master'!$G$2:$G$502,0)))), ""))</f>
        <v/>
      </c>
      <c r="E417" s="116"/>
      <c r="F417" s="117"/>
      <c r="G417" s="114" t="str">
        <f>IF(B417="","",IFERROR(VLOOKUP(B417,'Material Master'!$A$2:$E$201,4,FALSE),""))</f>
        <v/>
      </c>
      <c r="H417" s="114"/>
      <c r="I417" s="114"/>
      <c r="J417" s="1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4.0" customHeight="1">
      <c r="A418" s="113"/>
      <c r="B418" s="114"/>
      <c r="C418" s="114" t="str">
        <f>IF(B418="","",IFERROR(VLOOKUP(B418,'Material Master'!$A$2:$E$201,2,FALSE),""))</f>
        <v/>
      </c>
      <c r="D418" s="114" t="str">
        <f t="array" ref="D418">IF(B418="","",IFERROR(INDEX('Location Master'!$E$2:$E$502, IFERROR(MATCH(B418,'Location Master'!$G$2:$G$502,0), IFERROR(MATCH(B418&amp;" (*",'Location Master'!$G$2:$G$502,0), MATCH(B418&amp;"*",'Location Master'!$G$2:$G$502,0)))), ""))</f>
        <v/>
      </c>
      <c r="E418" s="116"/>
      <c r="F418" s="117"/>
      <c r="G418" s="114" t="str">
        <f>IF(B418="","",IFERROR(VLOOKUP(B418,'Material Master'!$A$2:$E$201,4,FALSE),""))</f>
        <v/>
      </c>
      <c r="H418" s="114"/>
      <c r="I418" s="114"/>
      <c r="J418" s="1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4.0" customHeight="1">
      <c r="A419" s="113"/>
      <c r="B419" s="114"/>
      <c r="C419" s="114" t="str">
        <f>IF(B419="","",IFERROR(VLOOKUP(B419,'Material Master'!$A$2:$E$201,2,FALSE),""))</f>
        <v/>
      </c>
      <c r="D419" s="114" t="str">
        <f t="array" ref="D419">IF(B419="","",IFERROR(INDEX('Location Master'!$E$2:$E$502, IFERROR(MATCH(B419,'Location Master'!$G$2:$G$502,0), IFERROR(MATCH(B419&amp;" (*",'Location Master'!$G$2:$G$502,0), MATCH(B419&amp;"*",'Location Master'!$G$2:$G$502,0)))), ""))</f>
        <v/>
      </c>
      <c r="E419" s="116"/>
      <c r="F419" s="117"/>
      <c r="G419" s="114" t="str">
        <f>IF(B419="","",IFERROR(VLOOKUP(B419,'Material Master'!$A$2:$E$201,4,FALSE),""))</f>
        <v/>
      </c>
      <c r="H419" s="114"/>
      <c r="I419" s="114"/>
      <c r="J419" s="1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4.0" customHeight="1">
      <c r="A420" s="113"/>
      <c r="B420" s="114"/>
      <c r="C420" s="114" t="str">
        <f>IF(B420="","",IFERROR(VLOOKUP(B420,'Material Master'!$A$2:$E$201,2,FALSE),""))</f>
        <v/>
      </c>
      <c r="D420" s="114" t="str">
        <f t="array" ref="D420">IF(B420="","",IFERROR(INDEX('Location Master'!$E$2:$E$502, IFERROR(MATCH(B420,'Location Master'!$G$2:$G$502,0), IFERROR(MATCH(B420&amp;" (*",'Location Master'!$G$2:$G$502,0), MATCH(B420&amp;"*",'Location Master'!$G$2:$G$502,0)))), ""))</f>
        <v/>
      </c>
      <c r="E420" s="116"/>
      <c r="F420" s="117"/>
      <c r="G420" s="114" t="str">
        <f>IF(B420="","",IFERROR(VLOOKUP(B420,'Material Master'!$A$2:$E$201,4,FALSE),""))</f>
        <v/>
      </c>
      <c r="H420" s="114"/>
      <c r="I420" s="114"/>
      <c r="J420" s="1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4.0" customHeight="1">
      <c r="A421" s="113"/>
      <c r="B421" s="114"/>
      <c r="C421" s="114" t="str">
        <f>IF(B421="","",IFERROR(VLOOKUP(B421,'Material Master'!$A$2:$E$201,2,FALSE),""))</f>
        <v/>
      </c>
      <c r="D421" s="114" t="str">
        <f t="array" ref="D421">IF(B421="","",IFERROR(INDEX('Location Master'!$E$2:$E$502, IFERROR(MATCH(B421,'Location Master'!$G$2:$G$502,0), IFERROR(MATCH(B421&amp;" (*",'Location Master'!$G$2:$G$502,0), MATCH(B421&amp;"*",'Location Master'!$G$2:$G$502,0)))), ""))</f>
        <v/>
      </c>
      <c r="E421" s="116"/>
      <c r="F421" s="117"/>
      <c r="G421" s="114" t="str">
        <f>IF(B421="","",IFERROR(VLOOKUP(B421,'Material Master'!$A$2:$E$201,4,FALSE),""))</f>
        <v/>
      </c>
      <c r="H421" s="114"/>
      <c r="I421" s="114"/>
      <c r="J421" s="1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4.0" customHeight="1">
      <c r="A422" s="113"/>
      <c r="B422" s="114"/>
      <c r="C422" s="114" t="str">
        <f>IF(B422="","",IFERROR(VLOOKUP(B422,'Material Master'!$A$2:$E$201,2,FALSE),""))</f>
        <v/>
      </c>
      <c r="D422" s="114" t="str">
        <f t="array" ref="D422">IF(B422="","",IFERROR(INDEX('Location Master'!$E$2:$E$502, IFERROR(MATCH(B422,'Location Master'!$G$2:$G$502,0), IFERROR(MATCH(B422&amp;" (*",'Location Master'!$G$2:$G$502,0), MATCH(B422&amp;"*",'Location Master'!$G$2:$G$502,0)))), ""))</f>
        <v/>
      </c>
      <c r="E422" s="116"/>
      <c r="F422" s="117"/>
      <c r="G422" s="114" t="str">
        <f>IF(B422="","",IFERROR(VLOOKUP(B422,'Material Master'!$A$2:$E$201,4,FALSE),""))</f>
        <v/>
      </c>
      <c r="H422" s="114"/>
      <c r="I422" s="114"/>
      <c r="J422" s="1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4.0" customHeight="1">
      <c r="A423" s="113"/>
      <c r="B423" s="114"/>
      <c r="C423" s="114" t="str">
        <f>IF(B423="","",IFERROR(VLOOKUP(B423,'Material Master'!$A$2:$E$201,2,FALSE),""))</f>
        <v/>
      </c>
      <c r="D423" s="114" t="str">
        <f t="array" ref="D423">IF(B423="","",IFERROR(INDEX('Location Master'!$E$2:$E$502, IFERROR(MATCH(B423,'Location Master'!$G$2:$G$502,0), IFERROR(MATCH(B423&amp;" (*",'Location Master'!$G$2:$G$502,0), MATCH(B423&amp;"*",'Location Master'!$G$2:$G$502,0)))), ""))</f>
        <v/>
      </c>
      <c r="E423" s="116"/>
      <c r="F423" s="117"/>
      <c r="G423" s="114" t="str">
        <f>IF(B423="","",IFERROR(VLOOKUP(B423,'Material Master'!$A$2:$E$201,4,FALSE),""))</f>
        <v/>
      </c>
      <c r="H423" s="114"/>
      <c r="I423" s="114"/>
      <c r="J423" s="1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4.0" customHeight="1">
      <c r="A424" s="113"/>
      <c r="B424" s="114"/>
      <c r="C424" s="114" t="str">
        <f>IF(B424="","",IFERROR(VLOOKUP(B424,'Material Master'!$A$2:$E$201,2,FALSE),""))</f>
        <v/>
      </c>
      <c r="D424" s="114" t="str">
        <f t="array" ref="D424">IF(B424="","",IFERROR(INDEX('Location Master'!$E$2:$E$502, IFERROR(MATCH(B424,'Location Master'!$G$2:$G$502,0), IFERROR(MATCH(B424&amp;" (*",'Location Master'!$G$2:$G$502,0), MATCH(B424&amp;"*",'Location Master'!$G$2:$G$502,0)))), ""))</f>
        <v/>
      </c>
      <c r="E424" s="116"/>
      <c r="F424" s="117"/>
      <c r="G424" s="114" t="str">
        <f>IF(B424="","",IFERROR(VLOOKUP(B424,'Material Master'!$A$2:$E$201,4,FALSE),""))</f>
        <v/>
      </c>
      <c r="H424" s="114"/>
      <c r="I424" s="114"/>
      <c r="J424" s="1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4.0" customHeight="1">
      <c r="A425" s="113"/>
      <c r="B425" s="114"/>
      <c r="C425" s="114" t="str">
        <f>IF(B425="","",IFERROR(VLOOKUP(B425,'Material Master'!$A$2:$E$201,2,FALSE),""))</f>
        <v/>
      </c>
      <c r="D425" s="114" t="str">
        <f t="array" ref="D425">IF(B425="","",IFERROR(INDEX('Location Master'!$E$2:$E$502, IFERROR(MATCH(B425,'Location Master'!$G$2:$G$502,0), IFERROR(MATCH(B425&amp;" (*",'Location Master'!$G$2:$G$502,0), MATCH(B425&amp;"*",'Location Master'!$G$2:$G$502,0)))), ""))</f>
        <v/>
      </c>
      <c r="E425" s="116"/>
      <c r="F425" s="117"/>
      <c r="G425" s="114" t="str">
        <f>IF(B425="","",IFERROR(VLOOKUP(B425,'Material Master'!$A$2:$E$201,4,FALSE),""))</f>
        <v/>
      </c>
      <c r="H425" s="114"/>
      <c r="I425" s="114"/>
      <c r="J425" s="1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4.0" customHeight="1">
      <c r="A426" s="113"/>
      <c r="B426" s="114"/>
      <c r="C426" s="114" t="str">
        <f>IF(B426="","",IFERROR(VLOOKUP(B426,'Material Master'!$A$2:$E$201,2,FALSE),""))</f>
        <v/>
      </c>
      <c r="D426" s="114" t="str">
        <f t="array" ref="D426">IF(B426="","",IFERROR(INDEX('Location Master'!$E$2:$E$502, IFERROR(MATCH(B426,'Location Master'!$G$2:$G$502,0), IFERROR(MATCH(B426&amp;" (*",'Location Master'!$G$2:$G$502,0), MATCH(B426&amp;"*",'Location Master'!$G$2:$G$502,0)))), ""))</f>
        <v/>
      </c>
      <c r="E426" s="116"/>
      <c r="F426" s="117"/>
      <c r="G426" s="114" t="str">
        <f>IF(B426="","",IFERROR(VLOOKUP(B426,'Material Master'!$A$2:$E$201,4,FALSE),""))</f>
        <v/>
      </c>
      <c r="H426" s="114"/>
      <c r="I426" s="114"/>
      <c r="J426" s="1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4.0" customHeight="1">
      <c r="A427" s="113"/>
      <c r="B427" s="114"/>
      <c r="C427" s="114" t="str">
        <f>IF(B427="","",IFERROR(VLOOKUP(B427,'Material Master'!$A$2:$E$201,2,FALSE),""))</f>
        <v/>
      </c>
      <c r="D427" s="114" t="str">
        <f t="array" ref="D427">IF(B427="","",IFERROR(INDEX('Location Master'!$E$2:$E$502, IFERROR(MATCH(B427,'Location Master'!$G$2:$G$502,0), IFERROR(MATCH(B427&amp;" (*",'Location Master'!$G$2:$G$502,0), MATCH(B427&amp;"*",'Location Master'!$G$2:$G$502,0)))), ""))</f>
        <v/>
      </c>
      <c r="E427" s="116"/>
      <c r="F427" s="117"/>
      <c r="G427" s="114" t="str">
        <f>IF(B427="","",IFERROR(VLOOKUP(B427,'Material Master'!$A$2:$E$201,4,FALSE),""))</f>
        <v/>
      </c>
      <c r="H427" s="114"/>
      <c r="I427" s="114"/>
      <c r="J427" s="1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4.0" customHeight="1">
      <c r="A428" s="113"/>
      <c r="B428" s="114"/>
      <c r="C428" s="114" t="str">
        <f>IF(B428="","",IFERROR(VLOOKUP(B428,'Material Master'!$A$2:$E$201,2,FALSE),""))</f>
        <v/>
      </c>
      <c r="D428" s="114" t="str">
        <f t="array" ref="D428">IF(B428="","",IFERROR(INDEX('Location Master'!$E$2:$E$502, IFERROR(MATCH(B428,'Location Master'!$G$2:$G$502,0), IFERROR(MATCH(B428&amp;" (*",'Location Master'!$G$2:$G$502,0), MATCH(B428&amp;"*",'Location Master'!$G$2:$G$502,0)))), ""))</f>
        <v/>
      </c>
      <c r="E428" s="116"/>
      <c r="F428" s="117"/>
      <c r="G428" s="114" t="str">
        <f>IF(B428="","",IFERROR(VLOOKUP(B428,'Material Master'!$A$2:$E$201,4,FALSE),""))</f>
        <v/>
      </c>
      <c r="H428" s="114"/>
      <c r="I428" s="114"/>
      <c r="J428" s="1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4.0" customHeight="1">
      <c r="A429" s="113"/>
      <c r="B429" s="114"/>
      <c r="C429" s="114" t="str">
        <f>IF(B429="","",IFERROR(VLOOKUP(B429,'Material Master'!$A$2:$E$201,2,FALSE),""))</f>
        <v/>
      </c>
      <c r="D429" s="114" t="str">
        <f t="array" ref="D429">IF(B429="","",IFERROR(INDEX('Location Master'!$E$2:$E$502, IFERROR(MATCH(B429,'Location Master'!$G$2:$G$502,0), IFERROR(MATCH(B429&amp;" (*",'Location Master'!$G$2:$G$502,0), MATCH(B429&amp;"*",'Location Master'!$G$2:$G$502,0)))), ""))</f>
        <v/>
      </c>
      <c r="E429" s="116"/>
      <c r="F429" s="117"/>
      <c r="G429" s="114" t="str">
        <f>IF(B429="","",IFERROR(VLOOKUP(B429,'Material Master'!$A$2:$E$201,4,FALSE),""))</f>
        <v/>
      </c>
      <c r="H429" s="114"/>
      <c r="I429" s="114"/>
      <c r="J429" s="1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4.0" customHeight="1">
      <c r="A430" s="113"/>
      <c r="B430" s="114"/>
      <c r="C430" s="114" t="str">
        <f>IF(B430="","",IFERROR(VLOOKUP(B430,'Material Master'!$A$2:$E$201,2,FALSE),""))</f>
        <v/>
      </c>
      <c r="D430" s="114" t="str">
        <f t="array" ref="D430">IF(B430="","",IFERROR(INDEX('Location Master'!$E$2:$E$502, IFERROR(MATCH(B430,'Location Master'!$G$2:$G$502,0), IFERROR(MATCH(B430&amp;" (*",'Location Master'!$G$2:$G$502,0), MATCH(B430&amp;"*",'Location Master'!$G$2:$G$502,0)))), ""))</f>
        <v/>
      </c>
      <c r="E430" s="116"/>
      <c r="F430" s="117"/>
      <c r="G430" s="114" t="str">
        <f>IF(B430="","",IFERROR(VLOOKUP(B430,'Material Master'!$A$2:$E$201,4,FALSE),""))</f>
        <v/>
      </c>
      <c r="H430" s="114"/>
      <c r="I430" s="114"/>
      <c r="J430" s="1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4.0" customHeight="1">
      <c r="A431" s="113"/>
      <c r="B431" s="114"/>
      <c r="C431" s="114" t="str">
        <f>IF(B431="","",IFERROR(VLOOKUP(B431,'Material Master'!$A$2:$E$201,2,FALSE),""))</f>
        <v/>
      </c>
      <c r="D431" s="114" t="str">
        <f t="array" ref="D431">IF(B431="","",IFERROR(INDEX('Location Master'!$E$2:$E$502, IFERROR(MATCH(B431,'Location Master'!$G$2:$G$502,0), IFERROR(MATCH(B431&amp;" (*",'Location Master'!$G$2:$G$502,0), MATCH(B431&amp;"*",'Location Master'!$G$2:$G$502,0)))), ""))</f>
        <v/>
      </c>
      <c r="E431" s="116"/>
      <c r="F431" s="117"/>
      <c r="G431" s="114" t="str">
        <f>IF(B431="","",IFERROR(VLOOKUP(B431,'Material Master'!$A$2:$E$201,4,FALSE),""))</f>
        <v/>
      </c>
      <c r="H431" s="114"/>
      <c r="I431" s="114"/>
      <c r="J431" s="1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4.0" customHeight="1">
      <c r="A432" s="113"/>
      <c r="B432" s="114"/>
      <c r="C432" s="114" t="str">
        <f>IF(B432="","",IFERROR(VLOOKUP(B432,'Material Master'!$A$2:$E$201,2,FALSE),""))</f>
        <v/>
      </c>
      <c r="D432" s="114" t="str">
        <f t="array" ref="D432">IF(B432="","",IFERROR(INDEX('Location Master'!$E$2:$E$502, IFERROR(MATCH(B432,'Location Master'!$G$2:$G$502,0), IFERROR(MATCH(B432&amp;" (*",'Location Master'!$G$2:$G$502,0), MATCH(B432&amp;"*",'Location Master'!$G$2:$G$502,0)))), ""))</f>
        <v/>
      </c>
      <c r="E432" s="116"/>
      <c r="F432" s="117"/>
      <c r="G432" s="114" t="str">
        <f>IF(B432="","",IFERROR(VLOOKUP(B432,'Material Master'!$A$2:$E$201,4,FALSE),""))</f>
        <v/>
      </c>
      <c r="H432" s="114"/>
      <c r="I432" s="114"/>
      <c r="J432" s="1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4.0" customHeight="1">
      <c r="A433" s="113"/>
      <c r="B433" s="114"/>
      <c r="C433" s="114" t="str">
        <f>IF(B433="","",IFERROR(VLOOKUP(B433,'Material Master'!$A$2:$E$201,2,FALSE),""))</f>
        <v/>
      </c>
      <c r="D433" s="114" t="str">
        <f t="array" ref="D433">IF(B433="","",IFERROR(INDEX('Location Master'!$E$2:$E$502, IFERROR(MATCH(B433,'Location Master'!$G$2:$G$502,0), IFERROR(MATCH(B433&amp;" (*",'Location Master'!$G$2:$G$502,0), MATCH(B433&amp;"*",'Location Master'!$G$2:$G$502,0)))), ""))</f>
        <v/>
      </c>
      <c r="E433" s="116"/>
      <c r="F433" s="117"/>
      <c r="G433" s="114" t="str">
        <f>IF(B433="","",IFERROR(VLOOKUP(B433,'Material Master'!$A$2:$E$201,4,FALSE),""))</f>
        <v/>
      </c>
      <c r="H433" s="114"/>
      <c r="I433" s="114"/>
      <c r="J433" s="1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4.0" customHeight="1">
      <c r="A434" s="113"/>
      <c r="B434" s="114"/>
      <c r="C434" s="114" t="str">
        <f>IF(B434="","",IFERROR(VLOOKUP(B434,'Material Master'!$A$2:$E$201,2,FALSE),""))</f>
        <v/>
      </c>
      <c r="D434" s="114" t="str">
        <f t="array" ref="D434">IF(B434="","",IFERROR(INDEX('Location Master'!$E$2:$E$502, IFERROR(MATCH(B434,'Location Master'!$G$2:$G$502,0), IFERROR(MATCH(B434&amp;" (*",'Location Master'!$G$2:$G$502,0), MATCH(B434&amp;"*",'Location Master'!$G$2:$G$502,0)))), ""))</f>
        <v/>
      </c>
      <c r="E434" s="116"/>
      <c r="F434" s="117"/>
      <c r="G434" s="114" t="str">
        <f>IF(B434="","",IFERROR(VLOOKUP(B434,'Material Master'!$A$2:$E$201,4,FALSE),""))</f>
        <v/>
      </c>
      <c r="H434" s="114"/>
      <c r="I434" s="114"/>
      <c r="J434" s="1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4.0" customHeight="1">
      <c r="A435" s="113"/>
      <c r="B435" s="114"/>
      <c r="C435" s="114" t="str">
        <f>IF(B435="","",IFERROR(VLOOKUP(B435,'Material Master'!$A$2:$E$201,2,FALSE),""))</f>
        <v/>
      </c>
      <c r="D435" s="114" t="str">
        <f t="array" ref="D435">IF(B435="","",IFERROR(INDEX('Location Master'!$E$2:$E$502, IFERROR(MATCH(B435,'Location Master'!$G$2:$G$502,0), IFERROR(MATCH(B435&amp;" (*",'Location Master'!$G$2:$G$502,0), MATCH(B435&amp;"*",'Location Master'!$G$2:$G$502,0)))), ""))</f>
        <v/>
      </c>
      <c r="E435" s="116"/>
      <c r="F435" s="117"/>
      <c r="G435" s="114" t="str">
        <f>IF(B435="","",IFERROR(VLOOKUP(B435,'Material Master'!$A$2:$E$201,4,FALSE),""))</f>
        <v/>
      </c>
      <c r="H435" s="114"/>
      <c r="I435" s="114"/>
      <c r="J435" s="1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4.0" customHeight="1">
      <c r="A436" s="113"/>
      <c r="B436" s="114"/>
      <c r="C436" s="114" t="str">
        <f>IF(B436="","",IFERROR(VLOOKUP(B436,'Material Master'!$A$2:$E$201,2,FALSE),""))</f>
        <v/>
      </c>
      <c r="D436" s="114" t="str">
        <f t="array" ref="D436">IF(B436="","",IFERROR(INDEX('Location Master'!$E$2:$E$502, IFERROR(MATCH(B436,'Location Master'!$G$2:$G$502,0), IFERROR(MATCH(B436&amp;" (*",'Location Master'!$G$2:$G$502,0), MATCH(B436&amp;"*",'Location Master'!$G$2:$G$502,0)))), ""))</f>
        <v/>
      </c>
      <c r="E436" s="116"/>
      <c r="F436" s="117"/>
      <c r="G436" s="114" t="str">
        <f>IF(B436="","",IFERROR(VLOOKUP(B436,'Material Master'!$A$2:$E$201,4,FALSE),""))</f>
        <v/>
      </c>
      <c r="H436" s="114"/>
      <c r="I436" s="114"/>
      <c r="J436" s="1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4.0" customHeight="1">
      <c r="A437" s="113"/>
      <c r="B437" s="114"/>
      <c r="C437" s="114" t="str">
        <f>IF(B437="","",IFERROR(VLOOKUP(B437,'Material Master'!$A$2:$E$201,2,FALSE),""))</f>
        <v/>
      </c>
      <c r="D437" s="114" t="str">
        <f t="array" ref="D437">IF(B437="","",IFERROR(INDEX('Location Master'!$E$2:$E$502, IFERROR(MATCH(B437,'Location Master'!$G$2:$G$502,0), IFERROR(MATCH(B437&amp;" (*",'Location Master'!$G$2:$G$502,0), MATCH(B437&amp;"*",'Location Master'!$G$2:$G$502,0)))), ""))</f>
        <v/>
      </c>
      <c r="E437" s="116"/>
      <c r="F437" s="117"/>
      <c r="G437" s="114" t="str">
        <f>IF(B437="","",IFERROR(VLOOKUP(B437,'Material Master'!$A$2:$E$201,4,FALSE),""))</f>
        <v/>
      </c>
      <c r="H437" s="114"/>
      <c r="I437" s="114"/>
      <c r="J437" s="1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4.0" customHeight="1">
      <c r="A438" s="113"/>
      <c r="B438" s="114"/>
      <c r="C438" s="114" t="str">
        <f>IF(B438="","",IFERROR(VLOOKUP(B438,'Material Master'!$A$2:$E$201,2,FALSE),""))</f>
        <v/>
      </c>
      <c r="D438" s="114" t="str">
        <f t="array" ref="D438">IF(B438="","",IFERROR(INDEX('Location Master'!$E$2:$E$502, IFERROR(MATCH(B438,'Location Master'!$G$2:$G$502,0), IFERROR(MATCH(B438&amp;" (*",'Location Master'!$G$2:$G$502,0), MATCH(B438&amp;"*",'Location Master'!$G$2:$G$502,0)))), ""))</f>
        <v/>
      </c>
      <c r="E438" s="116"/>
      <c r="F438" s="117"/>
      <c r="G438" s="114" t="str">
        <f>IF(B438="","",IFERROR(VLOOKUP(B438,'Material Master'!$A$2:$E$201,4,FALSE),""))</f>
        <v/>
      </c>
      <c r="H438" s="114"/>
      <c r="I438" s="114"/>
      <c r="J438" s="1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4.0" customHeight="1">
      <c r="A439" s="113"/>
      <c r="B439" s="114"/>
      <c r="C439" s="114" t="str">
        <f>IF(B439="","",IFERROR(VLOOKUP(B439,'Material Master'!$A$2:$E$201,2,FALSE),""))</f>
        <v/>
      </c>
      <c r="D439" s="114" t="str">
        <f t="array" ref="D439">IF(B439="","",IFERROR(INDEX('Location Master'!$E$2:$E$502, IFERROR(MATCH(B439,'Location Master'!$G$2:$G$502,0), IFERROR(MATCH(B439&amp;" (*",'Location Master'!$G$2:$G$502,0), MATCH(B439&amp;"*",'Location Master'!$G$2:$G$502,0)))), ""))</f>
        <v/>
      </c>
      <c r="E439" s="116"/>
      <c r="F439" s="117"/>
      <c r="G439" s="114" t="str">
        <f>IF(B439="","",IFERROR(VLOOKUP(B439,'Material Master'!$A$2:$E$201,4,FALSE),""))</f>
        <v/>
      </c>
      <c r="H439" s="114"/>
      <c r="I439" s="114"/>
      <c r="J439" s="1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4.0" customHeight="1">
      <c r="A440" s="113"/>
      <c r="B440" s="114"/>
      <c r="C440" s="114" t="str">
        <f>IF(B440="","",IFERROR(VLOOKUP(B440,'Material Master'!$A$2:$E$201,2,FALSE),""))</f>
        <v/>
      </c>
      <c r="D440" s="114" t="str">
        <f t="array" ref="D440">IF(B440="","",IFERROR(INDEX('Location Master'!$E$2:$E$502, IFERROR(MATCH(B440,'Location Master'!$G$2:$G$502,0), IFERROR(MATCH(B440&amp;" (*",'Location Master'!$G$2:$G$502,0), MATCH(B440&amp;"*",'Location Master'!$G$2:$G$502,0)))), ""))</f>
        <v/>
      </c>
      <c r="E440" s="116"/>
      <c r="F440" s="117"/>
      <c r="G440" s="114" t="str">
        <f>IF(B440="","",IFERROR(VLOOKUP(B440,'Material Master'!$A$2:$E$201,4,FALSE),""))</f>
        <v/>
      </c>
      <c r="H440" s="114"/>
      <c r="I440" s="114"/>
      <c r="J440" s="1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4.0" customHeight="1">
      <c r="A441" s="113"/>
      <c r="B441" s="114"/>
      <c r="C441" s="114" t="str">
        <f>IF(B441="","",IFERROR(VLOOKUP(B441,'Material Master'!$A$2:$E$201,2,FALSE),""))</f>
        <v/>
      </c>
      <c r="D441" s="114" t="str">
        <f t="array" ref="D441">IF(B441="","",IFERROR(INDEX('Location Master'!$E$2:$E$502, IFERROR(MATCH(B441,'Location Master'!$G$2:$G$502,0), IFERROR(MATCH(B441&amp;" (*",'Location Master'!$G$2:$G$502,0), MATCH(B441&amp;"*",'Location Master'!$G$2:$G$502,0)))), ""))</f>
        <v/>
      </c>
      <c r="E441" s="116"/>
      <c r="F441" s="117"/>
      <c r="G441" s="114" t="str">
        <f>IF(B441="","",IFERROR(VLOOKUP(B441,'Material Master'!$A$2:$E$201,4,FALSE),""))</f>
        <v/>
      </c>
      <c r="H441" s="114"/>
      <c r="I441" s="114"/>
      <c r="J441" s="1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4.0" customHeight="1">
      <c r="A442" s="113"/>
      <c r="B442" s="114"/>
      <c r="C442" s="114" t="str">
        <f>IF(B442="","",IFERROR(VLOOKUP(B442,'Material Master'!$A$2:$E$201,2,FALSE),""))</f>
        <v/>
      </c>
      <c r="D442" s="114" t="str">
        <f t="array" ref="D442">IF(B442="","",IFERROR(INDEX('Location Master'!$E$2:$E$502, IFERROR(MATCH(B442,'Location Master'!$G$2:$G$502,0), IFERROR(MATCH(B442&amp;" (*",'Location Master'!$G$2:$G$502,0), MATCH(B442&amp;"*",'Location Master'!$G$2:$G$502,0)))), ""))</f>
        <v/>
      </c>
      <c r="E442" s="116"/>
      <c r="F442" s="117"/>
      <c r="G442" s="114" t="str">
        <f>IF(B442="","",IFERROR(VLOOKUP(B442,'Material Master'!$A$2:$E$201,4,FALSE),""))</f>
        <v/>
      </c>
      <c r="H442" s="114"/>
      <c r="I442" s="114"/>
      <c r="J442" s="1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4.0" customHeight="1">
      <c r="A443" s="113"/>
      <c r="B443" s="114"/>
      <c r="C443" s="114" t="str">
        <f>IF(B443="","",IFERROR(VLOOKUP(B443,'Material Master'!$A$2:$E$201,2,FALSE),""))</f>
        <v/>
      </c>
      <c r="D443" s="114" t="str">
        <f t="array" ref="D443">IF(B443="","",IFERROR(INDEX('Location Master'!$E$2:$E$502, IFERROR(MATCH(B443,'Location Master'!$G$2:$G$502,0), IFERROR(MATCH(B443&amp;" (*",'Location Master'!$G$2:$G$502,0), MATCH(B443&amp;"*",'Location Master'!$G$2:$G$502,0)))), ""))</f>
        <v/>
      </c>
      <c r="E443" s="116"/>
      <c r="F443" s="117"/>
      <c r="G443" s="114" t="str">
        <f>IF(B443="","",IFERROR(VLOOKUP(B443,'Material Master'!$A$2:$E$201,4,FALSE),""))</f>
        <v/>
      </c>
      <c r="H443" s="114"/>
      <c r="I443" s="114"/>
      <c r="J443" s="1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4.0" customHeight="1">
      <c r="A444" s="113"/>
      <c r="B444" s="114"/>
      <c r="C444" s="114" t="str">
        <f>IF(B444="","",IFERROR(VLOOKUP(B444,'Material Master'!$A$2:$E$201,2,FALSE),""))</f>
        <v/>
      </c>
      <c r="D444" s="114" t="str">
        <f t="array" ref="D444">IF(B444="","",IFERROR(INDEX('Location Master'!$E$2:$E$502, IFERROR(MATCH(B444,'Location Master'!$G$2:$G$502,0), IFERROR(MATCH(B444&amp;" (*",'Location Master'!$G$2:$G$502,0), MATCH(B444&amp;"*",'Location Master'!$G$2:$G$502,0)))), ""))</f>
        <v/>
      </c>
      <c r="E444" s="116"/>
      <c r="F444" s="117"/>
      <c r="G444" s="114" t="str">
        <f>IF(B444="","",IFERROR(VLOOKUP(B444,'Material Master'!$A$2:$E$201,4,FALSE),""))</f>
        <v/>
      </c>
      <c r="H444" s="114"/>
      <c r="I444" s="114"/>
      <c r="J444" s="1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4.0" customHeight="1">
      <c r="A445" s="113"/>
      <c r="B445" s="114"/>
      <c r="C445" s="114" t="str">
        <f>IF(B445="","",IFERROR(VLOOKUP(B445,'Material Master'!$A$2:$E$201,2,FALSE),""))</f>
        <v/>
      </c>
      <c r="D445" s="114" t="str">
        <f t="array" ref="D445">IF(B445="","",IFERROR(INDEX('Location Master'!$E$2:$E$502, IFERROR(MATCH(B445,'Location Master'!$G$2:$G$502,0), IFERROR(MATCH(B445&amp;" (*",'Location Master'!$G$2:$G$502,0), MATCH(B445&amp;"*",'Location Master'!$G$2:$G$502,0)))), ""))</f>
        <v/>
      </c>
      <c r="E445" s="116"/>
      <c r="F445" s="117"/>
      <c r="G445" s="114" t="str">
        <f>IF(B445="","",IFERROR(VLOOKUP(B445,'Material Master'!$A$2:$E$201,4,FALSE),""))</f>
        <v/>
      </c>
      <c r="H445" s="114"/>
      <c r="I445" s="114"/>
      <c r="J445" s="1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4.0" customHeight="1">
      <c r="A446" s="113"/>
      <c r="B446" s="114"/>
      <c r="C446" s="114" t="str">
        <f>IF(B446="","",IFERROR(VLOOKUP(B446,'Material Master'!$A$2:$E$201,2,FALSE),""))</f>
        <v/>
      </c>
      <c r="D446" s="114" t="str">
        <f t="array" ref="D446">IF(B446="","",IFERROR(INDEX('Location Master'!$E$2:$E$502, IFERROR(MATCH(B446,'Location Master'!$G$2:$G$502,0), IFERROR(MATCH(B446&amp;" (*",'Location Master'!$G$2:$G$502,0), MATCH(B446&amp;"*",'Location Master'!$G$2:$G$502,0)))), ""))</f>
        <v/>
      </c>
      <c r="E446" s="116"/>
      <c r="F446" s="117"/>
      <c r="G446" s="114" t="str">
        <f>IF(B446="","",IFERROR(VLOOKUP(B446,'Material Master'!$A$2:$E$201,4,FALSE),""))</f>
        <v/>
      </c>
      <c r="H446" s="114"/>
      <c r="I446" s="114"/>
      <c r="J446" s="1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4.0" customHeight="1">
      <c r="A447" s="113"/>
      <c r="B447" s="114"/>
      <c r="C447" s="114" t="str">
        <f>IF(B447="","",IFERROR(VLOOKUP(B447,'Material Master'!$A$2:$E$201,2,FALSE),""))</f>
        <v/>
      </c>
      <c r="D447" s="114" t="str">
        <f t="array" ref="D447">IF(B447="","",IFERROR(INDEX('Location Master'!$E$2:$E$502, IFERROR(MATCH(B447,'Location Master'!$G$2:$G$502,0), IFERROR(MATCH(B447&amp;" (*",'Location Master'!$G$2:$G$502,0), MATCH(B447&amp;"*",'Location Master'!$G$2:$G$502,0)))), ""))</f>
        <v/>
      </c>
      <c r="E447" s="116"/>
      <c r="F447" s="117"/>
      <c r="G447" s="114" t="str">
        <f>IF(B447="","",IFERROR(VLOOKUP(B447,'Material Master'!$A$2:$E$201,4,FALSE),""))</f>
        <v/>
      </c>
      <c r="H447" s="114"/>
      <c r="I447" s="114"/>
      <c r="J447" s="1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4.0" customHeight="1">
      <c r="A448" s="113"/>
      <c r="B448" s="114"/>
      <c r="C448" s="114" t="str">
        <f>IF(B448="","",IFERROR(VLOOKUP(B448,'Material Master'!$A$2:$E$201,2,FALSE),""))</f>
        <v/>
      </c>
      <c r="D448" s="114" t="str">
        <f t="array" ref="D448">IF(B448="","",IFERROR(INDEX('Location Master'!$E$2:$E$502, IFERROR(MATCH(B448,'Location Master'!$G$2:$G$502,0), IFERROR(MATCH(B448&amp;" (*",'Location Master'!$G$2:$G$502,0), MATCH(B448&amp;"*",'Location Master'!$G$2:$G$502,0)))), ""))</f>
        <v/>
      </c>
      <c r="E448" s="116"/>
      <c r="F448" s="117"/>
      <c r="G448" s="114" t="str">
        <f>IF(B448="","",IFERROR(VLOOKUP(B448,'Material Master'!$A$2:$E$201,4,FALSE),""))</f>
        <v/>
      </c>
      <c r="H448" s="114"/>
      <c r="I448" s="114"/>
      <c r="J448" s="1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4.0" customHeight="1">
      <c r="A449" s="113"/>
      <c r="B449" s="114"/>
      <c r="C449" s="114" t="str">
        <f>IF(B449="","",IFERROR(VLOOKUP(B449,'Material Master'!$A$2:$E$201,2,FALSE),""))</f>
        <v/>
      </c>
      <c r="D449" s="114" t="str">
        <f t="array" ref="D449">IF(B449="","",IFERROR(INDEX('Location Master'!$E$2:$E$502, IFERROR(MATCH(B449,'Location Master'!$G$2:$G$502,0), IFERROR(MATCH(B449&amp;" (*",'Location Master'!$G$2:$G$502,0), MATCH(B449&amp;"*",'Location Master'!$G$2:$G$502,0)))), ""))</f>
        <v/>
      </c>
      <c r="E449" s="116"/>
      <c r="F449" s="117"/>
      <c r="G449" s="114" t="str">
        <f>IF(B449="","",IFERROR(VLOOKUP(B449,'Material Master'!$A$2:$E$201,4,FALSE),""))</f>
        <v/>
      </c>
      <c r="H449" s="114"/>
      <c r="I449" s="114"/>
      <c r="J449" s="1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4.0" customHeight="1">
      <c r="A450" s="113"/>
      <c r="B450" s="114"/>
      <c r="C450" s="114" t="str">
        <f>IF(B450="","",IFERROR(VLOOKUP(B450,'Material Master'!$A$2:$E$201,2,FALSE),""))</f>
        <v/>
      </c>
      <c r="D450" s="114" t="str">
        <f t="array" ref="D450">IF(B450="","",IFERROR(INDEX('Location Master'!$E$2:$E$502, IFERROR(MATCH(B450,'Location Master'!$G$2:$G$502,0), IFERROR(MATCH(B450&amp;" (*",'Location Master'!$G$2:$G$502,0), MATCH(B450&amp;"*",'Location Master'!$G$2:$G$502,0)))), ""))</f>
        <v/>
      </c>
      <c r="E450" s="116"/>
      <c r="F450" s="117"/>
      <c r="G450" s="114" t="str">
        <f>IF(B450="","",IFERROR(VLOOKUP(B450,'Material Master'!$A$2:$E$201,4,FALSE),""))</f>
        <v/>
      </c>
      <c r="H450" s="114"/>
      <c r="I450" s="114"/>
      <c r="J450" s="1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4.0" customHeight="1">
      <c r="A451" s="113"/>
      <c r="B451" s="114"/>
      <c r="C451" s="114" t="str">
        <f>IF(B451="","",IFERROR(VLOOKUP(B451,'Material Master'!$A$2:$E$201,2,FALSE),""))</f>
        <v/>
      </c>
      <c r="D451" s="114" t="str">
        <f t="array" ref="D451">IF(B451="","",IFERROR(INDEX('Location Master'!$E$2:$E$502, IFERROR(MATCH(B451,'Location Master'!$G$2:$G$502,0), IFERROR(MATCH(B451&amp;" (*",'Location Master'!$G$2:$G$502,0), MATCH(B451&amp;"*",'Location Master'!$G$2:$G$502,0)))), ""))</f>
        <v/>
      </c>
      <c r="E451" s="116"/>
      <c r="F451" s="117"/>
      <c r="G451" s="114" t="str">
        <f>IF(B451="","",IFERROR(VLOOKUP(B451,'Material Master'!$A$2:$E$201,4,FALSE),""))</f>
        <v/>
      </c>
      <c r="H451" s="114"/>
      <c r="I451" s="114"/>
      <c r="J451" s="1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4.0" customHeight="1">
      <c r="A452" s="113"/>
      <c r="B452" s="114"/>
      <c r="C452" s="114" t="str">
        <f>IF(B452="","",IFERROR(VLOOKUP(B452,'Material Master'!$A$2:$E$201,2,FALSE),""))</f>
        <v/>
      </c>
      <c r="D452" s="114" t="str">
        <f t="array" ref="D452">IF(B452="","",IFERROR(INDEX('Location Master'!$E$2:$E$502, IFERROR(MATCH(B452,'Location Master'!$G$2:$G$502,0), IFERROR(MATCH(B452&amp;" (*",'Location Master'!$G$2:$G$502,0), MATCH(B452&amp;"*",'Location Master'!$G$2:$G$502,0)))), ""))</f>
        <v/>
      </c>
      <c r="E452" s="116"/>
      <c r="F452" s="117"/>
      <c r="G452" s="114" t="str">
        <f>IF(B452="","",IFERROR(VLOOKUP(B452,'Material Master'!$A$2:$E$201,4,FALSE),""))</f>
        <v/>
      </c>
      <c r="H452" s="114"/>
      <c r="I452" s="114"/>
      <c r="J452" s="1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4.0" customHeight="1">
      <c r="A453" s="113"/>
      <c r="B453" s="114"/>
      <c r="C453" s="114" t="str">
        <f>IF(B453="","",IFERROR(VLOOKUP(B453,'Material Master'!$A$2:$E$201,2,FALSE),""))</f>
        <v/>
      </c>
      <c r="D453" s="114" t="str">
        <f t="array" ref="D453">IF(B453="","",IFERROR(INDEX('Location Master'!$E$2:$E$502, IFERROR(MATCH(B453,'Location Master'!$G$2:$G$502,0), IFERROR(MATCH(B453&amp;" (*",'Location Master'!$G$2:$G$502,0), MATCH(B453&amp;"*",'Location Master'!$G$2:$G$502,0)))), ""))</f>
        <v/>
      </c>
      <c r="E453" s="116"/>
      <c r="F453" s="117"/>
      <c r="G453" s="114" t="str">
        <f>IF(B453="","",IFERROR(VLOOKUP(B453,'Material Master'!$A$2:$E$201,4,FALSE),""))</f>
        <v/>
      </c>
      <c r="H453" s="114"/>
      <c r="I453" s="114"/>
      <c r="J453" s="1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4.0" customHeight="1">
      <c r="A454" s="113"/>
      <c r="B454" s="114"/>
      <c r="C454" s="114" t="str">
        <f>IF(B454="","",IFERROR(VLOOKUP(B454,'Material Master'!$A$2:$E$201,2,FALSE),""))</f>
        <v/>
      </c>
      <c r="D454" s="114" t="str">
        <f t="array" ref="D454">IF(B454="","",IFERROR(INDEX('Location Master'!$E$2:$E$502, IFERROR(MATCH(B454,'Location Master'!$G$2:$G$502,0), IFERROR(MATCH(B454&amp;" (*",'Location Master'!$G$2:$G$502,0), MATCH(B454&amp;"*",'Location Master'!$G$2:$G$502,0)))), ""))</f>
        <v/>
      </c>
      <c r="E454" s="116"/>
      <c r="F454" s="117"/>
      <c r="G454" s="114" t="str">
        <f>IF(B454="","",IFERROR(VLOOKUP(B454,'Material Master'!$A$2:$E$201,4,FALSE),""))</f>
        <v/>
      </c>
      <c r="H454" s="114"/>
      <c r="I454" s="114"/>
      <c r="J454" s="1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4.0" customHeight="1">
      <c r="A455" s="113"/>
      <c r="B455" s="114"/>
      <c r="C455" s="114" t="str">
        <f>IF(B455="","",IFERROR(VLOOKUP(B455,'Material Master'!$A$2:$E$201,2,FALSE),""))</f>
        <v/>
      </c>
      <c r="D455" s="114" t="str">
        <f t="array" ref="D455">IF(B455="","",IFERROR(INDEX('Location Master'!$E$2:$E$502, IFERROR(MATCH(B455,'Location Master'!$G$2:$G$502,0), IFERROR(MATCH(B455&amp;" (*",'Location Master'!$G$2:$G$502,0), MATCH(B455&amp;"*",'Location Master'!$G$2:$G$502,0)))), ""))</f>
        <v/>
      </c>
      <c r="E455" s="116"/>
      <c r="F455" s="117"/>
      <c r="G455" s="114" t="str">
        <f>IF(B455="","",IFERROR(VLOOKUP(B455,'Material Master'!$A$2:$E$201,4,FALSE),""))</f>
        <v/>
      </c>
      <c r="H455" s="114"/>
      <c r="I455" s="114"/>
      <c r="J455" s="1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4.0" customHeight="1">
      <c r="A456" s="113"/>
      <c r="B456" s="114"/>
      <c r="C456" s="114" t="str">
        <f>IF(B456="","",IFERROR(VLOOKUP(B456,'Material Master'!$A$2:$E$201,2,FALSE),""))</f>
        <v/>
      </c>
      <c r="D456" s="114" t="str">
        <f t="array" ref="D456">IF(B456="","",IFERROR(INDEX('Location Master'!$E$2:$E$502, IFERROR(MATCH(B456,'Location Master'!$G$2:$G$502,0), IFERROR(MATCH(B456&amp;" (*",'Location Master'!$G$2:$G$502,0), MATCH(B456&amp;"*",'Location Master'!$G$2:$G$502,0)))), ""))</f>
        <v/>
      </c>
      <c r="E456" s="116"/>
      <c r="F456" s="117"/>
      <c r="G456" s="114" t="str">
        <f>IF(B456="","",IFERROR(VLOOKUP(B456,'Material Master'!$A$2:$E$201,4,FALSE),""))</f>
        <v/>
      </c>
      <c r="H456" s="114"/>
      <c r="I456" s="114"/>
      <c r="J456" s="1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4.0" customHeight="1">
      <c r="A457" s="113"/>
      <c r="B457" s="114"/>
      <c r="C457" s="114" t="str">
        <f>IF(B457="","",IFERROR(VLOOKUP(B457,'Material Master'!$A$2:$E$201,2,FALSE),""))</f>
        <v/>
      </c>
      <c r="D457" s="114" t="str">
        <f t="array" ref="D457">IF(B457="","",IFERROR(INDEX('Location Master'!$E$2:$E$502, IFERROR(MATCH(B457,'Location Master'!$G$2:$G$502,0), IFERROR(MATCH(B457&amp;" (*",'Location Master'!$G$2:$G$502,0), MATCH(B457&amp;"*",'Location Master'!$G$2:$G$502,0)))), ""))</f>
        <v/>
      </c>
      <c r="E457" s="116"/>
      <c r="F457" s="117"/>
      <c r="G457" s="114" t="str">
        <f>IF(B457="","",IFERROR(VLOOKUP(B457,'Material Master'!$A$2:$E$201,4,FALSE),""))</f>
        <v/>
      </c>
      <c r="H457" s="114"/>
      <c r="I457" s="114"/>
      <c r="J457" s="1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4.0" customHeight="1">
      <c r="A458" s="113"/>
      <c r="B458" s="114"/>
      <c r="C458" s="114" t="str">
        <f>IF(B458="","",IFERROR(VLOOKUP(B458,'Material Master'!$A$2:$E$201,2,FALSE),""))</f>
        <v/>
      </c>
      <c r="D458" s="114" t="str">
        <f t="array" ref="D458">IF(B458="","",IFERROR(INDEX('Location Master'!$E$2:$E$502, IFERROR(MATCH(B458,'Location Master'!$G$2:$G$502,0), IFERROR(MATCH(B458&amp;" (*",'Location Master'!$G$2:$G$502,0), MATCH(B458&amp;"*",'Location Master'!$G$2:$G$502,0)))), ""))</f>
        <v/>
      </c>
      <c r="E458" s="116"/>
      <c r="F458" s="117"/>
      <c r="G458" s="114" t="str">
        <f>IF(B458="","",IFERROR(VLOOKUP(B458,'Material Master'!$A$2:$E$201,4,FALSE),""))</f>
        <v/>
      </c>
      <c r="H458" s="114"/>
      <c r="I458" s="114"/>
      <c r="J458" s="1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4.0" customHeight="1">
      <c r="A459" s="113"/>
      <c r="B459" s="114"/>
      <c r="C459" s="114" t="str">
        <f>IF(B459="","",IFERROR(VLOOKUP(B459,'Material Master'!$A$2:$E$201,2,FALSE),""))</f>
        <v/>
      </c>
      <c r="D459" s="114" t="str">
        <f t="array" ref="D459">IF(B459="","",IFERROR(INDEX('Location Master'!$E$2:$E$502, IFERROR(MATCH(B459,'Location Master'!$G$2:$G$502,0), IFERROR(MATCH(B459&amp;" (*",'Location Master'!$G$2:$G$502,0), MATCH(B459&amp;"*",'Location Master'!$G$2:$G$502,0)))), ""))</f>
        <v/>
      </c>
      <c r="E459" s="116"/>
      <c r="F459" s="117"/>
      <c r="G459" s="114" t="str">
        <f>IF(B459="","",IFERROR(VLOOKUP(B459,'Material Master'!$A$2:$E$201,4,FALSE),""))</f>
        <v/>
      </c>
      <c r="H459" s="114"/>
      <c r="I459" s="114"/>
      <c r="J459" s="1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4.0" customHeight="1">
      <c r="A460" s="113"/>
      <c r="B460" s="114"/>
      <c r="C460" s="114" t="str">
        <f>IF(B460="","",IFERROR(VLOOKUP(B460,'Material Master'!$A$2:$E$201,2,FALSE),""))</f>
        <v/>
      </c>
      <c r="D460" s="114" t="str">
        <f t="array" ref="D460">IF(B460="","",IFERROR(INDEX('Location Master'!$E$2:$E$502, IFERROR(MATCH(B460,'Location Master'!$G$2:$G$502,0), IFERROR(MATCH(B460&amp;" (*",'Location Master'!$G$2:$G$502,0), MATCH(B460&amp;"*",'Location Master'!$G$2:$G$502,0)))), ""))</f>
        <v/>
      </c>
      <c r="E460" s="116"/>
      <c r="F460" s="117"/>
      <c r="G460" s="114" t="str">
        <f>IF(B460="","",IFERROR(VLOOKUP(B460,'Material Master'!$A$2:$E$201,4,FALSE),""))</f>
        <v/>
      </c>
      <c r="H460" s="114"/>
      <c r="I460" s="114"/>
      <c r="J460" s="1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4.0" customHeight="1">
      <c r="A461" s="113"/>
      <c r="B461" s="114"/>
      <c r="C461" s="114" t="str">
        <f>IF(B461="","",IFERROR(VLOOKUP(B461,'Material Master'!$A$2:$E$201,2,FALSE),""))</f>
        <v/>
      </c>
      <c r="D461" s="114" t="str">
        <f t="array" ref="D461">IF(B461="","",IFERROR(INDEX('Location Master'!$E$2:$E$502, IFERROR(MATCH(B461,'Location Master'!$G$2:$G$502,0), IFERROR(MATCH(B461&amp;" (*",'Location Master'!$G$2:$G$502,0), MATCH(B461&amp;"*",'Location Master'!$G$2:$G$502,0)))), ""))</f>
        <v/>
      </c>
      <c r="E461" s="116"/>
      <c r="F461" s="117"/>
      <c r="G461" s="114" t="str">
        <f>IF(B461="","",IFERROR(VLOOKUP(B461,'Material Master'!$A$2:$E$201,4,FALSE),""))</f>
        <v/>
      </c>
      <c r="H461" s="114"/>
      <c r="I461" s="114"/>
      <c r="J461" s="1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4.0" customHeight="1">
      <c r="A462" s="113"/>
      <c r="B462" s="114"/>
      <c r="C462" s="114" t="str">
        <f>IF(B462="","",IFERROR(VLOOKUP(B462,'Material Master'!$A$2:$E$201,2,FALSE),""))</f>
        <v/>
      </c>
      <c r="D462" s="114" t="str">
        <f t="array" ref="D462">IF(B462="","",IFERROR(INDEX('Location Master'!$E$2:$E$502, IFERROR(MATCH(B462,'Location Master'!$G$2:$G$502,0), IFERROR(MATCH(B462&amp;" (*",'Location Master'!$G$2:$G$502,0), MATCH(B462&amp;"*",'Location Master'!$G$2:$G$502,0)))), ""))</f>
        <v/>
      </c>
      <c r="E462" s="116"/>
      <c r="F462" s="117"/>
      <c r="G462" s="114" t="str">
        <f>IF(B462="","",IFERROR(VLOOKUP(B462,'Material Master'!$A$2:$E$201,4,FALSE),""))</f>
        <v/>
      </c>
      <c r="H462" s="114"/>
      <c r="I462" s="114"/>
      <c r="J462" s="1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4.0" customHeight="1">
      <c r="A463" s="113"/>
      <c r="B463" s="114"/>
      <c r="C463" s="114" t="str">
        <f>IF(B463="","",IFERROR(VLOOKUP(B463,'Material Master'!$A$2:$E$201,2,FALSE),""))</f>
        <v/>
      </c>
      <c r="D463" s="114" t="str">
        <f t="array" ref="D463">IF(B463="","",IFERROR(INDEX('Location Master'!$E$2:$E$502, IFERROR(MATCH(B463,'Location Master'!$G$2:$G$502,0), IFERROR(MATCH(B463&amp;" (*",'Location Master'!$G$2:$G$502,0), MATCH(B463&amp;"*",'Location Master'!$G$2:$G$502,0)))), ""))</f>
        <v/>
      </c>
      <c r="E463" s="116"/>
      <c r="F463" s="117"/>
      <c r="G463" s="114" t="str">
        <f>IF(B463="","",IFERROR(VLOOKUP(B463,'Material Master'!$A$2:$E$201,4,FALSE),""))</f>
        <v/>
      </c>
      <c r="H463" s="114"/>
      <c r="I463" s="114"/>
      <c r="J463" s="1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4.0" customHeight="1">
      <c r="A464" s="113"/>
      <c r="B464" s="114"/>
      <c r="C464" s="114" t="str">
        <f>IF(B464="","",IFERROR(VLOOKUP(B464,'Material Master'!$A$2:$E$201,2,FALSE),""))</f>
        <v/>
      </c>
      <c r="D464" s="114" t="str">
        <f t="array" ref="D464">IF(B464="","",IFERROR(INDEX('Location Master'!$E$2:$E$502, IFERROR(MATCH(B464,'Location Master'!$G$2:$G$502,0), IFERROR(MATCH(B464&amp;" (*",'Location Master'!$G$2:$G$502,0), MATCH(B464&amp;"*",'Location Master'!$G$2:$G$502,0)))), ""))</f>
        <v/>
      </c>
      <c r="E464" s="116"/>
      <c r="F464" s="117"/>
      <c r="G464" s="114" t="str">
        <f>IF(B464="","",IFERROR(VLOOKUP(B464,'Material Master'!$A$2:$E$201,4,FALSE),""))</f>
        <v/>
      </c>
      <c r="H464" s="114"/>
      <c r="I464" s="114"/>
      <c r="J464" s="1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4.0" customHeight="1">
      <c r="A465" s="113"/>
      <c r="B465" s="114"/>
      <c r="C465" s="114" t="str">
        <f>IF(B465="","",IFERROR(VLOOKUP(B465,'Material Master'!$A$2:$E$201,2,FALSE),""))</f>
        <v/>
      </c>
      <c r="D465" s="114" t="str">
        <f t="array" ref="D465">IF(B465="","",IFERROR(INDEX('Location Master'!$E$2:$E$502, IFERROR(MATCH(B465,'Location Master'!$G$2:$G$502,0), IFERROR(MATCH(B465&amp;" (*",'Location Master'!$G$2:$G$502,0), MATCH(B465&amp;"*",'Location Master'!$G$2:$G$502,0)))), ""))</f>
        <v/>
      </c>
      <c r="E465" s="116"/>
      <c r="F465" s="117"/>
      <c r="G465" s="114" t="str">
        <f>IF(B465="","",IFERROR(VLOOKUP(B465,'Material Master'!$A$2:$E$201,4,FALSE),""))</f>
        <v/>
      </c>
      <c r="H465" s="114"/>
      <c r="I465" s="114"/>
      <c r="J465" s="1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4.0" customHeight="1">
      <c r="A466" s="113"/>
      <c r="B466" s="114"/>
      <c r="C466" s="114" t="str">
        <f>IF(B466="","",IFERROR(VLOOKUP(B466,'Material Master'!$A$2:$E$201,2,FALSE),""))</f>
        <v/>
      </c>
      <c r="D466" s="114" t="str">
        <f t="array" ref="D466">IF(B466="","",IFERROR(INDEX('Location Master'!$E$2:$E$502, IFERROR(MATCH(B466,'Location Master'!$G$2:$G$502,0), IFERROR(MATCH(B466&amp;" (*",'Location Master'!$G$2:$G$502,0), MATCH(B466&amp;"*",'Location Master'!$G$2:$G$502,0)))), ""))</f>
        <v/>
      </c>
      <c r="E466" s="116"/>
      <c r="F466" s="117"/>
      <c r="G466" s="114" t="str">
        <f>IF(B466="","",IFERROR(VLOOKUP(B466,'Material Master'!$A$2:$E$201,4,FALSE),""))</f>
        <v/>
      </c>
      <c r="H466" s="114"/>
      <c r="I466" s="114"/>
      <c r="J466" s="1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4.0" customHeight="1">
      <c r="A467" s="113"/>
      <c r="B467" s="114"/>
      <c r="C467" s="114" t="str">
        <f>IF(B467="","",IFERROR(VLOOKUP(B467,'Material Master'!$A$2:$E$201,2,FALSE),""))</f>
        <v/>
      </c>
      <c r="D467" s="114" t="str">
        <f t="array" ref="D467">IF(B467="","",IFERROR(INDEX('Location Master'!$E$2:$E$502, IFERROR(MATCH(B467,'Location Master'!$G$2:$G$502,0), IFERROR(MATCH(B467&amp;" (*",'Location Master'!$G$2:$G$502,0), MATCH(B467&amp;"*",'Location Master'!$G$2:$G$502,0)))), ""))</f>
        <v/>
      </c>
      <c r="E467" s="116"/>
      <c r="F467" s="117"/>
      <c r="G467" s="114" t="str">
        <f>IF(B467="","",IFERROR(VLOOKUP(B467,'Material Master'!$A$2:$E$201,4,FALSE),""))</f>
        <v/>
      </c>
      <c r="H467" s="114"/>
      <c r="I467" s="114"/>
      <c r="J467" s="1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4.0" customHeight="1">
      <c r="A468" s="113"/>
      <c r="B468" s="114"/>
      <c r="C468" s="114" t="str">
        <f>IF(B468="","",IFERROR(VLOOKUP(B468,'Material Master'!$A$2:$E$201,2,FALSE),""))</f>
        <v/>
      </c>
      <c r="D468" s="114" t="str">
        <f t="array" ref="D468">IF(B468="","",IFERROR(INDEX('Location Master'!$E$2:$E$502, IFERROR(MATCH(B468,'Location Master'!$G$2:$G$502,0), IFERROR(MATCH(B468&amp;" (*",'Location Master'!$G$2:$G$502,0), MATCH(B468&amp;"*",'Location Master'!$G$2:$G$502,0)))), ""))</f>
        <v/>
      </c>
      <c r="E468" s="116"/>
      <c r="F468" s="117"/>
      <c r="G468" s="114" t="str">
        <f>IF(B468="","",IFERROR(VLOOKUP(B468,'Material Master'!$A$2:$E$201,4,FALSE),""))</f>
        <v/>
      </c>
      <c r="H468" s="114"/>
      <c r="I468" s="114"/>
      <c r="J468" s="1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4.0" customHeight="1">
      <c r="A469" s="113"/>
      <c r="B469" s="114"/>
      <c r="C469" s="114" t="str">
        <f>IF(B469="","",IFERROR(VLOOKUP(B469,'Material Master'!$A$2:$E$201,2,FALSE),""))</f>
        <v/>
      </c>
      <c r="D469" s="114" t="str">
        <f t="array" ref="D469">IF(B469="","",IFERROR(INDEX('Location Master'!$E$2:$E$502, IFERROR(MATCH(B469,'Location Master'!$G$2:$G$502,0), IFERROR(MATCH(B469&amp;" (*",'Location Master'!$G$2:$G$502,0), MATCH(B469&amp;"*",'Location Master'!$G$2:$G$502,0)))), ""))</f>
        <v/>
      </c>
      <c r="E469" s="116"/>
      <c r="F469" s="117"/>
      <c r="G469" s="114" t="str">
        <f>IF(B469="","",IFERROR(VLOOKUP(B469,'Material Master'!$A$2:$E$201,4,FALSE),""))</f>
        <v/>
      </c>
      <c r="H469" s="114"/>
      <c r="I469" s="114"/>
      <c r="J469" s="1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4.0" customHeight="1">
      <c r="A470" s="113"/>
      <c r="B470" s="114"/>
      <c r="C470" s="114" t="str">
        <f>IF(B470="","",IFERROR(VLOOKUP(B470,'Material Master'!$A$2:$E$201,2,FALSE),""))</f>
        <v/>
      </c>
      <c r="D470" s="114" t="str">
        <f t="array" ref="D470">IF(B470="","",IFERROR(INDEX('Location Master'!$E$2:$E$502, IFERROR(MATCH(B470,'Location Master'!$G$2:$G$502,0), IFERROR(MATCH(B470&amp;" (*",'Location Master'!$G$2:$G$502,0), MATCH(B470&amp;"*",'Location Master'!$G$2:$G$502,0)))), ""))</f>
        <v/>
      </c>
      <c r="E470" s="116"/>
      <c r="F470" s="117"/>
      <c r="G470" s="114" t="str">
        <f>IF(B470="","",IFERROR(VLOOKUP(B470,'Material Master'!$A$2:$E$201,4,FALSE),""))</f>
        <v/>
      </c>
      <c r="H470" s="114"/>
      <c r="I470" s="114"/>
      <c r="J470" s="1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4.0" customHeight="1">
      <c r="A471" s="113"/>
      <c r="B471" s="114"/>
      <c r="C471" s="114" t="str">
        <f>IF(B471="","",IFERROR(VLOOKUP(B471,'Material Master'!$A$2:$E$201,2,FALSE),""))</f>
        <v/>
      </c>
      <c r="D471" s="114" t="str">
        <f t="array" ref="D471">IF(B471="","",IFERROR(INDEX('Location Master'!$E$2:$E$502, IFERROR(MATCH(B471,'Location Master'!$G$2:$G$502,0), IFERROR(MATCH(B471&amp;" (*",'Location Master'!$G$2:$G$502,0), MATCH(B471&amp;"*",'Location Master'!$G$2:$G$502,0)))), ""))</f>
        <v/>
      </c>
      <c r="E471" s="116"/>
      <c r="F471" s="117"/>
      <c r="G471" s="114" t="str">
        <f>IF(B471="","",IFERROR(VLOOKUP(B471,'Material Master'!$A$2:$E$201,4,FALSE),""))</f>
        <v/>
      </c>
      <c r="H471" s="114"/>
      <c r="I471" s="114"/>
      <c r="J471" s="1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4.0" customHeight="1">
      <c r="A472" s="113"/>
      <c r="B472" s="114"/>
      <c r="C472" s="114" t="str">
        <f>IF(B472="","",IFERROR(VLOOKUP(B472,'Material Master'!$A$2:$E$201,2,FALSE),""))</f>
        <v/>
      </c>
      <c r="D472" s="114" t="str">
        <f t="array" ref="D472">IF(B472="","",IFERROR(INDEX('Location Master'!$E$2:$E$502, IFERROR(MATCH(B472,'Location Master'!$G$2:$G$502,0), IFERROR(MATCH(B472&amp;" (*",'Location Master'!$G$2:$G$502,0), MATCH(B472&amp;"*",'Location Master'!$G$2:$G$502,0)))), ""))</f>
        <v/>
      </c>
      <c r="E472" s="116"/>
      <c r="F472" s="117"/>
      <c r="G472" s="114" t="str">
        <f>IF(B472="","",IFERROR(VLOOKUP(B472,'Material Master'!$A$2:$E$201,4,FALSE),""))</f>
        <v/>
      </c>
      <c r="H472" s="114"/>
      <c r="I472" s="114"/>
      <c r="J472" s="1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4.0" customHeight="1">
      <c r="A473" s="113"/>
      <c r="B473" s="114"/>
      <c r="C473" s="114" t="str">
        <f>IF(B473="","",IFERROR(VLOOKUP(B473,'Material Master'!$A$2:$E$201,2,FALSE),""))</f>
        <v/>
      </c>
      <c r="D473" s="114" t="str">
        <f t="array" ref="D473">IF(B473="","",IFERROR(INDEX('Location Master'!$E$2:$E$502, IFERROR(MATCH(B473,'Location Master'!$G$2:$G$502,0), IFERROR(MATCH(B473&amp;" (*",'Location Master'!$G$2:$G$502,0), MATCH(B473&amp;"*",'Location Master'!$G$2:$G$502,0)))), ""))</f>
        <v/>
      </c>
      <c r="E473" s="116"/>
      <c r="F473" s="117"/>
      <c r="G473" s="114" t="str">
        <f>IF(B473="","",IFERROR(VLOOKUP(B473,'Material Master'!$A$2:$E$201,4,FALSE),""))</f>
        <v/>
      </c>
      <c r="H473" s="114"/>
      <c r="I473" s="114"/>
      <c r="J473" s="1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4.0" customHeight="1">
      <c r="A474" s="113"/>
      <c r="B474" s="114"/>
      <c r="C474" s="114" t="str">
        <f>IF(B474="","",IFERROR(VLOOKUP(B474,'Material Master'!$A$2:$E$201,2,FALSE),""))</f>
        <v/>
      </c>
      <c r="D474" s="114" t="str">
        <f t="array" ref="D474">IF(B474="","",IFERROR(INDEX('Location Master'!$E$2:$E$502, IFERROR(MATCH(B474,'Location Master'!$G$2:$G$502,0), IFERROR(MATCH(B474&amp;" (*",'Location Master'!$G$2:$G$502,0), MATCH(B474&amp;"*",'Location Master'!$G$2:$G$502,0)))), ""))</f>
        <v/>
      </c>
      <c r="E474" s="116"/>
      <c r="F474" s="117"/>
      <c r="G474" s="114" t="str">
        <f>IF(B474="","",IFERROR(VLOOKUP(B474,'Material Master'!$A$2:$E$201,4,FALSE),""))</f>
        <v/>
      </c>
      <c r="H474" s="114"/>
      <c r="I474" s="114"/>
      <c r="J474" s="1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4.0" customHeight="1">
      <c r="A475" s="113"/>
      <c r="B475" s="114"/>
      <c r="C475" s="114" t="str">
        <f>IF(B475="","",IFERROR(VLOOKUP(B475,'Material Master'!$A$2:$E$201,2,FALSE),""))</f>
        <v/>
      </c>
      <c r="D475" s="114" t="str">
        <f t="array" ref="D475">IF(B475="","",IFERROR(INDEX('Location Master'!$E$2:$E$502, IFERROR(MATCH(B475,'Location Master'!$G$2:$G$502,0), IFERROR(MATCH(B475&amp;" (*",'Location Master'!$G$2:$G$502,0), MATCH(B475&amp;"*",'Location Master'!$G$2:$G$502,0)))), ""))</f>
        <v/>
      </c>
      <c r="E475" s="116"/>
      <c r="F475" s="117"/>
      <c r="G475" s="114" t="str">
        <f>IF(B475="","",IFERROR(VLOOKUP(B475,'Material Master'!$A$2:$E$201,4,FALSE),""))</f>
        <v/>
      </c>
      <c r="H475" s="114"/>
      <c r="I475" s="114"/>
      <c r="J475" s="1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4.0" customHeight="1">
      <c r="A476" s="113"/>
      <c r="B476" s="114"/>
      <c r="C476" s="114" t="str">
        <f>IF(B476="","",IFERROR(VLOOKUP(B476,'Material Master'!$A$2:$E$201,2,FALSE),""))</f>
        <v/>
      </c>
      <c r="D476" s="114" t="str">
        <f t="array" ref="D476">IF(B476="","",IFERROR(INDEX('Location Master'!$E$2:$E$502, IFERROR(MATCH(B476,'Location Master'!$G$2:$G$502,0), IFERROR(MATCH(B476&amp;" (*",'Location Master'!$G$2:$G$502,0), MATCH(B476&amp;"*",'Location Master'!$G$2:$G$502,0)))), ""))</f>
        <v/>
      </c>
      <c r="E476" s="116"/>
      <c r="F476" s="117"/>
      <c r="G476" s="114" t="str">
        <f>IF(B476="","",IFERROR(VLOOKUP(B476,'Material Master'!$A$2:$E$201,4,FALSE),""))</f>
        <v/>
      </c>
      <c r="H476" s="114"/>
      <c r="I476" s="114"/>
      <c r="J476" s="1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4.0" customHeight="1">
      <c r="A477" s="113"/>
      <c r="B477" s="114"/>
      <c r="C477" s="114" t="str">
        <f>IF(B477="","",IFERROR(VLOOKUP(B477,'Material Master'!$A$2:$E$201,2,FALSE),""))</f>
        <v/>
      </c>
      <c r="D477" s="114" t="str">
        <f t="array" ref="D477">IF(B477="","",IFERROR(INDEX('Location Master'!$E$2:$E$502, IFERROR(MATCH(B477,'Location Master'!$G$2:$G$502,0), IFERROR(MATCH(B477&amp;" (*",'Location Master'!$G$2:$G$502,0), MATCH(B477&amp;"*",'Location Master'!$G$2:$G$502,0)))), ""))</f>
        <v/>
      </c>
      <c r="E477" s="116"/>
      <c r="F477" s="117"/>
      <c r="G477" s="114" t="str">
        <f>IF(B477="","",IFERROR(VLOOKUP(B477,'Material Master'!$A$2:$E$201,4,FALSE),""))</f>
        <v/>
      </c>
      <c r="H477" s="114"/>
      <c r="I477" s="114"/>
      <c r="J477" s="1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4.0" customHeight="1">
      <c r="A478" s="113"/>
      <c r="B478" s="114"/>
      <c r="C478" s="114" t="str">
        <f>IF(B478="","",IFERROR(VLOOKUP(B478,'Material Master'!$A$2:$E$201,2,FALSE),""))</f>
        <v/>
      </c>
      <c r="D478" s="114" t="str">
        <f t="array" ref="D478">IF(B478="","",IFERROR(INDEX('Location Master'!$E$2:$E$502, IFERROR(MATCH(B478,'Location Master'!$G$2:$G$502,0), IFERROR(MATCH(B478&amp;" (*",'Location Master'!$G$2:$G$502,0), MATCH(B478&amp;"*",'Location Master'!$G$2:$G$502,0)))), ""))</f>
        <v/>
      </c>
      <c r="E478" s="116"/>
      <c r="F478" s="117"/>
      <c r="G478" s="114" t="str">
        <f>IF(B478="","",IFERROR(VLOOKUP(B478,'Material Master'!$A$2:$E$201,4,FALSE),""))</f>
        <v/>
      </c>
      <c r="H478" s="114"/>
      <c r="I478" s="114"/>
      <c r="J478" s="1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4.0" customHeight="1">
      <c r="A479" s="113"/>
      <c r="B479" s="114"/>
      <c r="C479" s="114" t="str">
        <f>IF(B479="","",IFERROR(VLOOKUP(B479,'Material Master'!$A$2:$E$201,2,FALSE),""))</f>
        <v/>
      </c>
      <c r="D479" s="114" t="str">
        <f t="array" ref="D479">IF(B479="","",IFERROR(INDEX('Location Master'!$E$2:$E$502, IFERROR(MATCH(B479,'Location Master'!$G$2:$G$502,0), IFERROR(MATCH(B479&amp;" (*",'Location Master'!$G$2:$G$502,0), MATCH(B479&amp;"*",'Location Master'!$G$2:$G$502,0)))), ""))</f>
        <v/>
      </c>
      <c r="E479" s="116"/>
      <c r="F479" s="117"/>
      <c r="G479" s="114" t="str">
        <f>IF(B479="","",IFERROR(VLOOKUP(B479,'Material Master'!$A$2:$E$201,4,FALSE),""))</f>
        <v/>
      </c>
      <c r="H479" s="114"/>
      <c r="I479" s="114"/>
      <c r="J479" s="1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4.0" customHeight="1">
      <c r="A480" s="113"/>
      <c r="B480" s="114"/>
      <c r="C480" s="114" t="str">
        <f>IF(B480="","",IFERROR(VLOOKUP(B480,'Material Master'!$A$2:$E$201,2,FALSE),""))</f>
        <v/>
      </c>
      <c r="D480" s="114" t="str">
        <f t="array" ref="D480">IF(B480="","",IFERROR(INDEX('Location Master'!$E$2:$E$502, IFERROR(MATCH(B480,'Location Master'!$G$2:$G$502,0), IFERROR(MATCH(B480&amp;" (*",'Location Master'!$G$2:$G$502,0), MATCH(B480&amp;"*",'Location Master'!$G$2:$G$502,0)))), ""))</f>
        <v/>
      </c>
      <c r="E480" s="116"/>
      <c r="F480" s="117"/>
      <c r="G480" s="114" t="str">
        <f>IF(B480="","",IFERROR(VLOOKUP(B480,'Material Master'!$A$2:$E$201,4,FALSE),""))</f>
        <v/>
      </c>
      <c r="H480" s="114"/>
      <c r="I480" s="114"/>
      <c r="J480" s="1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4.0" customHeight="1">
      <c r="A481" s="113"/>
      <c r="B481" s="114"/>
      <c r="C481" s="114" t="str">
        <f>IF(B481="","",IFERROR(VLOOKUP(B481,'Material Master'!$A$2:$E$201,2,FALSE),""))</f>
        <v/>
      </c>
      <c r="D481" s="114" t="str">
        <f t="array" ref="D481">IF(B481="","",IFERROR(INDEX('Location Master'!$E$2:$E$502, IFERROR(MATCH(B481,'Location Master'!$G$2:$G$502,0), IFERROR(MATCH(B481&amp;" (*",'Location Master'!$G$2:$G$502,0), MATCH(B481&amp;"*",'Location Master'!$G$2:$G$502,0)))), ""))</f>
        <v/>
      </c>
      <c r="E481" s="116"/>
      <c r="F481" s="117"/>
      <c r="G481" s="114" t="str">
        <f>IF(B481="","",IFERROR(VLOOKUP(B481,'Material Master'!$A$2:$E$201,4,FALSE),""))</f>
        <v/>
      </c>
      <c r="H481" s="114"/>
      <c r="I481" s="114"/>
      <c r="J481" s="1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4.0" customHeight="1">
      <c r="A482" s="113"/>
      <c r="B482" s="114"/>
      <c r="C482" s="114" t="str">
        <f>IF(B482="","",IFERROR(VLOOKUP(B482,'Material Master'!$A$2:$E$201,2,FALSE),""))</f>
        <v/>
      </c>
      <c r="D482" s="114" t="str">
        <f t="array" ref="D482">IF(B482="","",IFERROR(INDEX('Location Master'!$E$2:$E$502, IFERROR(MATCH(B482,'Location Master'!$G$2:$G$502,0), IFERROR(MATCH(B482&amp;" (*",'Location Master'!$G$2:$G$502,0), MATCH(B482&amp;"*",'Location Master'!$G$2:$G$502,0)))), ""))</f>
        <v/>
      </c>
      <c r="E482" s="116"/>
      <c r="F482" s="117"/>
      <c r="G482" s="114" t="str">
        <f>IF(B482="","",IFERROR(VLOOKUP(B482,'Material Master'!$A$2:$E$201,4,FALSE),""))</f>
        <v/>
      </c>
      <c r="H482" s="114"/>
      <c r="I482" s="114"/>
      <c r="J482" s="1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4.0" customHeight="1">
      <c r="A483" s="113"/>
      <c r="B483" s="114"/>
      <c r="C483" s="114" t="str">
        <f>IF(B483="","",IFERROR(VLOOKUP(B483,'Material Master'!$A$2:$E$201,2,FALSE),""))</f>
        <v/>
      </c>
      <c r="D483" s="114" t="str">
        <f t="array" ref="D483">IF(B483="","",IFERROR(INDEX('Location Master'!$E$2:$E$502, IFERROR(MATCH(B483,'Location Master'!$G$2:$G$502,0), IFERROR(MATCH(B483&amp;" (*",'Location Master'!$G$2:$G$502,0), MATCH(B483&amp;"*",'Location Master'!$G$2:$G$502,0)))), ""))</f>
        <v/>
      </c>
      <c r="E483" s="116"/>
      <c r="F483" s="117"/>
      <c r="G483" s="114" t="str">
        <f>IF(B483="","",IFERROR(VLOOKUP(B483,'Material Master'!$A$2:$E$201,4,FALSE),""))</f>
        <v/>
      </c>
      <c r="H483" s="114"/>
      <c r="I483" s="114"/>
      <c r="J483" s="1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4.0" customHeight="1">
      <c r="A484" s="113"/>
      <c r="B484" s="114"/>
      <c r="C484" s="114" t="str">
        <f>IF(B484="","",IFERROR(VLOOKUP(B484,'Material Master'!$A$2:$E$201,2,FALSE),""))</f>
        <v/>
      </c>
      <c r="D484" s="114" t="str">
        <f t="array" ref="D484">IF(B484="","",IFERROR(INDEX('Location Master'!$E$2:$E$502, IFERROR(MATCH(B484,'Location Master'!$G$2:$G$502,0), IFERROR(MATCH(B484&amp;" (*",'Location Master'!$G$2:$G$502,0), MATCH(B484&amp;"*",'Location Master'!$G$2:$G$502,0)))), ""))</f>
        <v/>
      </c>
      <c r="E484" s="116"/>
      <c r="F484" s="117"/>
      <c r="G484" s="114" t="str">
        <f>IF(B484="","",IFERROR(VLOOKUP(B484,'Material Master'!$A$2:$E$201,4,FALSE),""))</f>
        <v/>
      </c>
      <c r="H484" s="114"/>
      <c r="I484" s="114"/>
      <c r="J484" s="1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4.0" customHeight="1">
      <c r="A485" s="113"/>
      <c r="B485" s="114"/>
      <c r="C485" s="114" t="str">
        <f>IF(B485="","",IFERROR(VLOOKUP(B485,'Material Master'!$A$2:$E$201,2,FALSE),""))</f>
        <v/>
      </c>
      <c r="D485" s="114" t="str">
        <f t="array" ref="D485">IF(B485="","",IFERROR(INDEX('Location Master'!$E$2:$E$502, IFERROR(MATCH(B485,'Location Master'!$G$2:$G$502,0), IFERROR(MATCH(B485&amp;" (*",'Location Master'!$G$2:$G$502,0), MATCH(B485&amp;"*",'Location Master'!$G$2:$G$502,0)))), ""))</f>
        <v/>
      </c>
      <c r="E485" s="116"/>
      <c r="F485" s="117"/>
      <c r="G485" s="114" t="str">
        <f>IF(B485="","",IFERROR(VLOOKUP(B485,'Material Master'!$A$2:$E$201,4,FALSE),""))</f>
        <v/>
      </c>
      <c r="H485" s="114"/>
      <c r="I485" s="114"/>
      <c r="J485" s="1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4.0" customHeight="1">
      <c r="A486" s="113"/>
      <c r="B486" s="114"/>
      <c r="C486" s="114" t="str">
        <f>IF(B486="","",IFERROR(VLOOKUP(B486,'Material Master'!$A$2:$E$201,2,FALSE),""))</f>
        <v/>
      </c>
      <c r="D486" s="114" t="str">
        <f t="array" ref="D486">IF(B486="","",IFERROR(INDEX('Location Master'!$E$2:$E$502, IFERROR(MATCH(B486,'Location Master'!$G$2:$G$502,0), IFERROR(MATCH(B486&amp;" (*",'Location Master'!$G$2:$G$502,0), MATCH(B486&amp;"*",'Location Master'!$G$2:$G$502,0)))), ""))</f>
        <v/>
      </c>
      <c r="E486" s="116"/>
      <c r="F486" s="117"/>
      <c r="G486" s="114" t="str">
        <f>IF(B486="","",IFERROR(VLOOKUP(B486,'Material Master'!$A$2:$E$201,4,FALSE),""))</f>
        <v/>
      </c>
      <c r="H486" s="114"/>
      <c r="I486" s="114"/>
      <c r="J486" s="1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4.0" customHeight="1">
      <c r="A487" s="113"/>
      <c r="B487" s="114"/>
      <c r="C487" s="114" t="str">
        <f>IF(B487="","",IFERROR(VLOOKUP(B487,'Material Master'!$A$2:$E$201,2,FALSE),""))</f>
        <v/>
      </c>
      <c r="D487" s="114" t="str">
        <f t="array" ref="D487">IF(B487="","",IFERROR(INDEX('Location Master'!$E$2:$E$502, IFERROR(MATCH(B487,'Location Master'!$G$2:$G$502,0), IFERROR(MATCH(B487&amp;" (*",'Location Master'!$G$2:$G$502,0), MATCH(B487&amp;"*",'Location Master'!$G$2:$G$502,0)))), ""))</f>
        <v/>
      </c>
      <c r="E487" s="116"/>
      <c r="F487" s="117"/>
      <c r="G487" s="114" t="str">
        <f>IF(B487="","",IFERROR(VLOOKUP(B487,'Material Master'!$A$2:$E$201,4,FALSE),""))</f>
        <v/>
      </c>
      <c r="H487" s="114"/>
      <c r="I487" s="114"/>
      <c r="J487" s="1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4.0" customHeight="1">
      <c r="A488" s="113"/>
      <c r="B488" s="114"/>
      <c r="C488" s="114" t="str">
        <f>IF(B488="","",IFERROR(VLOOKUP(B488,'Material Master'!$A$2:$E$201,2,FALSE),""))</f>
        <v/>
      </c>
      <c r="D488" s="114" t="str">
        <f t="array" ref="D488">IF(B488="","",IFERROR(INDEX('Location Master'!$E$2:$E$502, IFERROR(MATCH(B488,'Location Master'!$G$2:$G$502,0), IFERROR(MATCH(B488&amp;" (*",'Location Master'!$G$2:$G$502,0), MATCH(B488&amp;"*",'Location Master'!$G$2:$G$502,0)))), ""))</f>
        <v/>
      </c>
      <c r="E488" s="116"/>
      <c r="F488" s="117"/>
      <c r="G488" s="114" t="str">
        <f>IF(B488="","",IFERROR(VLOOKUP(B488,'Material Master'!$A$2:$E$201,4,FALSE),""))</f>
        <v/>
      </c>
      <c r="H488" s="114"/>
      <c r="I488" s="114"/>
      <c r="J488" s="1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4.0" customHeight="1">
      <c r="A489" s="113"/>
      <c r="B489" s="114"/>
      <c r="C489" s="114" t="str">
        <f>IF(B489="","",IFERROR(VLOOKUP(B489,'Material Master'!$A$2:$E$201,2,FALSE),""))</f>
        <v/>
      </c>
      <c r="D489" s="114" t="str">
        <f t="array" ref="D489">IF(B489="","",IFERROR(INDEX('Location Master'!$E$2:$E$502, IFERROR(MATCH(B489,'Location Master'!$G$2:$G$502,0), IFERROR(MATCH(B489&amp;" (*",'Location Master'!$G$2:$G$502,0), MATCH(B489&amp;"*",'Location Master'!$G$2:$G$502,0)))), ""))</f>
        <v/>
      </c>
      <c r="E489" s="116"/>
      <c r="F489" s="117"/>
      <c r="G489" s="114" t="str">
        <f>IF(B489="","",IFERROR(VLOOKUP(B489,'Material Master'!$A$2:$E$201,4,FALSE),""))</f>
        <v/>
      </c>
      <c r="H489" s="114"/>
      <c r="I489" s="114"/>
      <c r="J489" s="1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4.0" customHeight="1">
      <c r="A490" s="113"/>
      <c r="B490" s="114"/>
      <c r="C490" s="114" t="str">
        <f>IF(B490="","",IFERROR(VLOOKUP(B490,'Material Master'!$A$2:$E$201,2,FALSE),""))</f>
        <v/>
      </c>
      <c r="D490" s="114" t="str">
        <f t="array" ref="D490">IF(B490="","",IFERROR(INDEX('Location Master'!$E$2:$E$502, IFERROR(MATCH(B490,'Location Master'!$G$2:$G$502,0), IFERROR(MATCH(B490&amp;" (*",'Location Master'!$G$2:$G$502,0), MATCH(B490&amp;"*",'Location Master'!$G$2:$G$502,0)))), ""))</f>
        <v/>
      </c>
      <c r="E490" s="116"/>
      <c r="F490" s="117"/>
      <c r="G490" s="114" t="str">
        <f>IF(B490="","",IFERROR(VLOOKUP(B490,'Material Master'!$A$2:$E$201,4,FALSE),""))</f>
        <v/>
      </c>
      <c r="H490" s="114"/>
      <c r="I490" s="114"/>
      <c r="J490" s="1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4.0" customHeight="1">
      <c r="A491" s="113"/>
      <c r="B491" s="114"/>
      <c r="C491" s="114" t="str">
        <f>IF(B491="","",IFERROR(VLOOKUP(B491,'Material Master'!$A$2:$E$201,2,FALSE),""))</f>
        <v/>
      </c>
      <c r="D491" s="114" t="str">
        <f t="array" ref="D491">IF(B491="","",IFERROR(INDEX('Location Master'!$E$2:$E$502, IFERROR(MATCH(B491,'Location Master'!$G$2:$G$502,0), IFERROR(MATCH(B491&amp;" (*",'Location Master'!$G$2:$G$502,0), MATCH(B491&amp;"*",'Location Master'!$G$2:$G$502,0)))), ""))</f>
        <v/>
      </c>
      <c r="E491" s="116"/>
      <c r="F491" s="117"/>
      <c r="G491" s="114" t="str">
        <f>IF(B491="","",IFERROR(VLOOKUP(B491,'Material Master'!$A$2:$E$201,4,FALSE),""))</f>
        <v/>
      </c>
      <c r="H491" s="114"/>
      <c r="I491" s="114"/>
      <c r="J491" s="1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4.0" customHeight="1">
      <c r="A492" s="113"/>
      <c r="B492" s="114"/>
      <c r="C492" s="114" t="str">
        <f>IF(B492="","",IFERROR(VLOOKUP(B492,'Material Master'!$A$2:$E$201,2,FALSE),""))</f>
        <v/>
      </c>
      <c r="D492" s="114" t="str">
        <f t="array" ref="D492">IF(B492="","",IFERROR(INDEX('Location Master'!$E$2:$E$502, IFERROR(MATCH(B492,'Location Master'!$G$2:$G$502,0), IFERROR(MATCH(B492&amp;" (*",'Location Master'!$G$2:$G$502,0), MATCH(B492&amp;"*",'Location Master'!$G$2:$G$502,0)))), ""))</f>
        <v/>
      </c>
      <c r="E492" s="116"/>
      <c r="F492" s="117"/>
      <c r="G492" s="114" t="str">
        <f>IF(B492="","",IFERROR(VLOOKUP(B492,'Material Master'!$A$2:$E$201,4,FALSE),""))</f>
        <v/>
      </c>
      <c r="H492" s="114"/>
      <c r="I492" s="114"/>
      <c r="J492" s="1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4.0" customHeight="1">
      <c r="A493" s="113"/>
      <c r="B493" s="114"/>
      <c r="C493" s="114" t="str">
        <f>IF(B493="","",IFERROR(VLOOKUP(B493,'Material Master'!$A$2:$E$201,2,FALSE),""))</f>
        <v/>
      </c>
      <c r="D493" s="114" t="str">
        <f t="array" ref="D493">IF(B493="","",IFERROR(INDEX('Location Master'!$E$2:$E$502, IFERROR(MATCH(B493,'Location Master'!$G$2:$G$502,0), IFERROR(MATCH(B493&amp;" (*",'Location Master'!$G$2:$G$502,0), MATCH(B493&amp;"*",'Location Master'!$G$2:$G$502,0)))), ""))</f>
        <v/>
      </c>
      <c r="E493" s="116"/>
      <c r="F493" s="117"/>
      <c r="G493" s="114" t="str">
        <f>IF(B493="","",IFERROR(VLOOKUP(B493,'Material Master'!$A$2:$E$201,4,FALSE),""))</f>
        <v/>
      </c>
      <c r="H493" s="114"/>
      <c r="I493" s="114"/>
      <c r="J493" s="1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4.0" customHeight="1">
      <c r="A494" s="113"/>
      <c r="B494" s="114"/>
      <c r="C494" s="114" t="str">
        <f>IF(B494="","",IFERROR(VLOOKUP(B494,'Material Master'!$A$2:$E$201,2,FALSE),""))</f>
        <v/>
      </c>
      <c r="D494" s="114" t="str">
        <f t="array" ref="D494">IF(B494="","",IFERROR(INDEX('Location Master'!$E$2:$E$502, IFERROR(MATCH(B494,'Location Master'!$G$2:$G$502,0), IFERROR(MATCH(B494&amp;" (*",'Location Master'!$G$2:$G$502,0), MATCH(B494&amp;"*",'Location Master'!$G$2:$G$502,0)))), ""))</f>
        <v/>
      </c>
      <c r="E494" s="116"/>
      <c r="F494" s="117"/>
      <c r="G494" s="114" t="str">
        <f>IF(B494="","",IFERROR(VLOOKUP(B494,'Material Master'!$A$2:$E$201,4,FALSE),""))</f>
        <v/>
      </c>
      <c r="H494" s="114"/>
      <c r="I494" s="114"/>
      <c r="J494" s="1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4.0" customHeight="1">
      <c r="A495" s="113"/>
      <c r="B495" s="114"/>
      <c r="C495" s="114" t="str">
        <f>IF(B495="","",IFERROR(VLOOKUP(B495,'Material Master'!$A$2:$E$201,2,FALSE),""))</f>
        <v/>
      </c>
      <c r="D495" s="114" t="str">
        <f t="array" ref="D495">IF(B495="","",IFERROR(INDEX('Location Master'!$E$2:$E$502, IFERROR(MATCH(B495,'Location Master'!$G$2:$G$502,0), IFERROR(MATCH(B495&amp;" (*",'Location Master'!$G$2:$G$502,0), MATCH(B495&amp;"*",'Location Master'!$G$2:$G$502,0)))), ""))</f>
        <v/>
      </c>
      <c r="E495" s="116"/>
      <c r="F495" s="117"/>
      <c r="G495" s="114" t="str">
        <f>IF(B495="","",IFERROR(VLOOKUP(B495,'Material Master'!$A$2:$E$201,4,FALSE),""))</f>
        <v/>
      </c>
      <c r="H495" s="114"/>
      <c r="I495" s="114"/>
      <c r="J495" s="1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4.0" customHeight="1">
      <c r="A496" s="113"/>
      <c r="B496" s="114"/>
      <c r="C496" s="114" t="str">
        <f>IF(B496="","",IFERROR(VLOOKUP(B496,'Material Master'!$A$2:$E$201,2,FALSE),""))</f>
        <v/>
      </c>
      <c r="D496" s="114" t="str">
        <f t="array" ref="D496">IF(B496="","",IFERROR(INDEX('Location Master'!$E$2:$E$502, IFERROR(MATCH(B496,'Location Master'!$G$2:$G$502,0), IFERROR(MATCH(B496&amp;" (*",'Location Master'!$G$2:$G$502,0), MATCH(B496&amp;"*",'Location Master'!$G$2:$G$502,0)))), ""))</f>
        <v/>
      </c>
      <c r="E496" s="116"/>
      <c r="F496" s="117"/>
      <c r="G496" s="114" t="str">
        <f>IF(B496="","",IFERROR(VLOOKUP(B496,'Material Master'!$A$2:$E$201,4,FALSE),""))</f>
        <v/>
      </c>
      <c r="H496" s="114"/>
      <c r="I496" s="114"/>
      <c r="J496" s="1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4.0" customHeight="1">
      <c r="A497" s="113"/>
      <c r="B497" s="114"/>
      <c r="C497" s="114" t="str">
        <f>IF(B497="","",IFERROR(VLOOKUP(B497,'Material Master'!$A$2:$E$201,2,FALSE),""))</f>
        <v/>
      </c>
      <c r="D497" s="114" t="str">
        <f t="array" ref="D497">IF(B497="","",IFERROR(INDEX('Location Master'!$E$2:$E$502, IFERROR(MATCH(B497,'Location Master'!$G$2:$G$502,0), IFERROR(MATCH(B497&amp;" (*",'Location Master'!$G$2:$G$502,0), MATCH(B497&amp;"*",'Location Master'!$G$2:$G$502,0)))), ""))</f>
        <v/>
      </c>
      <c r="E497" s="116"/>
      <c r="F497" s="117"/>
      <c r="G497" s="114" t="str">
        <f>IF(B497="","",IFERROR(VLOOKUP(B497,'Material Master'!$A$2:$E$201,4,FALSE),""))</f>
        <v/>
      </c>
      <c r="H497" s="114"/>
      <c r="I497" s="114"/>
      <c r="J497" s="1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4.0" customHeight="1">
      <c r="A498" s="113"/>
      <c r="B498" s="114"/>
      <c r="C498" s="114" t="str">
        <f>IF(B498="","",IFERROR(VLOOKUP(B498,'Material Master'!$A$2:$E$201,2,FALSE),""))</f>
        <v/>
      </c>
      <c r="D498" s="114" t="str">
        <f t="array" ref="D498">IF(B498="","",IFERROR(INDEX('Location Master'!$E$2:$E$502, IFERROR(MATCH(B498,'Location Master'!$G$2:$G$502,0), IFERROR(MATCH(B498&amp;" (*",'Location Master'!$G$2:$G$502,0), MATCH(B498&amp;"*",'Location Master'!$G$2:$G$502,0)))), ""))</f>
        <v/>
      </c>
      <c r="E498" s="116"/>
      <c r="F498" s="117"/>
      <c r="G498" s="114" t="str">
        <f>IF(B498="","",IFERROR(VLOOKUP(B498,'Material Master'!$A$2:$E$201,4,FALSE),""))</f>
        <v/>
      </c>
      <c r="H498" s="114"/>
      <c r="I498" s="114"/>
      <c r="J498" s="1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4.0" customHeight="1">
      <c r="A499" s="113"/>
      <c r="B499" s="114"/>
      <c r="C499" s="114" t="str">
        <f>IF(B499="","",IFERROR(VLOOKUP(B499,'Material Master'!$A$2:$E$201,2,FALSE),""))</f>
        <v/>
      </c>
      <c r="D499" s="114" t="str">
        <f t="array" ref="D499">IF(B499="","",IFERROR(INDEX('Location Master'!$E$2:$E$502, IFERROR(MATCH(B499,'Location Master'!$G$2:$G$502,0), IFERROR(MATCH(B499&amp;" (*",'Location Master'!$G$2:$G$502,0), MATCH(B499&amp;"*",'Location Master'!$G$2:$G$502,0)))), ""))</f>
        <v/>
      </c>
      <c r="E499" s="116"/>
      <c r="F499" s="117"/>
      <c r="G499" s="114" t="str">
        <f>IF(B499="","",IFERROR(VLOOKUP(B499,'Material Master'!$A$2:$E$201,4,FALSE),""))</f>
        <v/>
      </c>
      <c r="H499" s="114"/>
      <c r="I499" s="114"/>
      <c r="J499" s="1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4.0" customHeight="1">
      <c r="A500" s="113"/>
      <c r="B500" s="114"/>
      <c r="C500" s="114" t="str">
        <f>IF(B500="","",IFERROR(VLOOKUP(B500,'Material Master'!$A$2:$E$201,2,FALSE),""))</f>
        <v/>
      </c>
      <c r="D500" s="114" t="str">
        <f t="array" ref="D500">IF(B500="","",IFERROR(INDEX('Location Master'!$E$2:$E$502, IFERROR(MATCH(B500,'Location Master'!$G$2:$G$502,0), IFERROR(MATCH(B500&amp;" (*",'Location Master'!$G$2:$G$502,0), MATCH(B500&amp;"*",'Location Master'!$G$2:$G$502,0)))), ""))</f>
        <v/>
      </c>
      <c r="E500" s="116"/>
      <c r="F500" s="117"/>
      <c r="G500" s="114" t="str">
        <f>IF(B500="","",IFERROR(VLOOKUP(B500,'Material Master'!$A$2:$E$201,4,FALSE),""))</f>
        <v/>
      </c>
      <c r="H500" s="114"/>
      <c r="I500" s="114"/>
      <c r="J500" s="1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4.0" customHeight="1">
      <c r="A501" s="113"/>
      <c r="B501" s="114"/>
      <c r="C501" s="114" t="str">
        <f>IF(B501="","",IFERROR(VLOOKUP(B501,'Material Master'!$A$2:$E$201,2,FALSE),""))</f>
        <v/>
      </c>
      <c r="D501" s="114" t="str">
        <f t="array" ref="D501">IF(B501="","",IFERROR(INDEX('Location Master'!$E$2:$E$502, IFERROR(MATCH(B501,'Location Master'!$G$2:$G$502,0), IFERROR(MATCH(B501&amp;" (*",'Location Master'!$G$2:$G$502,0), MATCH(B501&amp;"*",'Location Master'!$G$2:$G$502,0)))), ""))</f>
        <v/>
      </c>
      <c r="E501" s="116"/>
      <c r="F501" s="117"/>
      <c r="G501" s="114" t="str">
        <f>IF(B501="","",IFERROR(VLOOKUP(B501,'Material Master'!$A$2:$E$201,4,FALSE),""))</f>
        <v/>
      </c>
      <c r="H501" s="114"/>
      <c r="I501" s="114"/>
      <c r="J501" s="1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ustomSheetViews>
    <customSheetView guid="{ABB9B375-694D-4E7B-886B-28CD47BE9259}" filter="1" showAutoFilter="1">
      <autoFilter ref="$A$1:$J$501"/>
    </customSheetView>
  </customSheetViews>
  <dataValidations>
    <dataValidation type="list" allowBlank="1" sqref="B2:B501">
      <formula1>'Material Master'!$A$2:$A$201</formula1>
    </dataValidation>
    <dataValidation type="list" allowBlank="1" sqref="E2:E501">
      <formula1>"IN,OUT"</formula1>
    </dataValidation>
    <dataValidation type="list" allowBlank="1" sqref="D2:D501">
      <formula1>'Location Master'!$E$2:$E$202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4.86"/>
    <col customWidth="1" min="3" max="3" width="11.86"/>
    <col customWidth="1" min="4" max="4" width="16.43"/>
    <col customWidth="1" min="5" max="5" width="11.57"/>
    <col customWidth="1" min="6" max="6" width="11.29"/>
    <col customWidth="1" min="7" max="7" width="9.29"/>
    <col customWidth="1" min="8" max="8" width="15.86"/>
    <col customWidth="1" min="9" max="9" width="7.43"/>
    <col customWidth="1" min="10" max="10" width="15.86"/>
    <col customWidth="1" min="11" max="11" width="15.0"/>
    <col customWidth="1" min="12" max="26" width="8.71"/>
  </cols>
  <sheetData>
    <row r="1" ht="25.5" customHeight="1">
      <c r="A1" s="1" t="s">
        <v>1</v>
      </c>
      <c r="B1" s="2" t="s">
        <v>4</v>
      </c>
      <c r="C1" s="2" t="s">
        <v>9</v>
      </c>
      <c r="D1" s="2" t="s">
        <v>8</v>
      </c>
      <c r="E1" s="2" t="s">
        <v>270</v>
      </c>
      <c r="F1" s="2" t="s">
        <v>271</v>
      </c>
      <c r="G1" s="2" t="s">
        <v>272</v>
      </c>
      <c r="H1" s="2" t="s">
        <v>274</v>
      </c>
      <c r="I1" s="2" t="s">
        <v>11</v>
      </c>
      <c r="J1" s="2" t="s">
        <v>12</v>
      </c>
      <c r="K1" s="4" t="s">
        <v>275</v>
      </c>
    </row>
    <row r="2" ht="24.0" customHeight="1">
      <c r="A2" s="8" t="s">
        <v>17</v>
      </c>
      <c r="B2" s="103" t="str">
        <f>IF(A2="","",IFERROR(VLOOKUP(A2,'Material Master'!$A$2:$E$201,2,FALSE),""))</f>
        <v>BUBBLE WRAP</v>
      </c>
      <c r="C2" s="13" t="str">
        <f>IF(A2="","",IFERROR(VLOOKUP(A2,'Material Master'!$A$2:$E$201,3,FALSE),""))</f>
        <v>PLUMBER</v>
      </c>
      <c r="D2" s="9" t="str">
        <f t="array" ref="D2">IF(A2="","",IFERROR(INDEX('Location Master'!$E$2:$E$502, IFERROR(MATCH(A2,'Location Master'!$G$2:$G$502,0), IFERROR(MATCH(A2&amp;" (*",'Location Master'!$G$2:$G$502,0), MATCH(A2&amp;"*",'Location Master'!$G$2:$G$502,0)))), ""))</f>
        <v>R01-B01-GL1-A1</v>
      </c>
      <c r="E2" s="110">
        <v>0.0</v>
      </c>
      <c r="F2" s="115">
        <f>IF(OR(A2="",D2=""),"",SUMIFS('Stock Movement'!$F$2:$F$501,'Stock Movement'!$B$2:$B$501,A2,'Stock Movement'!$D$2:$D$501,D2,'Stock Movement'!$E$2:$E$501,"IN"))</f>
        <v>105</v>
      </c>
      <c r="G2" s="115">
        <f>IF(OR(A2="",D2=""),"",SUMIFS('Stock Movement'!$F$2:$F$501,'Stock Movement'!$B$2:$B$501,A2,'Stock Movement'!$D$2:$D$501,D2,'Stock Movement'!$E$2:$E$501,"OUT"))</f>
        <v>5</v>
      </c>
      <c r="H2" s="115">
        <f t="shared" ref="H2:H501" si="1">IF(A2="","",E2+F2-G2)</f>
        <v>100</v>
      </c>
      <c r="I2" s="13" t="str">
        <f>IF(A2="","",IFERROR(VLOOKUP(A2,'Material Master'!$A$2:$E$201,4,FALSE),""))</f>
        <v>PCS</v>
      </c>
      <c r="J2" s="115">
        <f>IF(A2="","",IFERROR(VLOOKUP(A2,'Material Master'!$A$2:$E$201,5,FALSE),""))</f>
        <v>10</v>
      </c>
      <c r="K2" s="118" t="str">
        <f t="shared" ref="K2:K501" si="2">IF(A2="","",IF(H2&lt;=J2,"REORDER","OK"))</f>
        <v>OK</v>
      </c>
    </row>
    <row r="3" ht="24.0" customHeight="1">
      <c r="A3" s="14" t="s">
        <v>24</v>
      </c>
      <c r="B3" s="119" t="str">
        <f>IF(A3="","",IFERROR(VLOOKUP(A3,'Material Master'!$A$2:$E$201,2,FALSE),""))</f>
        <v>CANDLE_LUGNARE_SCNTD</v>
      </c>
      <c r="C3" s="27" t="str">
        <f>IF(A3="","",IFERROR(VLOOKUP(A3,'Material Master'!$A$2:$E$201,3,FALSE),""))</f>
        <v>DECOR</v>
      </c>
      <c r="D3" s="15" t="str">
        <f t="array" ref="D3">IF(A3="","",IFERROR(INDEX('Location Master'!$E$2:$E$502, IFERROR(MATCH(A3,'Location Master'!$G$2:$G$502,0), IFERROR(MATCH(A3&amp;" (*",'Location Master'!$G$2:$G$502,0), MATCH(A3&amp;"*",'Location Master'!$G$2:$G$502,0)))), ""))</f>
        <v>R01-B01-GL1-B</v>
      </c>
      <c r="E3" s="120">
        <v>0.0</v>
      </c>
      <c r="F3" s="121">
        <f>IF(OR(A3="",D3=""),"",SUMIFS('Stock Movement'!$F$2:$F$501,'Stock Movement'!$B$2:$B$501,A3,'Stock Movement'!$D$2:$D$501,D3,'Stock Movement'!$E$2:$E$501,"IN"))</f>
        <v>150</v>
      </c>
      <c r="G3" s="121">
        <f>IF(OR(A3="",D3=""),"",SUMIFS('Stock Movement'!$F$2:$F$501,'Stock Movement'!$B$2:$B$501,A3,'Stock Movement'!$D$2:$D$501,D3,'Stock Movement'!$E$2:$E$501,"OUT"))</f>
        <v>12</v>
      </c>
      <c r="H3" s="121">
        <f t="shared" si="1"/>
        <v>138</v>
      </c>
      <c r="I3" s="27" t="str">
        <f>IF(A3="","",IFERROR(VLOOKUP(A3,'Material Master'!$A$2:$E$201,4,FALSE),""))</f>
        <v>PCS</v>
      </c>
      <c r="J3" s="121">
        <f>IF(A3="","",IFERROR(VLOOKUP(A3,'Material Master'!$A$2:$E$201,5,FALSE),""))</f>
        <v>25</v>
      </c>
      <c r="K3" s="122" t="str">
        <f t="shared" si="2"/>
        <v>OK</v>
      </c>
    </row>
    <row r="4" ht="24.0" customHeight="1">
      <c r="A4" s="8" t="s">
        <v>27</v>
      </c>
      <c r="B4" s="103" t="str">
        <f>IF(A4="","",IFERROR(VLOOKUP(A4,'Material Master'!$A$2:$E$201,2,FALSE),""))</f>
        <v>EXTRA MCB</v>
      </c>
      <c r="C4" s="13" t="str">
        <f>IF(A4="","",IFERROR(VLOOKUP(A4,'Material Master'!$A$2:$E$201,3,FALSE),""))</f>
        <v>ELECTRIC</v>
      </c>
      <c r="D4" s="9" t="str">
        <f t="array" ref="D4">IF(A4="","",IFERROR(INDEX('Location Master'!$E$2:$E$502, IFERROR(MATCH(A4,'Location Master'!$G$2:$G$502,0), IFERROR(MATCH(A4&amp;" (*",'Location Master'!$G$2:$G$502,0), MATCH(A4&amp;"*",'Location Master'!$G$2:$G$502,0)))), ""))</f>
        <v>R01-B01-GL2-A</v>
      </c>
      <c r="E4" s="110">
        <v>0.0</v>
      </c>
      <c r="F4" s="115">
        <f>IF(OR(A4="",D4=""),"",SUMIFS('Stock Movement'!$F$2:$F$501,'Stock Movement'!$B$2:$B$501,A4,'Stock Movement'!$D$2:$D$501,D4,'Stock Movement'!$E$2:$E$501,"IN"))</f>
        <v>10</v>
      </c>
      <c r="G4" s="115">
        <f>IF(OR(A4="",D4=""),"",SUMIFS('Stock Movement'!$F$2:$F$501,'Stock Movement'!$B$2:$B$501,A4,'Stock Movement'!$D$2:$D$501,D4,'Stock Movement'!$E$2:$E$501,"OUT"))</f>
        <v>9</v>
      </c>
      <c r="H4" s="115">
        <f t="shared" si="1"/>
        <v>1</v>
      </c>
      <c r="I4" s="13" t="str">
        <f>IF(A4="","",IFERROR(VLOOKUP(A4,'Material Master'!$A$2:$E$201,4,FALSE),""))</f>
        <v>PCS</v>
      </c>
      <c r="J4" s="115">
        <f>IF(A4="","",IFERROR(VLOOKUP(A4,'Material Master'!$A$2:$E$201,5,FALSE),""))</f>
        <v>5</v>
      </c>
      <c r="K4" s="118" t="str">
        <f t="shared" si="2"/>
        <v>REORDER</v>
      </c>
    </row>
    <row r="5" ht="24.0" customHeight="1">
      <c r="A5" s="14" t="s">
        <v>30</v>
      </c>
      <c r="B5" s="119" t="str">
        <f>IF(A5="","",IFERROR(VLOOKUP(A5,'Material Master'!$A$2:$E$201,2,FALSE),""))</f>
        <v>FOSSIAL</v>
      </c>
      <c r="C5" s="27" t="str">
        <f>IF(A5="","",IFERROR(VLOOKUP(A5,'Material Master'!$A$2:$E$201,3,FALSE),""))</f>
        <v>CIVIL</v>
      </c>
      <c r="D5" s="15" t="str">
        <f t="array" ref="D5">IF(A5="","",IFERROR(INDEX('Location Master'!$E$2:$E$502, IFERROR(MATCH(A5,'Location Master'!$G$2:$G$502,0), IFERROR(MATCH(A5&amp;" (*",'Location Master'!$G$2:$G$502,0), MATCH(A5&amp;"*",'Location Master'!$G$2:$G$502,0)))), ""))</f>
        <v>R01-B01-GL2-B</v>
      </c>
      <c r="E5" s="120">
        <v>0.0</v>
      </c>
      <c r="F5" s="121">
        <f>IF(OR(A5="",D5=""),"",SUMIFS('Stock Movement'!$F$2:$F$501,'Stock Movement'!$B$2:$B$501,A5,'Stock Movement'!$D$2:$D$501,D5,'Stock Movement'!$E$2:$E$501,"IN"))</f>
        <v>10</v>
      </c>
      <c r="G5" s="121">
        <f>IF(OR(A5="",D5=""),"",SUMIFS('Stock Movement'!$F$2:$F$501,'Stock Movement'!$B$2:$B$501,A5,'Stock Movement'!$D$2:$D$501,D5,'Stock Movement'!$E$2:$E$501,"OUT"))</f>
        <v>7</v>
      </c>
      <c r="H5" s="121">
        <f t="shared" si="1"/>
        <v>3</v>
      </c>
      <c r="I5" s="27" t="str">
        <f>IF(A5="","",IFERROR(VLOOKUP(A5,'Material Master'!$A$2:$E$201,4,FALSE),""))</f>
        <v>BAG</v>
      </c>
      <c r="J5" s="121">
        <f>IF(A5="","",IFERROR(VLOOKUP(A5,'Material Master'!$A$2:$E$201,5,FALSE),""))</f>
        <v>5</v>
      </c>
      <c r="K5" s="122" t="str">
        <f t="shared" si="2"/>
        <v>REORDER</v>
      </c>
    </row>
    <row r="6" ht="24.0" customHeight="1">
      <c r="A6" s="8" t="s">
        <v>34</v>
      </c>
      <c r="B6" s="103" t="str">
        <f>IF(A6="","",IFERROR(VLOOKUP(A6,'Material Master'!$A$2:$E$201,2,FALSE),""))</f>
        <v>GRANITE_ AVALANCHE</v>
      </c>
      <c r="C6" s="13" t="str">
        <f>IF(A6="","",IFERROR(VLOOKUP(A6,'Material Master'!$A$2:$E$201,3,FALSE),""))</f>
        <v>CIVIL</v>
      </c>
      <c r="D6" s="9" t="str">
        <f t="array" ref="D6">IF(A6="","",IFERROR(INDEX('Location Master'!$E$2:$E$502, IFERROR(MATCH(A6,'Location Master'!$G$2:$G$502,0), IFERROR(MATCH(A6&amp;" (*",'Location Master'!$G$2:$G$502,0), MATCH(A6&amp;"*",'Location Master'!$G$2:$G$502,0)))), ""))</f>
        <v>R01-B02-GL1-A</v>
      </c>
      <c r="E6" s="110">
        <v>0.0</v>
      </c>
      <c r="F6" s="115">
        <f>IF(OR(A6="",D6=""),"",SUMIFS('Stock Movement'!$F$2:$F$501,'Stock Movement'!$B$2:$B$501,A6,'Stock Movement'!$D$2:$D$501,D6,'Stock Movement'!$E$2:$E$501,"IN"))</f>
        <v>50</v>
      </c>
      <c r="G6" s="115">
        <f>IF(OR(A6="",D6=""),"",SUMIFS('Stock Movement'!$F$2:$F$501,'Stock Movement'!$B$2:$B$501,A6,'Stock Movement'!$D$2:$D$501,D6,'Stock Movement'!$E$2:$E$501,"OUT"))</f>
        <v>10.87</v>
      </c>
      <c r="H6" s="115">
        <f t="shared" si="1"/>
        <v>39.13</v>
      </c>
      <c r="I6" s="13" t="str">
        <f>IF(A6="","",IFERROR(VLOOKUP(A6,'Material Master'!$A$2:$E$201,4,FALSE),""))</f>
        <v>SQF</v>
      </c>
      <c r="J6" s="115">
        <f>IF(A6="","",IFERROR(VLOOKUP(A6,'Material Master'!$A$2:$E$201,5,FALSE),""))</f>
        <v>20</v>
      </c>
      <c r="K6" s="118" t="str">
        <f t="shared" si="2"/>
        <v>OK</v>
      </c>
    </row>
    <row r="7" ht="24.0" customHeight="1">
      <c r="A7" s="14" t="s">
        <v>47</v>
      </c>
      <c r="B7" s="119" t="str">
        <f>IF(A7="","",IFERROR(VLOOKUP(A7,'Material Master'!$A$2:$E$201,2,FALSE),""))</f>
        <v>SCREW_SELF THREAD_25X6</v>
      </c>
      <c r="C7" s="27" t="str">
        <f>IF(A7="","",IFERROR(VLOOKUP(A7,'Material Master'!$A$2:$E$201,3,FALSE),""))</f>
        <v>ELECTRIC</v>
      </c>
      <c r="D7" s="15" t="str">
        <f t="array" ref="D7">IF(A7="","",IFERROR(INDEX('Location Master'!$E$2:$E$502, IFERROR(MATCH(A7,'Location Master'!$G$2:$G$502,0), IFERROR(MATCH(A7&amp;" (*",'Location Master'!$G$2:$G$502,0), MATCH(A7&amp;"*",'Location Master'!$G$2:$G$502,0)))), ""))</f>
        <v>R01-B02-GL2-A</v>
      </c>
      <c r="E7" s="120">
        <v>0.0</v>
      </c>
      <c r="F7" s="121">
        <f>IF(OR(A7="",D7=""),"",SUMIFS('Stock Movement'!$F$2:$F$501,'Stock Movement'!$B$2:$B$501,A7,'Stock Movement'!$D$2:$D$501,D7,'Stock Movement'!$E$2:$E$501,"IN"))</f>
        <v>5</v>
      </c>
      <c r="G7" s="121">
        <f>IF(OR(A7="",D7=""),"",SUMIFS('Stock Movement'!$F$2:$F$501,'Stock Movement'!$B$2:$B$501,A7,'Stock Movement'!$D$2:$D$501,D7,'Stock Movement'!$E$2:$E$501,"OUT"))</f>
        <v>3</v>
      </c>
      <c r="H7" s="121">
        <f t="shared" si="1"/>
        <v>2</v>
      </c>
      <c r="I7" s="27" t="str">
        <f>IF(A7="","",IFERROR(VLOOKUP(A7,'Material Master'!$A$2:$E$201,4,FALSE),""))</f>
        <v>PCS</v>
      </c>
      <c r="J7" s="121">
        <f>IF(A7="","",IFERROR(VLOOKUP(A7,'Material Master'!$A$2:$E$201,5,FALSE),""))</f>
        <v>10</v>
      </c>
      <c r="K7" s="122" t="str">
        <f t="shared" si="2"/>
        <v>REORDER</v>
      </c>
    </row>
    <row r="8" ht="24.0" customHeight="1">
      <c r="A8" s="8" t="s">
        <v>51</v>
      </c>
      <c r="B8" s="103" t="str">
        <f>IF(A8="","",IFERROR(VLOOKUP(A8,'Material Master'!$A$2:$E$201,2,FALSE),""))</f>
        <v>SLUE PIPE_20MM</v>
      </c>
      <c r="C8" s="13" t="str">
        <f>IF(A8="","",IFERROR(VLOOKUP(A8,'Material Master'!$A$2:$E$201,3,FALSE),""))</f>
        <v>AC</v>
      </c>
      <c r="D8" s="9" t="str">
        <f t="array" ref="D8">IF(A8="","",IFERROR(INDEX('Location Master'!$E$2:$E$502, IFERROR(MATCH(A8,'Location Master'!$G$2:$G$502,0), IFERROR(MATCH(A8&amp;" (*",'Location Master'!$G$2:$G$502,0), MATCH(A8&amp;"*",'Location Master'!$G$2:$G$502,0)))), ""))</f>
        <v>R01-B02-GL2-B</v>
      </c>
      <c r="E8" s="110">
        <v>0.0</v>
      </c>
      <c r="F8" s="115">
        <f>IF(OR(A8="",D8=""),"",SUMIFS('Stock Movement'!$F$2:$F$501,'Stock Movement'!$B$2:$B$501,A8,'Stock Movement'!$D$2:$D$501,D8,'Stock Movement'!$E$2:$E$501,"IN"))</f>
        <v>4</v>
      </c>
      <c r="G8" s="115">
        <f>IF(OR(A8="",D8=""),"",SUMIFS('Stock Movement'!$F$2:$F$501,'Stock Movement'!$B$2:$B$501,A8,'Stock Movement'!$D$2:$D$501,D8,'Stock Movement'!$E$2:$E$501,"OUT"))</f>
        <v>3</v>
      </c>
      <c r="H8" s="115">
        <f t="shared" si="1"/>
        <v>1</v>
      </c>
      <c r="I8" s="13" t="str">
        <f>IF(A8="","",IFERROR(VLOOKUP(A8,'Material Master'!$A$2:$E$201,4,FALSE),""))</f>
        <v>PCS</v>
      </c>
      <c r="J8" s="115">
        <f>IF(A8="","",IFERROR(VLOOKUP(A8,'Material Master'!$A$2:$E$201,5,FALSE),""))</f>
        <v>5</v>
      </c>
      <c r="K8" s="118" t="str">
        <f t="shared" si="2"/>
        <v>REORDER</v>
      </c>
    </row>
    <row r="9" ht="24.0" customHeight="1">
      <c r="A9" s="43" t="s">
        <v>61</v>
      </c>
      <c r="B9" s="123" t="str">
        <f>IF(A9="","",IFERROR(VLOOKUP(A9,'Material Master'!$A$2:$E$201,2,FALSE),""))</f>
        <v>2*10 WIRE NAIL</v>
      </c>
      <c r="C9" s="47" t="str">
        <f>IF(A9="","",IFERROR(VLOOKUP(A9,'Material Master'!$A$2:$E$201,3,FALSE),""))</f>
        <v>FURNISHING</v>
      </c>
      <c r="D9" s="45" t="str">
        <f t="array" ref="D9">IF(A9="","",IFERROR(INDEX('Location Master'!$E$2:$E$502, IFERROR(MATCH(A9,'Location Master'!$G$2:$G$502,0), IFERROR(MATCH(A9&amp;" (*",'Location Master'!$G$2:$G$502,0), MATCH(A9&amp;"*",'Location Master'!$G$2:$G$502,0)))), ""))</f>
        <v>R01-B01-GL3-A</v>
      </c>
      <c r="E9" s="124">
        <v>0.0</v>
      </c>
      <c r="F9" s="125">
        <f>IF(OR(A9="",D9=""),"",SUMIFS('Stock Movement'!$F$2:$F$501,'Stock Movement'!$B$2:$B$501,A9,'Stock Movement'!$D$2:$D$501,D9,'Stock Movement'!$E$2:$E$501,"IN"))</f>
        <v>10</v>
      </c>
      <c r="G9" s="125">
        <f>IF(OR(A9="",D9=""),"",SUMIFS('Stock Movement'!$F$2:$F$501,'Stock Movement'!$B$2:$B$501,A9,'Stock Movement'!$D$2:$D$501,D9,'Stock Movement'!$E$2:$E$501,"OUT"))</f>
        <v>6</v>
      </c>
      <c r="H9" s="125">
        <f t="shared" si="1"/>
        <v>4</v>
      </c>
      <c r="I9" s="47" t="str">
        <f>IF(A9="","",IFERROR(VLOOKUP(A9,'Material Master'!$A$2:$E$201,4,FALSE),""))</f>
        <v>PCS</v>
      </c>
      <c r="J9" s="125">
        <f>IF(A9="","",IFERROR(VLOOKUP(A9,'Material Master'!$A$2:$E$201,5,FALSE),""))</f>
        <v>10</v>
      </c>
      <c r="K9" s="126" t="str">
        <f t="shared" si="2"/>
        <v>REORDER</v>
      </c>
    </row>
    <row r="10" ht="24.0" customHeight="1">
      <c r="A10" s="66"/>
      <c r="B10" s="127" t="str">
        <f>IF(A10="","",IFERROR(VLOOKUP(A10,'Material Master'!$A$2:$E$201,2,FALSE),""))</f>
        <v/>
      </c>
      <c r="C10" s="66" t="str">
        <f>IF(A10="","",IFERROR(VLOOKUP(A10,'Material Master'!$A$2:$E$201,3,FALSE),""))</f>
        <v/>
      </c>
      <c r="D10" s="66" t="str">
        <f t="array" ref="D10">IF(A10="","",IFERROR(INDEX('Location Master'!$E$2:$E$502, IFERROR(MATCH(A10,'Location Master'!$G$2:$G$502,0), IFERROR(MATCH(A10&amp;" (*",'Location Master'!$G$2:$G$502,0), MATCH(A10&amp;"*",'Location Master'!$G$2:$G$502,0)))), ""))</f>
        <v/>
      </c>
      <c r="E10" s="128"/>
      <c r="F10" s="128" t="str">
        <f>IF(OR(A10="",D10=""),"",SUMIFS('Stock Movement'!$F$2:$F$501,'Stock Movement'!$B$2:$B$501,A10,'Stock Movement'!$D$2:$D$501,D10,'Stock Movement'!$E$2:$E$501,"IN"))</f>
        <v/>
      </c>
      <c r="G10" s="128" t="str">
        <f>IF(OR(A10="",D10=""),"",SUMIFS('Stock Movement'!$F$2:$F$501,'Stock Movement'!$B$2:$B$501,A10,'Stock Movement'!$D$2:$D$501,D10,'Stock Movement'!$E$2:$E$501,"OUT"))</f>
        <v/>
      </c>
      <c r="H10" s="128" t="str">
        <f t="shared" si="1"/>
        <v/>
      </c>
      <c r="I10" s="66" t="str">
        <f>IF(A10="","",IFERROR(VLOOKUP(A10,'Material Master'!$A$2:$E$201,4,FALSE),""))</f>
        <v/>
      </c>
      <c r="J10" s="128" t="str">
        <f>IF(A10="","",IFERROR(VLOOKUP(A10,'Material Master'!$A$2:$E$201,5,FALSE),""))</f>
        <v/>
      </c>
      <c r="K10" s="129" t="str">
        <f t="shared" si="2"/>
        <v/>
      </c>
    </row>
    <row r="11" ht="24.0" customHeight="1">
      <c r="A11" s="82"/>
      <c r="B11" s="130" t="str">
        <f>IF(A11="","",IFERROR(VLOOKUP(A11,'Material Master'!$A$2:$E$201,2,FALSE),""))</f>
        <v/>
      </c>
      <c r="C11" s="82" t="str">
        <f>IF(A11="","",IFERROR(VLOOKUP(A11,'Material Master'!$A$2:$E$201,3,FALSE),""))</f>
        <v/>
      </c>
      <c r="D11" s="82" t="str">
        <f t="array" ref="D11">IF(A11="","",IFERROR(INDEX('Location Master'!$E$2:$E$502, IFERROR(MATCH(A11,'Location Master'!$G$2:$G$502,0), IFERROR(MATCH(A11&amp;" (*",'Location Master'!$G$2:$G$502,0), MATCH(A11&amp;"*",'Location Master'!$G$2:$G$502,0)))), ""))</f>
        <v/>
      </c>
      <c r="E11" s="131"/>
      <c r="F11" s="131" t="str">
        <f>IF(OR(A11="",D11=""),"",SUMIFS('Stock Movement'!$F$2:$F$501,'Stock Movement'!$B$2:$B$501,A11,'Stock Movement'!$D$2:$D$501,D11,'Stock Movement'!$E$2:$E$501,"IN"))</f>
        <v/>
      </c>
      <c r="G11" s="131" t="str">
        <f>IF(OR(A11="",D11=""),"",SUMIFS('Stock Movement'!$F$2:$F$501,'Stock Movement'!$B$2:$B$501,A11,'Stock Movement'!$D$2:$D$501,D11,'Stock Movement'!$E$2:$E$501,"OUT"))</f>
        <v/>
      </c>
      <c r="H11" s="131" t="str">
        <f t="shared" si="1"/>
        <v/>
      </c>
      <c r="I11" s="82" t="str">
        <f>IF(A11="","",IFERROR(VLOOKUP(A11,'Material Master'!$A$2:$E$201,4,FALSE),""))</f>
        <v/>
      </c>
      <c r="J11" s="131" t="str">
        <f>IF(A11="","",IFERROR(VLOOKUP(A11,'Material Master'!$A$2:$E$201,5,FALSE),""))</f>
        <v/>
      </c>
      <c r="K11" s="132" t="str">
        <f t="shared" si="2"/>
        <v/>
      </c>
    </row>
    <row r="12" ht="24.0" customHeight="1">
      <c r="A12" s="88"/>
      <c r="B12" s="133" t="str">
        <f>IF(A12="","",IFERROR(VLOOKUP(A12,'Material Master'!$A$2:$E$201,2,FALSE),""))</f>
        <v/>
      </c>
      <c r="C12" s="88" t="str">
        <f>IF(A12="","",IFERROR(VLOOKUP(A12,'Material Master'!$A$2:$E$201,3,FALSE),""))</f>
        <v/>
      </c>
      <c r="D12" s="88" t="str">
        <f t="array" ref="D12">IF(A12="","",IFERROR(INDEX('Location Master'!$E$2:$E$502, IFERROR(MATCH(A12,'Location Master'!$G$2:$G$502,0), IFERROR(MATCH(A12&amp;" (*",'Location Master'!$G$2:$G$502,0), MATCH(A12&amp;"*",'Location Master'!$G$2:$G$502,0)))), ""))</f>
        <v/>
      </c>
      <c r="E12" s="134"/>
      <c r="F12" s="134" t="str">
        <f>IF(OR(A12="",D12=""),"",SUMIFS('Stock Movement'!$F$2:$F$501,'Stock Movement'!$B$2:$B$501,A12,'Stock Movement'!$D$2:$D$501,D12,'Stock Movement'!$E$2:$E$501,"IN"))</f>
        <v/>
      </c>
      <c r="G12" s="134" t="str">
        <f>IF(OR(A12="",D12=""),"",SUMIFS('Stock Movement'!$F$2:$F$501,'Stock Movement'!$B$2:$B$501,A12,'Stock Movement'!$D$2:$D$501,D12,'Stock Movement'!$E$2:$E$501,"OUT"))</f>
        <v/>
      </c>
      <c r="H12" s="134" t="str">
        <f t="shared" si="1"/>
        <v/>
      </c>
      <c r="I12" s="88" t="str">
        <f>IF(A12="","",IFERROR(VLOOKUP(A12,'Material Master'!$A$2:$E$201,4,FALSE),""))</f>
        <v/>
      </c>
      <c r="J12" s="134" t="str">
        <f>IF(A12="","",IFERROR(VLOOKUP(A12,'Material Master'!$A$2:$E$201,5,FALSE),""))</f>
        <v/>
      </c>
      <c r="K12" s="135" t="str">
        <f t="shared" si="2"/>
        <v/>
      </c>
    </row>
    <row r="13" ht="24.0" customHeight="1">
      <c r="A13" s="82"/>
      <c r="B13" s="130" t="str">
        <f>IF(A13="","",IFERROR(VLOOKUP(A13,'Material Master'!$A$2:$E$201,2,FALSE),""))</f>
        <v/>
      </c>
      <c r="C13" s="82" t="str">
        <f>IF(A13="","",IFERROR(VLOOKUP(A13,'Material Master'!$A$2:$E$201,3,FALSE),""))</f>
        <v/>
      </c>
      <c r="D13" s="82" t="str">
        <f t="array" ref="D13">IF(A13="","",IFERROR(INDEX('Location Master'!$E$2:$E$502, IFERROR(MATCH(A13,'Location Master'!$G$2:$G$502,0), IFERROR(MATCH(A13&amp;" (*",'Location Master'!$G$2:$G$502,0), MATCH(A13&amp;"*",'Location Master'!$G$2:$G$502,0)))), ""))</f>
        <v/>
      </c>
      <c r="E13" s="131"/>
      <c r="F13" s="131" t="str">
        <f>IF(OR(A13="",D13=""),"",SUMIFS('Stock Movement'!$F$2:$F$501,'Stock Movement'!$B$2:$B$501,A13,'Stock Movement'!$D$2:$D$501,D13,'Stock Movement'!$E$2:$E$501,"IN"))</f>
        <v/>
      </c>
      <c r="G13" s="131" t="str">
        <f>IF(OR(A13="",D13=""),"",SUMIFS('Stock Movement'!$F$2:$F$501,'Stock Movement'!$B$2:$B$501,A13,'Stock Movement'!$D$2:$D$501,D13,'Stock Movement'!$E$2:$E$501,"OUT"))</f>
        <v/>
      </c>
      <c r="H13" s="131" t="str">
        <f t="shared" si="1"/>
        <v/>
      </c>
      <c r="I13" s="82" t="str">
        <f>IF(A13="","",IFERROR(VLOOKUP(A13,'Material Master'!$A$2:$E$201,4,FALSE),""))</f>
        <v/>
      </c>
      <c r="J13" s="131" t="str">
        <f>IF(A13="","",IFERROR(VLOOKUP(A13,'Material Master'!$A$2:$E$201,5,FALSE),""))</f>
        <v/>
      </c>
      <c r="K13" s="132" t="str">
        <f t="shared" si="2"/>
        <v/>
      </c>
    </row>
    <row r="14" ht="24.0" customHeight="1">
      <c r="A14" s="88"/>
      <c r="B14" s="133" t="str">
        <f>IF(A14="","",IFERROR(VLOOKUP(A14,'Material Master'!$A$2:$E$201,2,FALSE),""))</f>
        <v/>
      </c>
      <c r="C14" s="88" t="str">
        <f>IF(A14="","",IFERROR(VLOOKUP(A14,'Material Master'!$A$2:$E$201,3,FALSE),""))</f>
        <v/>
      </c>
      <c r="D14" s="88" t="str">
        <f t="array" ref="D14">IF(A14="","",IFERROR(INDEX('Location Master'!$E$2:$E$502, IFERROR(MATCH(A14,'Location Master'!$G$2:$G$502,0), IFERROR(MATCH(A14&amp;" (*",'Location Master'!$G$2:$G$502,0), MATCH(A14&amp;"*",'Location Master'!$G$2:$G$502,0)))), ""))</f>
        <v/>
      </c>
      <c r="E14" s="134"/>
      <c r="F14" s="134" t="str">
        <f>IF(OR(A14="",D14=""),"",SUMIFS('Stock Movement'!$F$2:$F$501,'Stock Movement'!$B$2:$B$501,A14,'Stock Movement'!$D$2:$D$501,D14,'Stock Movement'!$E$2:$E$501,"IN"))</f>
        <v/>
      </c>
      <c r="G14" s="134" t="str">
        <f>IF(OR(A14="",D14=""),"",SUMIFS('Stock Movement'!$F$2:$F$501,'Stock Movement'!$B$2:$B$501,A14,'Stock Movement'!$D$2:$D$501,D14,'Stock Movement'!$E$2:$E$501,"OUT"))</f>
        <v/>
      </c>
      <c r="H14" s="134" t="str">
        <f t="shared" si="1"/>
        <v/>
      </c>
      <c r="I14" s="88" t="str">
        <f>IF(A14="","",IFERROR(VLOOKUP(A14,'Material Master'!$A$2:$E$201,4,FALSE),""))</f>
        <v/>
      </c>
      <c r="J14" s="134" t="str">
        <f>IF(A14="","",IFERROR(VLOOKUP(A14,'Material Master'!$A$2:$E$201,5,FALSE),""))</f>
        <v/>
      </c>
      <c r="K14" s="135" t="str">
        <f t="shared" si="2"/>
        <v/>
      </c>
    </row>
    <row r="15" ht="24.0" customHeight="1">
      <c r="A15" s="82"/>
      <c r="B15" s="130" t="str">
        <f>IF(A15="","",IFERROR(VLOOKUP(A15,'Material Master'!$A$2:$E$201,2,FALSE),""))</f>
        <v/>
      </c>
      <c r="C15" s="82" t="str">
        <f>IF(A15="","",IFERROR(VLOOKUP(A15,'Material Master'!$A$2:$E$201,3,FALSE),""))</f>
        <v/>
      </c>
      <c r="D15" s="82" t="str">
        <f t="array" ref="D15">IF(A15="","",IFERROR(INDEX('Location Master'!$E$2:$E$502, IFERROR(MATCH(A15,'Location Master'!$G$2:$G$502,0), IFERROR(MATCH(A15&amp;" (*",'Location Master'!$G$2:$G$502,0), MATCH(A15&amp;"*",'Location Master'!$G$2:$G$502,0)))), ""))</f>
        <v/>
      </c>
      <c r="E15" s="131"/>
      <c r="F15" s="131" t="str">
        <f>IF(OR(A15="",D15=""),"",SUMIFS('Stock Movement'!$F$2:$F$501,'Stock Movement'!$B$2:$B$501,A15,'Stock Movement'!$D$2:$D$501,D15,'Stock Movement'!$E$2:$E$501,"IN"))</f>
        <v/>
      </c>
      <c r="G15" s="131" t="str">
        <f>IF(OR(A15="",D15=""),"",SUMIFS('Stock Movement'!$F$2:$F$501,'Stock Movement'!$B$2:$B$501,A15,'Stock Movement'!$D$2:$D$501,D15,'Stock Movement'!$E$2:$E$501,"OUT"))</f>
        <v/>
      </c>
      <c r="H15" s="131" t="str">
        <f t="shared" si="1"/>
        <v/>
      </c>
      <c r="I15" s="82" t="str">
        <f>IF(A15="","",IFERROR(VLOOKUP(A15,'Material Master'!$A$2:$E$201,4,FALSE),""))</f>
        <v/>
      </c>
      <c r="J15" s="131" t="str">
        <f>IF(A15="","",IFERROR(VLOOKUP(A15,'Material Master'!$A$2:$E$201,5,FALSE),""))</f>
        <v/>
      </c>
      <c r="K15" s="132" t="str">
        <f t="shared" si="2"/>
        <v/>
      </c>
    </row>
    <row r="16" ht="24.0" customHeight="1">
      <c r="A16" s="88"/>
      <c r="B16" s="133" t="str">
        <f>IF(A16="","",IFERROR(VLOOKUP(A16,'Material Master'!$A$2:$E$201,2,FALSE),""))</f>
        <v/>
      </c>
      <c r="C16" s="88" t="str">
        <f>IF(A16="","",IFERROR(VLOOKUP(A16,'Material Master'!$A$2:$E$201,3,FALSE),""))</f>
        <v/>
      </c>
      <c r="D16" s="88" t="str">
        <f t="array" ref="D16">IF(A16="","",IFERROR(INDEX('Location Master'!$E$2:$E$502, IFERROR(MATCH(A16,'Location Master'!$G$2:$G$502,0), IFERROR(MATCH(A16&amp;" (*",'Location Master'!$G$2:$G$502,0), MATCH(A16&amp;"*",'Location Master'!$G$2:$G$502,0)))), ""))</f>
        <v/>
      </c>
      <c r="E16" s="134"/>
      <c r="F16" s="134" t="str">
        <f>IF(OR(A16="",D16=""),"",SUMIFS('Stock Movement'!$F$2:$F$501,'Stock Movement'!$B$2:$B$501,A16,'Stock Movement'!$D$2:$D$501,D16,'Stock Movement'!$E$2:$E$501,"IN"))</f>
        <v/>
      </c>
      <c r="G16" s="134" t="str">
        <f>IF(OR(A16="",D16=""),"",SUMIFS('Stock Movement'!$F$2:$F$501,'Stock Movement'!$B$2:$B$501,A16,'Stock Movement'!$D$2:$D$501,D16,'Stock Movement'!$E$2:$E$501,"OUT"))</f>
        <v/>
      </c>
      <c r="H16" s="134" t="str">
        <f t="shared" si="1"/>
        <v/>
      </c>
      <c r="I16" s="88" t="str">
        <f>IF(A16="","",IFERROR(VLOOKUP(A16,'Material Master'!$A$2:$E$201,4,FALSE),""))</f>
        <v/>
      </c>
      <c r="J16" s="134" t="str">
        <f>IF(A16="","",IFERROR(VLOOKUP(A16,'Material Master'!$A$2:$E$201,5,FALSE),""))</f>
        <v/>
      </c>
      <c r="K16" s="135" t="str">
        <f t="shared" si="2"/>
        <v/>
      </c>
    </row>
    <row r="17" ht="24.0" customHeight="1">
      <c r="A17" s="82"/>
      <c r="B17" s="130" t="str">
        <f>IF(A17="","",IFERROR(VLOOKUP(A17,'Material Master'!$A$2:$E$201,2,FALSE),""))</f>
        <v/>
      </c>
      <c r="C17" s="82" t="str">
        <f>IF(A17="","",IFERROR(VLOOKUP(A17,'Material Master'!$A$2:$E$201,3,FALSE),""))</f>
        <v/>
      </c>
      <c r="D17" s="82" t="str">
        <f t="array" ref="D17">IF(A17="","",IFERROR(INDEX('Location Master'!$E$2:$E$502, IFERROR(MATCH(A17,'Location Master'!$G$2:$G$502,0), IFERROR(MATCH(A17&amp;" (*",'Location Master'!$G$2:$G$502,0), MATCH(A17&amp;"*",'Location Master'!$G$2:$G$502,0)))), ""))</f>
        <v/>
      </c>
      <c r="E17" s="131"/>
      <c r="F17" s="131" t="str">
        <f>IF(OR(A17="",D17=""),"",SUMIFS('Stock Movement'!$F$2:$F$501,'Stock Movement'!$B$2:$B$501,A17,'Stock Movement'!$D$2:$D$501,D17,'Stock Movement'!$E$2:$E$501,"IN"))</f>
        <v/>
      </c>
      <c r="G17" s="131" t="str">
        <f>IF(OR(A17="",D17=""),"",SUMIFS('Stock Movement'!$F$2:$F$501,'Stock Movement'!$B$2:$B$501,A17,'Stock Movement'!$D$2:$D$501,D17,'Stock Movement'!$E$2:$E$501,"OUT"))</f>
        <v/>
      </c>
      <c r="H17" s="131" t="str">
        <f t="shared" si="1"/>
        <v/>
      </c>
      <c r="I17" s="82" t="str">
        <f>IF(A17="","",IFERROR(VLOOKUP(A17,'Material Master'!$A$2:$E$201,4,FALSE),""))</f>
        <v/>
      </c>
      <c r="J17" s="131" t="str">
        <f>IF(A17="","",IFERROR(VLOOKUP(A17,'Material Master'!$A$2:$E$201,5,FALSE),""))</f>
        <v/>
      </c>
      <c r="K17" s="132" t="str">
        <f t="shared" si="2"/>
        <v/>
      </c>
    </row>
    <row r="18" ht="24.0" customHeight="1">
      <c r="A18" s="88"/>
      <c r="B18" s="133" t="str">
        <f>IF(A18="","",IFERROR(VLOOKUP(A18,'Material Master'!$A$2:$E$201,2,FALSE),""))</f>
        <v/>
      </c>
      <c r="C18" s="88" t="str">
        <f>IF(A18="","",IFERROR(VLOOKUP(A18,'Material Master'!$A$2:$E$201,3,FALSE),""))</f>
        <v/>
      </c>
      <c r="D18" s="88" t="str">
        <f t="array" ref="D18">IF(A18="","",IFERROR(INDEX('Location Master'!$E$2:$E$502, IFERROR(MATCH(A18,'Location Master'!$G$2:$G$502,0), IFERROR(MATCH(A18&amp;" (*",'Location Master'!$G$2:$G$502,0), MATCH(A18&amp;"*",'Location Master'!$G$2:$G$502,0)))), ""))</f>
        <v/>
      </c>
      <c r="E18" s="134"/>
      <c r="F18" s="134" t="str">
        <f>IF(OR(A18="",D18=""),"",SUMIFS('Stock Movement'!$F$2:$F$501,'Stock Movement'!$B$2:$B$501,A18,'Stock Movement'!$D$2:$D$501,D18,'Stock Movement'!$E$2:$E$501,"IN"))</f>
        <v/>
      </c>
      <c r="G18" s="134" t="str">
        <f>IF(OR(A18="",D18=""),"",SUMIFS('Stock Movement'!$F$2:$F$501,'Stock Movement'!$B$2:$B$501,A18,'Stock Movement'!$D$2:$D$501,D18,'Stock Movement'!$E$2:$E$501,"OUT"))</f>
        <v/>
      </c>
      <c r="H18" s="134" t="str">
        <f t="shared" si="1"/>
        <v/>
      </c>
      <c r="I18" s="88" t="str">
        <f>IF(A18="","",IFERROR(VLOOKUP(A18,'Material Master'!$A$2:$E$201,4,FALSE),""))</f>
        <v/>
      </c>
      <c r="J18" s="134" t="str">
        <f>IF(A18="","",IFERROR(VLOOKUP(A18,'Material Master'!$A$2:$E$201,5,FALSE),""))</f>
        <v/>
      </c>
      <c r="K18" s="135" t="str">
        <f t="shared" si="2"/>
        <v/>
      </c>
    </row>
    <row r="19" ht="24.0" customHeight="1">
      <c r="A19" s="82"/>
      <c r="B19" s="130" t="str">
        <f>IF(A19="","",IFERROR(VLOOKUP(A19,'Material Master'!$A$2:$E$201,2,FALSE),""))</f>
        <v/>
      </c>
      <c r="C19" s="82" t="str">
        <f>IF(A19="","",IFERROR(VLOOKUP(A19,'Material Master'!$A$2:$E$201,3,FALSE),""))</f>
        <v/>
      </c>
      <c r="D19" s="82" t="str">
        <f t="array" ref="D19">IF(A19="","",IFERROR(INDEX('Location Master'!$E$2:$E$502, IFERROR(MATCH(A19,'Location Master'!$G$2:$G$502,0), IFERROR(MATCH(A19&amp;" (*",'Location Master'!$G$2:$G$502,0), MATCH(A19&amp;"*",'Location Master'!$G$2:$G$502,0)))), ""))</f>
        <v/>
      </c>
      <c r="E19" s="131"/>
      <c r="F19" s="131" t="str">
        <f>IF(OR(A19="",D19=""),"",SUMIFS('Stock Movement'!$F$2:$F$501,'Stock Movement'!$B$2:$B$501,A19,'Stock Movement'!$D$2:$D$501,D19,'Stock Movement'!$E$2:$E$501,"IN"))</f>
        <v/>
      </c>
      <c r="G19" s="131" t="str">
        <f>IF(OR(A19="",D19=""),"",SUMIFS('Stock Movement'!$F$2:$F$501,'Stock Movement'!$B$2:$B$501,A19,'Stock Movement'!$D$2:$D$501,D19,'Stock Movement'!$E$2:$E$501,"OUT"))</f>
        <v/>
      </c>
      <c r="H19" s="131" t="str">
        <f t="shared" si="1"/>
        <v/>
      </c>
      <c r="I19" s="82" t="str">
        <f>IF(A19="","",IFERROR(VLOOKUP(A19,'Material Master'!$A$2:$E$201,4,FALSE),""))</f>
        <v/>
      </c>
      <c r="J19" s="131" t="str">
        <f>IF(A19="","",IFERROR(VLOOKUP(A19,'Material Master'!$A$2:$E$201,5,FALSE),""))</f>
        <v/>
      </c>
      <c r="K19" s="132" t="str">
        <f t="shared" si="2"/>
        <v/>
      </c>
    </row>
    <row r="20" ht="24.0" customHeight="1">
      <c r="A20" s="88"/>
      <c r="B20" s="133" t="str">
        <f>IF(A20="","",IFERROR(VLOOKUP(A20,'Material Master'!$A$2:$E$201,2,FALSE),""))</f>
        <v/>
      </c>
      <c r="C20" s="88" t="str">
        <f>IF(A20="","",IFERROR(VLOOKUP(A20,'Material Master'!$A$2:$E$201,3,FALSE),""))</f>
        <v/>
      </c>
      <c r="D20" s="88" t="str">
        <f t="array" ref="D20">IF(A20="","",IFERROR(INDEX('Location Master'!$E$2:$E$502, IFERROR(MATCH(A20,'Location Master'!$G$2:$G$502,0), IFERROR(MATCH(A20&amp;" (*",'Location Master'!$G$2:$G$502,0), MATCH(A20&amp;"*",'Location Master'!$G$2:$G$502,0)))), ""))</f>
        <v/>
      </c>
      <c r="E20" s="134"/>
      <c r="F20" s="134" t="str">
        <f>IF(OR(A20="",D20=""),"",SUMIFS('Stock Movement'!$F$2:$F$501,'Stock Movement'!$B$2:$B$501,A20,'Stock Movement'!$D$2:$D$501,D20,'Stock Movement'!$E$2:$E$501,"IN"))</f>
        <v/>
      </c>
      <c r="G20" s="134" t="str">
        <f>IF(OR(A20="",D20=""),"",SUMIFS('Stock Movement'!$F$2:$F$501,'Stock Movement'!$B$2:$B$501,A20,'Stock Movement'!$D$2:$D$501,D20,'Stock Movement'!$E$2:$E$501,"OUT"))</f>
        <v/>
      </c>
      <c r="H20" s="134" t="str">
        <f t="shared" si="1"/>
        <v/>
      </c>
      <c r="I20" s="88" t="str">
        <f>IF(A20="","",IFERROR(VLOOKUP(A20,'Material Master'!$A$2:$E$201,4,FALSE),""))</f>
        <v/>
      </c>
      <c r="J20" s="134" t="str">
        <f>IF(A20="","",IFERROR(VLOOKUP(A20,'Material Master'!$A$2:$E$201,5,FALSE),""))</f>
        <v/>
      </c>
      <c r="K20" s="135" t="str">
        <f t="shared" si="2"/>
        <v/>
      </c>
    </row>
    <row r="21" ht="24.0" customHeight="1">
      <c r="A21" s="82"/>
      <c r="B21" s="130" t="str">
        <f>IF(A21="","",IFERROR(VLOOKUP(A21,'Material Master'!$A$2:$E$201,2,FALSE),""))</f>
        <v/>
      </c>
      <c r="C21" s="82" t="str">
        <f>IF(A21="","",IFERROR(VLOOKUP(A21,'Material Master'!$A$2:$E$201,3,FALSE),""))</f>
        <v/>
      </c>
      <c r="D21" s="82" t="str">
        <f t="array" ref="D21">IF(A21="","",IFERROR(INDEX('Location Master'!$E$2:$E$502, IFERROR(MATCH(A21,'Location Master'!$G$2:$G$502,0), IFERROR(MATCH(A21&amp;" (*",'Location Master'!$G$2:$G$502,0), MATCH(A21&amp;"*",'Location Master'!$G$2:$G$502,0)))), ""))</f>
        <v/>
      </c>
      <c r="E21" s="131"/>
      <c r="F21" s="131" t="str">
        <f>IF(OR(A21="",D21=""),"",SUMIFS('Stock Movement'!$F$2:$F$501,'Stock Movement'!$B$2:$B$501,A21,'Stock Movement'!$D$2:$D$501,D21,'Stock Movement'!$E$2:$E$501,"IN"))</f>
        <v/>
      </c>
      <c r="G21" s="131" t="str">
        <f>IF(OR(A21="",D21=""),"",SUMIFS('Stock Movement'!$F$2:$F$501,'Stock Movement'!$B$2:$B$501,A21,'Stock Movement'!$D$2:$D$501,D21,'Stock Movement'!$E$2:$E$501,"OUT"))</f>
        <v/>
      </c>
      <c r="H21" s="131" t="str">
        <f t="shared" si="1"/>
        <v/>
      </c>
      <c r="I21" s="82" t="str">
        <f>IF(A21="","",IFERROR(VLOOKUP(A21,'Material Master'!$A$2:$E$201,4,FALSE),""))</f>
        <v/>
      </c>
      <c r="J21" s="131" t="str">
        <f>IF(A21="","",IFERROR(VLOOKUP(A21,'Material Master'!$A$2:$E$201,5,FALSE),""))</f>
        <v/>
      </c>
      <c r="K21" s="132" t="str">
        <f t="shared" si="2"/>
        <v/>
      </c>
    </row>
    <row r="22" ht="24.0" customHeight="1">
      <c r="A22" s="88"/>
      <c r="B22" s="133" t="str">
        <f>IF(A22="","",IFERROR(VLOOKUP(A22,'Material Master'!$A$2:$E$201,2,FALSE),""))</f>
        <v/>
      </c>
      <c r="C22" s="88" t="str">
        <f>IF(A22="","",IFERROR(VLOOKUP(A22,'Material Master'!$A$2:$E$201,3,FALSE),""))</f>
        <v/>
      </c>
      <c r="D22" s="88" t="str">
        <f t="array" ref="D22">IF(A22="","",IFERROR(INDEX('Location Master'!$E$2:$E$502, IFERROR(MATCH(A22,'Location Master'!$G$2:$G$502,0), IFERROR(MATCH(A22&amp;" (*",'Location Master'!$G$2:$G$502,0), MATCH(A22&amp;"*",'Location Master'!$G$2:$G$502,0)))), ""))</f>
        <v/>
      </c>
      <c r="E22" s="134"/>
      <c r="F22" s="134" t="str">
        <f>IF(OR(A22="",D22=""),"",SUMIFS('Stock Movement'!$F$2:$F$501,'Stock Movement'!$B$2:$B$501,A22,'Stock Movement'!$D$2:$D$501,D22,'Stock Movement'!$E$2:$E$501,"IN"))</f>
        <v/>
      </c>
      <c r="G22" s="134" t="str">
        <f>IF(OR(A22="",D22=""),"",SUMIFS('Stock Movement'!$F$2:$F$501,'Stock Movement'!$B$2:$B$501,A22,'Stock Movement'!$D$2:$D$501,D22,'Stock Movement'!$E$2:$E$501,"OUT"))</f>
        <v/>
      </c>
      <c r="H22" s="134" t="str">
        <f t="shared" si="1"/>
        <v/>
      </c>
      <c r="I22" s="88" t="str">
        <f>IF(A22="","",IFERROR(VLOOKUP(A22,'Material Master'!$A$2:$E$201,4,FALSE),""))</f>
        <v/>
      </c>
      <c r="J22" s="134" t="str">
        <f>IF(A22="","",IFERROR(VLOOKUP(A22,'Material Master'!$A$2:$E$201,5,FALSE),""))</f>
        <v/>
      </c>
      <c r="K22" s="135" t="str">
        <f t="shared" si="2"/>
        <v/>
      </c>
    </row>
    <row r="23" ht="24.0" customHeight="1">
      <c r="A23" s="82"/>
      <c r="B23" s="130" t="str">
        <f>IF(A23="","",IFERROR(VLOOKUP(A23,'Material Master'!$A$2:$E$201,2,FALSE),""))</f>
        <v/>
      </c>
      <c r="C23" s="82" t="str">
        <f>IF(A23="","",IFERROR(VLOOKUP(A23,'Material Master'!$A$2:$E$201,3,FALSE),""))</f>
        <v/>
      </c>
      <c r="D23" s="82" t="str">
        <f t="array" ref="D23">IF(A23="","",IFERROR(INDEX('Location Master'!$E$2:$E$502, IFERROR(MATCH(A23,'Location Master'!$G$2:$G$502,0), IFERROR(MATCH(A23&amp;" (*",'Location Master'!$G$2:$G$502,0), MATCH(A23&amp;"*",'Location Master'!$G$2:$G$502,0)))), ""))</f>
        <v/>
      </c>
      <c r="E23" s="131"/>
      <c r="F23" s="131" t="str">
        <f>IF(OR(A23="",D23=""),"",SUMIFS('Stock Movement'!$F$2:$F$501,'Stock Movement'!$B$2:$B$501,A23,'Stock Movement'!$D$2:$D$501,D23,'Stock Movement'!$E$2:$E$501,"IN"))</f>
        <v/>
      </c>
      <c r="G23" s="131" t="str">
        <f>IF(OR(A23="",D23=""),"",SUMIFS('Stock Movement'!$F$2:$F$501,'Stock Movement'!$B$2:$B$501,A23,'Stock Movement'!$D$2:$D$501,D23,'Stock Movement'!$E$2:$E$501,"OUT"))</f>
        <v/>
      </c>
      <c r="H23" s="131" t="str">
        <f t="shared" si="1"/>
        <v/>
      </c>
      <c r="I23" s="82" t="str">
        <f>IF(A23="","",IFERROR(VLOOKUP(A23,'Material Master'!$A$2:$E$201,4,FALSE),""))</f>
        <v/>
      </c>
      <c r="J23" s="131" t="str">
        <f>IF(A23="","",IFERROR(VLOOKUP(A23,'Material Master'!$A$2:$E$201,5,FALSE),""))</f>
        <v/>
      </c>
      <c r="K23" s="132" t="str">
        <f t="shared" si="2"/>
        <v/>
      </c>
    </row>
    <row r="24" ht="24.0" customHeight="1">
      <c r="A24" s="88"/>
      <c r="B24" s="133" t="str">
        <f>IF(A24="","",IFERROR(VLOOKUP(A24,'Material Master'!$A$2:$E$201,2,FALSE),""))</f>
        <v/>
      </c>
      <c r="C24" s="88" t="str">
        <f>IF(A24="","",IFERROR(VLOOKUP(A24,'Material Master'!$A$2:$E$201,3,FALSE),""))</f>
        <v/>
      </c>
      <c r="D24" s="88" t="str">
        <f t="array" ref="D24">IF(A24="","",IFERROR(INDEX('Location Master'!$E$2:$E$502, IFERROR(MATCH(A24,'Location Master'!$G$2:$G$502,0), IFERROR(MATCH(A24&amp;" (*",'Location Master'!$G$2:$G$502,0), MATCH(A24&amp;"*",'Location Master'!$G$2:$G$502,0)))), ""))</f>
        <v/>
      </c>
      <c r="E24" s="134"/>
      <c r="F24" s="134" t="str">
        <f>IF(OR(A24="",D24=""),"",SUMIFS('Stock Movement'!$F$2:$F$501,'Stock Movement'!$B$2:$B$501,A24,'Stock Movement'!$D$2:$D$501,D24,'Stock Movement'!$E$2:$E$501,"IN"))</f>
        <v/>
      </c>
      <c r="G24" s="134" t="str">
        <f>IF(OR(A24="",D24=""),"",SUMIFS('Stock Movement'!$F$2:$F$501,'Stock Movement'!$B$2:$B$501,A24,'Stock Movement'!$D$2:$D$501,D24,'Stock Movement'!$E$2:$E$501,"OUT"))</f>
        <v/>
      </c>
      <c r="H24" s="134" t="str">
        <f t="shared" si="1"/>
        <v/>
      </c>
      <c r="I24" s="88" t="str">
        <f>IF(A24="","",IFERROR(VLOOKUP(A24,'Material Master'!$A$2:$E$201,4,FALSE),""))</f>
        <v/>
      </c>
      <c r="J24" s="134" t="str">
        <f>IF(A24="","",IFERROR(VLOOKUP(A24,'Material Master'!$A$2:$E$201,5,FALSE),""))</f>
        <v/>
      </c>
      <c r="K24" s="135" t="str">
        <f t="shared" si="2"/>
        <v/>
      </c>
    </row>
    <row r="25" ht="24.0" customHeight="1">
      <c r="A25" s="82"/>
      <c r="B25" s="130" t="str">
        <f>IF(A25="","",IFERROR(VLOOKUP(A25,'Material Master'!$A$2:$E$201,2,FALSE),""))</f>
        <v/>
      </c>
      <c r="C25" s="82" t="str">
        <f>IF(A25="","",IFERROR(VLOOKUP(A25,'Material Master'!$A$2:$E$201,3,FALSE),""))</f>
        <v/>
      </c>
      <c r="D25" s="82" t="str">
        <f t="array" ref="D25">IF(A25="","",IFERROR(INDEX('Location Master'!$E$2:$E$502, IFERROR(MATCH(A25,'Location Master'!$G$2:$G$502,0), IFERROR(MATCH(A25&amp;" (*",'Location Master'!$G$2:$G$502,0), MATCH(A25&amp;"*",'Location Master'!$G$2:$G$502,0)))), ""))</f>
        <v/>
      </c>
      <c r="E25" s="131"/>
      <c r="F25" s="131" t="str">
        <f>IF(OR(A25="",D25=""),"",SUMIFS('Stock Movement'!$F$2:$F$501,'Stock Movement'!$B$2:$B$501,A25,'Stock Movement'!$D$2:$D$501,D25,'Stock Movement'!$E$2:$E$501,"IN"))</f>
        <v/>
      </c>
      <c r="G25" s="131" t="str">
        <f>IF(OR(A25="",D25=""),"",SUMIFS('Stock Movement'!$F$2:$F$501,'Stock Movement'!$B$2:$B$501,A25,'Stock Movement'!$D$2:$D$501,D25,'Stock Movement'!$E$2:$E$501,"OUT"))</f>
        <v/>
      </c>
      <c r="H25" s="131" t="str">
        <f t="shared" si="1"/>
        <v/>
      </c>
      <c r="I25" s="82" t="str">
        <f>IF(A25="","",IFERROR(VLOOKUP(A25,'Material Master'!$A$2:$E$201,4,FALSE),""))</f>
        <v/>
      </c>
      <c r="J25" s="131" t="str">
        <f>IF(A25="","",IFERROR(VLOOKUP(A25,'Material Master'!$A$2:$E$201,5,FALSE),""))</f>
        <v/>
      </c>
      <c r="K25" s="132" t="str">
        <f t="shared" si="2"/>
        <v/>
      </c>
    </row>
    <row r="26" ht="24.0" customHeight="1">
      <c r="A26" s="88"/>
      <c r="B26" s="133" t="str">
        <f>IF(A26="","",IFERROR(VLOOKUP(A26,'Material Master'!$A$2:$E$201,2,FALSE),""))</f>
        <v/>
      </c>
      <c r="C26" s="88" t="str">
        <f>IF(A26="","",IFERROR(VLOOKUP(A26,'Material Master'!$A$2:$E$201,3,FALSE),""))</f>
        <v/>
      </c>
      <c r="D26" s="88" t="str">
        <f t="array" ref="D26">IF(A26="","",IFERROR(INDEX('Location Master'!$E$2:$E$502, IFERROR(MATCH(A26,'Location Master'!$G$2:$G$502,0), IFERROR(MATCH(A26&amp;" (*",'Location Master'!$G$2:$G$502,0), MATCH(A26&amp;"*",'Location Master'!$G$2:$G$502,0)))), ""))</f>
        <v/>
      </c>
      <c r="E26" s="134"/>
      <c r="F26" s="134" t="str">
        <f>IF(OR(A26="",D26=""),"",SUMIFS('Stock Movement'!$F$2:$F$501,'Stock Movement'!$B$2:$B$501,A26,'Stock Movement'!$D$2:$D$501,D26,'Stock Movement'!$E$2:$E$501,"IN"))</f>
        <v/>
      </c>
      <c r="G26" s="134" t="str">
        <f>IF(OR(A26="",D26=""),"",SUMIFS('Stock Movement'!$F$2:$F$501,'Stock Movement'!$B$2:$B$501,A26,'Stock Movement'!$D$2:$D$501,D26,'Stock Movement'!$E$2:$E$501,"OUT"))</f>
        <v/>
      </c>
      <c r="H26" s="134" t="str">
        <f t="shared" si="1"/>
        <v/>
      </c>
      <c r="I26" s="88" t="str">
        <f>IF(A26="","",IFERROR(VLOOKUP(A26,'Material Master'!$A$2:$E$201,4,FALSE),""))</f>
        <v/>
      </c>
      <c r="J26" s="134" t="str">
        <f>IF(A26="","",IFERROR(VLOOKUP(A26,'Material Master'!$A$2:$E$201,5,FALSE),""))</f>
        <v/>
      </c>
      <c r="K26" s="135" t="str">
        <f t="shared" si="2"/>
        <v/>
      </c>
    </row>
    <row r="27" ht="24.0" customHeight="1">
      <c r="A27" s="82"/>
      <c r="B27" s="130" t="str">
        <f>IF(A27="","",IFERROR(VLOOKUP(A27,'Material Master'!$A$2:$E$201,2,FALSE),""))</f>
        <v/>
      </c>
      <c r="C27" s="82" t="str">
        <f>IF(A27="","",IFERROR(VLOOKUP(A27,'Material Master'!$A$2:$E$201,3,FALSE),""))</f>
        <v/>
      </c>
      <c r="D27" s="82" t="str">
        <f t="array" ref="D27">IF(A27="","",IFERROR(INDEX('Location Master'!$E$2:$E$502, IFERROR(MATCH(A27,'Location Master'!$G$2:$G$502,0), IFERROR(MATCH(A27&amp;" (*",'Location Master'!$G$2:$G$502,0), MATCH(A27&amp;"*",'Location Master'!$G$2:$G$502,0)))), ""))</f>
        <v/>
      </c>
      <c r="E27" s="131"/>
      <c r="F27" s="131" t="str">
        <f>IF(OR(A27="",D27=""),"",SUMIFS('Stock Movement'!$F$2:$F$501,'Stock Movement'!$B$2:$B$501,A27,'Stock Movement'!$D$2:$D$501,D27,'Stock Movement'!$E$2:$E$501,"IN"))</f>
        <v/>
      </c>
      <c r="G27" s="131" t="str">
        <f>IF(OR(A27="",D27=""),"",SUMIFS('Stock Movement'!$F$2:$F$501,'Stock Movement'!$B$2:$B$501,A27,'Stock Movement'!$D$2:$D$501,D27,'Stock Movement'!$E$2:$E$501,"OUT"))</f>
        <v/>
      </c>
      <c r="H27" s="131" t="str">
        <f t="shared" si="1"/>
        <v/>
      </c>
      <c r="I27" s="82" t="str">
        <f>IF(A27="","",IFERROR(VLOOKUP(A27,'Material Master'!$A$2:$E$201,4,FALSE),""))</f>
        <v/>
      </c>
      <c r="J27" s="131" t="str">
        <f>IF(A27="","",IFERROR(VLOOKUP(A27,'Material Master'!$A$2:$E$201,5,FALSE),""))</f>
        <v/>
      </c>
      <c r="K27" s="132" t="str">
        <f t="shared" si="2"/>
        <v/>
      </c>
    </row>
    <row r="28" ht="24.0" customHeight="1">
      <c r="A28" s="88"/>
      <c r="B28" s="133" t="str">
        <f>IF(A28="","",IFERROR(VLOOKUP(A28,'Material Master'!$A$2:$E$201,2,FALSE),""))</f>
        <v/>
      </c>
      <c r="C28" s="88" t="str">
        <f>IF(A28="","",IFERROR(VLOOKUP(A28,'Material Master'!$A$2:$E$201,3,FALSE),""))</f>
        <v/>
      </c>
      <c r="D28" s="88" t="str">
        <f t="array" ref="D28">IF(A28="","",IFERROR(INDEX('Location Master'!$E$2:$E$502, IFERROR(MATCH(A28,'Location Master'!$G$2:$G$502,0), IFERROR(MATCH(A28&amp;" (*",'Location Master'!$G$2:$G$502,0), MATCH(A28&amp;"*",'Location Master'!$G$2:$G$502,0)))), ""))</f>
        <v/>
      </c>
      <c r="E28" s="134"/>
      <c r="F28" s="134" t="str">
        <f>IF(OR(A28="",D28=""),"",SUMIFS('Stock Movement'!$F$2:$F$501,'Stock Movement'!$B$2:$B$501,A28,'Stock Movement'!$D$2:$D$501,D28,'Stock Movement'!$E$2:$E$501,"IN"))</f>
        <v/>
      </c>
      <c r="G28" s="134" t="str">
        <f>IF(OR(A28="",D28=""),"",SUMIFS('Stock Movement'!$F$2:$F$501,'Stock Movement'!$B$2:$B$501,A28,'Stock Movement'!$D$2:$D$501,D28,'Stock Movement'!$E$2:$E$501,"OUT"))</f>
        <v/>
      </c>
      <c r="H28" s="134" t="str">
        <f t="shared" si="1"/>
        <v/>
      </c>
      <c r="I28" s="88" t="str">
        <f>IF(A28="","",IFERROR(VLOOKUP(A28,'Material Master'!$A$2:$E$201,4,FALSE),""))</f>
        <v/>
      </c>
      <c r="J28" s="134" t="str">
        <f>IF(A28="","",IFERROR(VLOOKUP(A28,'Material Master'!$A$2:$E$201,5,FALSE),""))</f>
        <v/>
      </c>
      <c r="K28" s="135" t="str">
        <f t="shared" si="2"/>
        <v/>
      </c>
    </row>
    <row r="29" ht="24.0" customHeight="1">
      <c r="A29" s="82"/>
      <c r="B29" s="130" t="str">
        <f>IF(A29="","",IFERROR(VLOOKUP(A29,'Material Master'!$A$2:$E$201,2,FALSE),""))</f>
        <v/>
      </c>
      <c r="C29" s="82" t="str">
        <f>IF(A29="","",IFERROR(VLOOKUP(A29,'Material Master'!$A$2:$E$201,3,FALSE),""))</f>
        <v/>
      </c>
      <c r="D29" s="82" t="str">
        <f t="array" ref="D29">IF(A29="","",IFERROR(INDEX('Location Master'!$E$2:$E$502, IFERROR(MATCH(A29,'Location Master'!$G$2:$G$502,0), IFERROR(MATCH(A29&amp;" (*",'Location Master'!$G$2:$G$502,0), MATCH(A29&amp;"*",'Location Master'!$G$2:$G$502,0)))), ""))</f>
        <v/>
      </c>
      <c r="E29" s="131"/>
      <c r="F29" s="131" t="str">
        <f>IF(OR(A29="",D29=""),"",SUMIFS('Stock Movement'!$F$2:$F$501,'Stock Movement'!$B$2:$B$501,A29,'Stock Movement'!$D$2:$D$501,D29,'Stock Movement'!$E$2:$E$501,"IN"))</f>
        <v/>
      </c>
      <c r="G29" s="131" t="str">
        <f>IF(OR(A29="",D29=""),"",SUMIFS('Stock Movement'!$F$2:$F$501,'Stock Movement'!$B$2:$B$501,A29,'Stock Movement'!$D$2:$D$501,D29,'Stock Movement'!$E$2:$E$501,"OUT"))</f>
        <v/>
      </c>
      <c r="H29" s="131" t="str">
        <f t="shared" si="1"/>
        <v/>
      </c>
      <c r="I29" s="82" t="str">
        <f>IF(A29="","",IFERROR(VLOOKUP(A29,'Material Master'!$A$2:$E$201,4,FALSE),""))</f>
        <v/>
      </c>
      <c r="J29" s="131" t="str">
        <f>IF(A29="","",IFERROR(VLOOKUP(A29,'Material Master'!$A$2:$E$201,5,FALSE),""))</f>
        <v/>
      </c>
      <c r="K29" s="132" t="str">
        <f t="shared" si="2"/>
        <v/>
      </c>
    </row>
    <row r="30" ht="24.0" customHeight="1">
      <c r="A30" s="88"/>
      <c r="B30" s="133" t="str">
        <f>IF(A30="","",IFERROR(VLOOKUP(A30,'Material Master'!$A$2:$E$201,2,FALSE),""))</f>
        <v/>
      </c>
      <c r="C30" s="88" t="str">
        <f>IF(A30="","",IFERROR(VLOOKUP(A30,'Material Master'!$A$2:$E$201,3,FALSE),""))</f>
        <v/>
      </c>
      <c r="D30" s="88" t="str">
        <f t="array" ref="D30">IF(A30="","",IFERROR(INDEX('Location Master'!$E$2:$E$502, IFERROR(MATCH(A30,'Location Master'!$G$2:$G$502,0), IFERROR(MATCH(A30&amp;" (*",'Location Master'!$G$2:$G$502,0), MATCH(A30&amp;"*",'Location Master'!$G$2:$G$502,0)))), ""))</f>
        <v/>
      </c>
      <c r="E30" s="134"/>
      <c r="F30" s="134" t="str">
        <f>IF(OR(A30="",D30=""),"",SUMIFS('Stock Movement'!$F$2:$F$501,'Stock Movement'!$B$2:$B$501,A30,'Stock Movement'!$D$2:$D$501,D30,'Stock Movement'!$E$2:$E$501,"IN"))</f>
        <v/>
      </c>
      <c r="G30" s="134" t="str">
        <f>IF(OR(A30="",D30=""),"",SUMIFS('Stock Movement'!$F$2:$F$501,'Stock Movement'!$B$2:$B$501,A30,'Stock Movement'!$D$2:$D$501,D30,'Stock Movement'!$E$2:$E$501,"OUT"))</f>
        <v/>
      </c>
      <c r="H30" s="134" t="str">
        <f t="shared" si="1"/>
        <v/>
      </c>
      <c r="I30" s="88" t="str">
        <f>IF(A30="","",IFERROR(VLOOKUP(A30,'Material Master'!$A$2:$E$201,4,FALSE),""))</f>
        <v/>
      </c>
      <c r="J30" s="134" t="str">
        <f>IF(A30="","",IFERROR(VLOOKUP(A30,'Material Master'!$A$2:$E$201,5,FALSE),""))</f>
        <v/>
      </c>
      <c r="K30" s="135" t="str">
        <f t="shared" si="2"/>
        <v/>
      </c>
    </row>
    <row r="31" ht="24.0" customHeight="1">
      <c r="A31" s="82"/>
      <c r="B31" s="130" t="str">
        <f>IF(A31="","",IFERROR(VLOOKUP(A31,'Material Master'!$A$2:$E$201,2,FALSE),""))</f>
        <v/>
      </c>
      <c r="C31" s="82" t="str">
        <f>IF(A31="","",IFERROR(VLOOKUP(A31,'Material Master'!$A$2:$E$201,3,FALSE),""))</f>
        <v/>
      </c>
      <c r="D31" s="82" t="str">
        <f t="array" ref="D31">IF(A31="","",IFERROR(INDEX('Location Master'!$E$2:$E$502, IFERROR(MATCH(A31,'Location Master'!$G$2:$G$502,0), IFERROR(MATCH(A31&amp;" (*",'Location Master'!$G$2:$G$502,0), MATCH(A31&amp;"*",'Location Master'!$G$2:$G$502,0)))), ""))</f>
        <v/>
      </c>
      <c r="E31" s="131"/>
      <c r="F31" s="131" t="str">
        <f>IF(OR(A31="",D31=""),"",SUMIFS('Stock Movement'!$F$2:$F$501,'Stock Movement'!$B$2:$B$501,A31,'Stock Movement'!$D$2:$D$501,D31,'Stock Movement'!$E$2:$E$501,"IN"))</f>
        <v/>
      </c>
      <c r="G31" s="131" t="str">
        <f>IF(OR(A31="",D31=""),"",SUMIFS('Stock Movement'!$F$2:$F$501,'Stock Movement'!$B$2:$B$501,A31,'Stock Movement'!$D$2:$D$501,D31,'Stock Movement'!$E$2:$E$501,"OUT"))</f>
        <v/>
      </c>
      <c r="H31" s="131" t="str">
        <f t="shared" si="1"/>
        <v/>
      </c>
      <c r="I31" s="82" t="str">
        <f>IF(A31="","",IFERROR(VLOOKUP(A31,'Material Master'!$A$2:$E$201,4,FALSE),""))</f>
        <v/>
      </c>
      <c r="J31" s="131" t="str">
        <f>IF(A31="","",IFERROR(VLOOKUP(A31,'Material Master'!$A$2:$E$201,5,FALSE),""))</f>
        <v/>
      </c>
      <c r="K31" s="132" t="str">
        <f t="shared" si="2"/>
        <v/>
      </c>
    </row>
    <row r="32" ht="24.0" customHeight="1">
      <c r="A32" s="88"/>
      <c r="B32" s="133" t="str">
        <f>IF(A32="","",IFERROR(VLOOKUP(A32,'Material Master'!$A$2:$E$201,2,FALSE),""))</f>
        <v/>
      </c>
      <c r="C32" s="88" t="str">
        <f>IF(A32="","",IFERROR(VLOOKUP(A32,'Material Master'!$A$2:$E$201,3,FALSE),""))</f>
        <v/>
      </c>
      <c r="D32" s="88" t="str">
        <f t="array" ref="D32">IF(A32="","",IFERROR(INDEX('Location Master'!$E$2:$E$502, IFERROR(MATCH(A32,'Location Master'!$G$2:$G$502,0), IFERROR(MATCH(A32&amp;" (*",'Location Master'!$G$2:$G$502,0), MATCH(A32&amp;"*",'Location Master'!$G$2:$G$502,0)))), ""))</f>
        <v/>
      </c>
      <c r="E32" s="134"/>
      <c r="F32" s="134" t="str">
        <f>IF(OR(A32="",D32=""),"",SUMIFS('Stock Movement'!$F$2:$F$501,'Stock Movement'!$B$2:$B$501,A32,'Stock Movement'!$D$2:$D$501,D32,'Stock Movement'!$E$2:$E$501,"IN"))</f>
        <v/>
      </c>
      <c r="G32" s="134" t="str">
        <f>IF(OR(A32="",D32=""),"",SUMIFS('Stock Movement'!$F$2:$F$501,'Stock Movement'!$B$2:$B$501,A32,'Stock Movement'!$D$2:$D$501,D32,'Stock Movement'!$E$2:$E$501,"OUT"))</f>
        <v/>
      </c>
      <c r="H32" s="134" t="str">
        <f t="shared" si="1"/>
        <v/>
      </c>
      <c r="I32" s="88" t="str">
        <f>IF(A32="","",IFERROR(VLOOKUP(A32,'Material Master'!$A$2:$E$201,4,FALSE),""))</f>
        <v/>
      </c>
      <c r="J32" s="134" t="str">
        <f>IF(A32="","",IFERROR(VLOOKUP(A32,'Material Master'!$A$2:$E$201,5,FALSE),""))</f>
        <v/>
      </c>
      <c r="K32" s="135" t="str">
        <f t="shared" si="2"/>
        <v/>
      </c>
    </row>
    <row r="33" ht="24.0" customHeight="1">
      <c r="A33" s="82"/>
      <c r="B33" s="130" t="str">
        <f>IF(A33="","",IFERROR(VLOOKUP(A33,'Material Master'!$A$2:$E$201,2,FALSE),""))</f>
        <v/>
      </c>
      <c r="C33" s="82" t="str">
        <f>IF(A33="","",IFERROR(VLOOKUP(A33,'Material Master'!$A$2:$E$201,3,FALSE),""))</f>
        <v/>
      </c>
      <c r="D33" s="82" t="str">
        <f t="array" ref="D33">IF(A33="","",IFERROR(INDEX('Location Master'!$E$2:$E$502, IFERROR(MATCH(A33,'Location Master'!$G$2:$G$502,0), IFERROR(MATCH(A33&amp;" (*",'Location Master'!$G$2:$G$502,0), MATCH(A33&amp;"*",'Location Master'!$G$2:$G$502,0)))), ""))</f>
        <v/>
      </c>
      <c r="E33" s="131"/>
      <c r="F33" s="131" t="str">
        <f>IF(OR(A33="",D33=""),"",SUMIFS('Stock Movement'!$F$2:$F$501,'Stock Movement'!$B$2:$B$501,A33,'Stock Movement'!$D$2:$D$501,D33,'Stock Movement'!$E$2:$E$501,"IN"))</f>
        <v/>
      </c>
      <c r="G33" s="131" t="str">
        <f>IF(OR(A33="",D33=""),"",SUMIFS('Stock Movement'!$F$2:$F$501,'Stock Movement'!$B$2:$B$501,A33,'Stock Movement'!$D$2:$D$501,D33,'Stock Movement'!$E$2:$E$501,"OUT"))</f>
        <v/>
      </c>
      <c r="H33" s="131" t="str">
        <f t="shared" si="1"/>
        <v/>
      </c>
      <c r="I33" s="82" t="str">
        <f>IF(A33="","",IFERROR(VLOOKUP(A33,'Material Master'!$A$2:$E$201,4,FALSE),""))</f>
        <v/>
      </c>
      <c r="J33" s="131" t="str">
        <f>IF(A33="","",IFERROR(VLOOKUP(A33,'Material Master'!$A$2:$E$201,5,FALSE),""))</f>
        <v/>
      </c>
      <c r="K33" s="132" t="str">
        <f t="shared" si="2"/>
        <v/>
      </c>
    </row>
    <row r="34" ht="24.0" customHeight="1">
      <c r="A34" s="88"/>
      <c r="B34" s="133" t="str">
        <f>IF(A34="","",IFERROR(VLOOKUP(A34,'Material Master'!$A$2:$E$201,2,FALSE),""))</f>
        <v/>
      </c>
      <c r="C34" s="88" t="str">
        <f>IF(A34="","",IFERROR(VLOOKUP(A34,'Material Master'!$A$2:$E$201,3,FALSE),""))</f>
        <v/>
      </c>
      <c r="D34" s="88" t="str">
        <f t="array" ref="D34">IF(A34="","",IFERROR(INDEX('Location Master'!$E$2:$E$502, IFERROR(MATCH(A34,'Location Master'!$G$2:$G$502,0), IFERROR(MATCH(A34&amp;" (*",'Location Master'!$G$2:$G$502,0), MATCH(A34&amp;"*",'Location Master'!$G$2:$G$502,0)))), ""))</f>
        <v/>
      </c>
      <c r="E34" s="134"/>
      <c r="F34" s="134" t="str">
        <f>IF(OR(A34="",D34=""),"",SUMIFS('Stock Movement'!$F$2:$F$501,'Stock Movement'!$B$2:$B$501,A34,'Stock Movement'!$D$2:$D$501,D34,'Stock Movement'!$E$2:$E$501,"IN"))</f>
        <v/>
      </c>
      <c r="G34" s="134" t="str">
        <f>IF(OR(A34="",D34=""),"",SUMIFS('Stock Movement'!$F$2:$F$501,'Stock Movement'!$B$2:$B$501,A34,'Stock Movement'!$D$2:$D$501,D34,'Stock Movement'!$E$2:$E$501,"OUT"))</f>
        <v/>
      </c>
      <c r="H34" s="134" t="str">
        <f t="shared" si="1"/>
        <v/>
      </c>
      <c r="I34" s="88" t="str">
        <f>IF(A34="","",IFERROR(VLOOKUP(A34,'Material Master'!$A$2:$E$201,4,FALSE),""))</f>
        <v/>
      </c>
      <c r="J34" s="134" t="str">
        <f>IF(A34="","",IFERROR(VLOOKUP(A34,'Material Master'!$A$2:$E$201,5,FALSE),""))</f>
        <v/>
      </c>
      <c r="K34" s="135" t="str">
        <f t="shared" si="2"/>
        <v/>
      </c>
    </row>
    <row r="35" ht="24.0" customHeight="1">
      <c r="A35" s="82"/>
      <c r="B35" s="130" t="str">
        <f>IF(A35="","",IFERROR(VLOOKUP(A35,'Material Master'!$A$2:$E$201,2,FALSE),""))</f>
        <v/>
      </c>
      <c r="C35" s="82" t="str">
        <f>IF(A35="","",IFERROR(VLOOKUP(A35,'Material Master'!$A$2:$E$201,3,FALSE),""))</f>
        <v/>
      </c>
      <c r="D35" s="82" t="str">
        <f t="array" ref="D35">IF(A35="","",IFERROR(INDEX('Location Master'!$E$2:$E$502, IFERROR(MATCH(A35,'Location Master'!$G$2:$G$502,0), IFERROR(MATCH(A35&amp;" (*",'Location Master'!$G$2:$G$502,0), MATCH(A35&amp;"*",'Location Master'!$G$2:$G$502,0)))), ""))</f>
        <v/>
      </c>
      <c r="E35" s="131"/>
      <c r="F35" s="131" t="str">
        <f>IF(OR(A35="",D35=""),"",SUMIFS('Stock Movement'!$F$2:$F$501,'Stock Movement'!$B$2:$B$501,A35,'Stock Movement'!$D$2:$D$501,D35,'Stock Movement'!$E$2:$E$501,"IN"))</f>
        <v/>
      </c>
      <c r="G35" s="131" t="str">
        <f>IF(OR(A35="",D35=""),"",SUMIFS('Stock Movement'!$F$2:$F$501,'Stock Movement'!$B$2:$B$501,A35,'Stock Movement'!$D$2:$D$501,D35,'Stock Movement'!$E$2:$E$501,"OUT"))</f>
        <v/>
      </c>
      <c r="H35" s="131" t="str">
        <f t="shared" si="1"/>
        <v/>
      </c>
      <c r="I35" s="82" t="str">
        <f>IF(A35="","",IFERROR(VLOOKUP(A35,'Material Master'!$A$2:$E$201,4,FALSE),""))</f>
        <v/>
      </c>
      <c r="J35" s="131" t="str">
        <f>IF(A35="","",IFERROR(VLOOKUP(A35,'Material Master'!$A$2:$E$201,5,FALSE),""))</f>
        <v/>
      </c>
      <c r="K35" s="132" t="str">
        <f t="shared" si="2"/>
        <v/>
      </c>
    </row>
    <row r="36" ht="24.0" customHeight="1">
      <c r="A36" s="88"/>
      <c r="B36" s="133" t="str">
        <f>IF(A36="","",IFERROR(VLOOKUP(A36,'Material Master'!$A$2:$E$201,2,FALSE),""))</f>
        <v/>
      </c>
      <c r="C36" s="88" t="str">
        <f>IF(A36="","",IFERROR(VLOOKUP(A36,'Material Master'!$A$2:$E$201,3,FALSE),""))</f>
        <v/>
      </c>
      <c r="D36" s="88" t="str">
        <f t="array" ref="D36">IF(A36="","",IFERROR(INDEX('Location Master'!$E$2:$E$502, IFERROR(MATCH(A36,'Location Master'!$G$2:$G$502,0), IFERROR(MATCH(A36&amp;" (*",'Location Master'!$G$2:$G$502,0), MATCH(A36&amp;"*",'Location Master'!$G$2:$G$502,0)))), ""))</f>
        <v/>
      </c>
      <c r="E36" s="134"/>
      <c r="F36" s="134" t="str">
        <f>IF(OR(A36="",D36=""),"",SUMIFS('Stock Movement'!$F$2:$F$501,'Stock Movement'!$B$2:$B$501,A36,'Stock Movement'!$D$2:$D$501,D36,'Stock Movement'!$E$2:$E$501,"IN"))</f>
        <v/>
      </c>
      <c r="G36" s="134" t="str">
        <f>IF(OR(A36="",D36=""),"",SUMIFS('Stock Movement'!$F$2:$F$501,'Stock Movement'!$B$2:$B$501,A36,'Stock Movement'!$D$2:$D$501,D36,'Stock Movement'!$E$2:$E$501,"OUT"))</f>
        <v/>
      </c>
      <c r="H36" s="134" t="str">
        <f t="shared" si="1"/>
        <v/>
      </c>
      <c r="I36" s="88" t="str">
        <f>IF(A36="","",IFERROR(VLOOKUP(A36,'Material Master'!$A$2:$E$201,4,FALSE),""))</f>
        <v/>
      </c>
      <c r="J36" s="134" t="str">
        <f>IF(A36="","",IFERROR(VLOOKUP(A36,'Material Master'!$A$2:$E$201,5,FALSE),""))</f>
        <v/>
      </c>
      <c r="K36" s="135" t="str">
        <f t="shared" si="2"/>
        <v/>
      </c>
    </row>
    <row r="37" ht="24.0" customHeight="1">
      <c r="A37" s="82"/>
      <c r="B37" s="130" t="str">
        <f>IF(A37="","",IFERROR(VLOOKUP(A37,'Material Master'!$A$2:$E$201,2,FALSE),""))</f>
        <v/>
      </c>
      <c r="C37" s="82" t="str">
        <f>IF(A37="","",IFERROR(VLOOKUP(A37,'Material Master'!$A$2:$E$201,3,FALSE),""))</f>
        <v/>
      </c>
      <c r="D37" s="82" t="str">
        <f t="array" ref="D37">IF(A37="","",IFERROR(INDEX('Location Master'!$E$2:$E$502, IFERROR(MATCH(A37,'Location Master'!$G$2:$G$502,0), IFERROR(MATCH(A37&amp;" (*",'Location Master'!$G$2:$G$502,0), MATCH(A37&amp;"*",'Location Master'!$G$2:$G$502,0)))), ""))</f>
        <v/>
      </c>
      <c r="E37" s="131"/>
      <c r="F37" s="131" t="str">
        <f>IF(OR(A37="",D37=""),"",SUMIFS('Stock Movement'!$F$2:$F$501,'Stock Movement'!$B$2:$B$501,A37,'Stock Movement'!$D$2:$D$501,D37,'Stock Movement'!$E$2:$E$501,"IN"))</f>
        <v/>
      </c>
      <c r="G37" s="131" t="str">
        <f>IF(OR(A37="",D37=""),"",SUMIFS('Stock Movement'!$F$2:$F$501,'Stock Movement'!$B$2:$B$501,A37,'Stock Movement'!$D$2:$D$501,D37,'Stock Movement'!$E$2:$E$501,"OUT"))</f>
        <v/>
      </c>
      <c r="H37" s="131" t="str">
        <f t="shared" si="1"/>
        <v/>
      </c>
      <c r="I37" s="82" t="str">
        <f>IF(A37="","",IFERROR(VLOOKUP(A37,'Material Master'!$A$2:$E$201,4,FALSE),""))</f>
        <v/>
      </c>
      <c r="J37" s="131" t="str">
        <f>IF(A37="","",IFERROR(VLOOKUP(A37,'Material Master'!$A$2:$E$201,5,FALSE),""))</f>
        <v/>
      </c>
      <c r="K37" s="132" t="str">
        <f t="shared" si="2"/>
        <v/>
      </c>
    </row>
    <row r="38" ht="24.0" customHeight="1">
      <c r="A38" s="88"/>
      <c r="B38" s="133" t="str">
        <f>IF(A38="","",IFERROR(VLOOKUP(A38,'Material Master'!$A$2:$E$201,2,FALSE),""))</f>
        <v/>
      </c>
      <c r="C38" s="88" t="str">
        <f>IF(A38="","",IFERROR(VLOOKUP(A38,'Material Master'!$A$2:$E$201,3,FALSE),""))</f>
        <v/>
      </c>
      <c r="D38" s="88" t="str">
        <f t="array" ref="D38">IF(A38="","",IFERROR(INDEX('Location Master'!$E$2:$E$502, IFERROR(MATCH(A38,'Location Master'!$G$2:$G$502,0), IFERROR(MATCH(A38&amp;" (*",'Location Master'!$G$2:$G$502,0), MATCH(A38&amp;"*",'Location Master'!$G$2:$G$502,0)))), ""))</f>
        <v/>
      </c>
      <c r="E38" s="134"/>
      <c r="F38" s="134" t="str">
        <f>IF(OR(A38="",D38=""),"",SUMIFS('Stock Movement'!$F$2:$F$501,'Stock Movement'!$B$2:$B$501,A38,'Stock Movement'!$D$2:$D$501,D38,'Stock Movement'!$E$2:$E$501,"IN"))</f>
        <v/>
      </c>
      <c r="G38" s="134" t="str">
        <f>IF(OR(A38="",D38=""),"",SUMIFS('Stock Movement'!$F$2:$F$501,'Stock Movement'!$B$2:$B$501,A38,'Stock Movement'!$D$2:$D$501,D38,'Stock Movement'!$E$2:$E$501,"OUT"))</f>
        <v/>
      </c>
      <c r="H38" s="134" t="str">
        <f t="shared" si="1"/>
        <v/>
      </c>
      <c r="I38" s="88" t="str">
        <f>IF(A38="","",IFERROR(VLOOKUP(A38,'Material Master'!$A$2:$E$201,4,FALSE),""))</f>
        <v/>
      </c>
      <c r="J38" s="134" t="str">
        <f>IF(A38="","",IFERROR(VLOOKUP(A38,'Material Master'!$A$2:$E$201,5,FALSE),""))</f>
        <v/>
      </c>
      <c r="K38" s="135" t="str">
        <f t="shared" si="2"/>
        <v/>
      </c>
    </row>
    <row r="39" ht="24.0" customHeight="1">
      <c r="A39" s="82"/>
      <c r="B39" s="130" t="str">
        <f>IF(A39="","",IFERROR(VLOOKUP(A39,'Material Master'!$A$2:$E$201,2,FALSE),""))</f>
        <v/>
      </c>
      <c r="C39" s="82" t="str">
        <f>IF(A39="","",IFERROR(VLOOKUP(A39,'Material Master'!$A$2:$E$201,3,FALSE),""))</f>
        <v/>
      </c>
      <c r="D39" s="82" t="str">
        <f t="array" ref="D39">IF(A39="","",IFERROR(INDEX('Location Master'!$E$2:$E$502, IFERROR(MATCH(A39,'Location Master'!$G$2:$G$502,0), IFERROR(MATCH(A39&amp;" (*",'Location Master'!$G$2:$G$502,0), MATCH(A39&amp;"*",'Location Master'!$G$2:$G$502,0)))), ""))</f>
        <v/>
      </c>
      <c r="E39" s="131"/>
      <c r="F39" s="131" t="str">
        <f>IF(OR(A39="",D39=""),"",SUMIFS('Stock Movement'!$F$2:$F$501,'Stock Movement'!$B$2:$B$501,A39,'Stock Movement'!$D$2:$D$501,D39,'Stock Movement'!$E$2:$E$501,"IN"))</f>
        <v/>
      </c>
      <c r="G39" s="131" t="str">
        <f>IF(OR(A39="",D39=""),"",SUMIFS('Stock Movement'!$F$2:$F$501,'Stock Movement'!$B$2:$B$501,A39,'Stock Movement'!$D$2:$D$501,D39,'Stock Movement'!$E$2:$E$501,"OUT"))</f>
        <v/>
      </c>
      <c r="H39" s="131" t="str">
        <f t="shared" si="1"/>
        <v/>
      </c>
      <c r="I39" s="82" t="str">
        <f>IF(A39="","",IFERROR(VLOOKUP(A39,'Material Master'!$A$2:$E$201,4,FALSE),""))</f>
        <v/>
      </c>
      <c r="J39" s="131" t="str">
        <f>IF(A39="","",IFERROR(VLOOKUP(A39,'Material Master'!$A$2:$E$201,5,FALSE),""))</f>
        <v/>
      </c>
      <c r="K39" s="132" t="str">
        <f t="shared" si="2"/>
        <v/>
      </c>
    </row>
    <row r="40" ht="24.0" customHeight="1">
      <c r="A40" s="88"/>
      <c r="B40" s="133" t="str">
        <f>IF(A40="","",IFERROR(VLOOKUP(A40,'Material Master'!$A$2:$E$201,2,FALSE),""))</f>
        <v/>
      </c>
      <c r="C40" s="88" t="str">
        <f>IF(A40="","",IFERROR(VLOOKUP(A40,'Material Master'!$A$2:$E$201,3,FALSE),""))</f>
        <v/>
      </c>
      <c r="D40" s="88" t="str">
        <f t="array" ref="D40">IF(A40="","",IFERROR(INDEX('Location Master'!$E$2:$E$502, IFERROR(MATCH(A40,'Location Master'!$G$2:$G$502,0), IFERROR(MATCH(A40&amp;" (*",'Location Master'!$G$2:$G$502,0), MATCH(A40&amp;"*",'Location Master'!$G$2:$G$502,0)))), ""))</f>
        <v/>
      </c>
      <c r="E40" s="134"/>
      <c r="F40" s="134" t="str">
        <f>IF(OR(A40="",D40=""),"",SUMIFS('Stock Movement'!$F$2:$F$501,'Stock Movement'!$B$2:$B$501,A40,'Stock Movement'!$D$2:$D$501,D40,'Stock Movement'!$E$2:$E$501,"IN"))</f>
        <v/>
      </c>
      <c r="G40" s="134" t="str">
        <f>IF(OR(A40="",D40=""),"",SUMIFS('Stock Movement'!$F$2:$F$501,'Stock Movement'!$B$2:$B$501,A40,'Stock Movement'!$D$2:$D$501,D40,'Stock Movement'!$E$2:$E$501,"OUT"))</f>
        <v/>
      </c>
      <c r="H40" s="134" t="str">
        <f t="shared" si="1"/>
        <v/>
      </c>
      <c r="I40" s="88" t="str">
        <f>IF(A40="","",IFERROR(VLOOKUP(A40,'Material Master'!$A$2:$E$201,4,FALSE),""))</f>
        <v/>
      </c>
      <c r="J40" s="134" t="str">
        <f>IF(A40="","",IFERROR(VLOOKUP(A40,'Material Master'!$A$2:$E$201,5,FALSE),""))</f>
        <v/>
      </c>
      <c r="K40" s="135" t="str">
        <f t="shared" si="2"/>
        <v/>
      </c>
    </row>
    <row r="41" ht="24.0" customHeight="1">
      <c r="A41" s="82"/>
      <c r="B41" s="130" t="str">
        <f>IF(A41="","",IFERROR(VLOOKUP(A41,'Material Master'!$A$2:$E$201,2,FALSE),""))</f>
        <v/>
      </c>
      <c r="C41" s="82" t="str">
        <f>IF(A41="","",IFERROR(VLOOKUP(A41,'Material Master'!$A$2:$E$201,3,FALSE),""))</f>
        <v/>
      </c>
      <c r="D41" s="82" t="str">
        <f t="array" ref="D41">IF(A41="","",IFERROR(INDEX('Location Master'!$E$2:$E$502, IFERROR(MATCH(A41,'Location Master'!$G$2:$G$502,0), IFERROR(MATCH(A41&amp;" (*",'Location Master'!$G$2:$G$502,0), MATCH(A41&amp;"*",'Location Master'!$G$2:$G$502,0)))), ""))</f>
        <v/>
      </c>
      <c r="E41" s="131"/>
      <c r="F41" s="131" t="str">
        <f>IF(OR(A41="",D41=""),"",SUMIFS('Stock Movement'!$F$2:$F$501,'Stock Movement'!$B$2:$B$501,A41,'Stock Movement'!$D$2:$D$501,D41,'Stock Movement'!$E$2:$E$501,"IN"))</f>
        <v/>
      </c>
      <c r="G41" s="131" t="str">
        <f>IF(OR(A41="",D41=""),"",SUMIFS('Stock Movement'!$F$2:$F$501,'Stock Movement'!$B$2:$B$501,A41,'Stock Movement'!$D$2:$D$501,D41,'Stock Movement'!$E$2:$E$501,"OUT"))</f>
        <v/>
      </c>
      <c r="H41" s="131" t="str">
        <f t="shared" si="1"/>
        <v/>
      </c>
      <c r="I41" s="82" t="str">
        <f>IF(A41="","",IFERROR(VLOOKUP(A41,'Material Master'!$A$2:$E$201,4,FALSE),""))</f>
        <v/>
      </c>
      <c r="J41" s="131" t="str">
        <f>IF(A41="","",IFERROR(VLOOKUP(A41,'Material Master'!$A$2:$E$201,5,FALSE),""))</f>
        <v/>
      </c>
      <c r="K41" s="132" t="str">
        <f t="shared" si="2"/>
        <v/>
      </c>
    </row>
    <row r="42" ht="24.0" customHeight="1">
      <c r="A42" s="88"/>
      <c r="B42" s="133" t="str">
        <f>IF(A42="","",IFERROR(VLOOKUP(A42,'Material Master'!$A$2:$E$201,2,FALSE),""))</f>
        <v/>
      </c>
      <c r="C42" s="88" t="str">
        <f>IF(A42="","",IFERROR(VLOOKUP(A42,'Material Master'!$A$2:$E$201,3,FALSE),""))</f>
        <v/>
      </c>
      <c r="D42" s="88" t="str">
        <f t="array" ref="D42">IF(A42="","",IFERROR(INDEX('Location Master'!$E$2:$E$502, IFERROR(MATCH(A42,'Location Master'!$G$2:$G$502,0), IFERROR(MATCH(A42&amp;" (*",'Location Master'!$G$2:$G$502,0), MATCH(A42&amp;"*",'Location Master'!$G$2:$G$502,0)))), ""))</f>
        <v/>
      </c>
      <c r="E42" s="134"/>
      <c r="F42" s="134" t="str">
        <f>IF(OR(A42="",D42=""),"",SUMIFS('Stock Movement'!$F$2:$F$501,'Stock Movement'!$B$2:$B$501,A42,'Stock Movement'!$D$2:$D$501,D42,'Stock Movement'!$E$2:$E$501,"IN"))</f>
        <v/>
      </c>
      <c r="G42" s="134" t="str">
        <f>IF(OR(A42="",D42=""),"",SUMIFS('Stock Movement'!$F$2:$F$501,'Stock Movement'!$B$2:$B$501,A42,'Stock Movement'!$D$2:$D$501,D42,'Stock Movement'!$E$2:$E$501,"OUT"))</f>
        <v/>
      </c>
      <c r="H42" s="134" t="str">
        <f t="shared" si="1"/>
        <v/>
      </c>
      <c r="I42" s="88" t="str">
        <f>IF(A42="","",IFERROR(VLOOKUP(A42,'Material Master'!$A$2:$E$201,4,FALSE),""))</f>
        <v/>
      </c>
      <c r="J42" s="134" t="str">
        <f>IF(A42="","",IFERROR(VLOOKUP(A42,'Material Master'!$A$2:$E$201,5,FALSE),""))</f>
        <v/>
      </c>
      <c r="K42" s="135" t="str">
        <f t="shared" si="2"/>
        <v/>
      </c>
    </row>
    <row r="43" ht="24.0" customHeight="1">
      <c r="A43" s="82"/>
      <c r="B43" s="130" t="str">
        <f>IF(A43="","",IFERROR(VLOOKUP(A43,'Material Master'!$A$2:$E$201,2,FALSE),""))</f>
        <v/>
      </c>
      <c r="C43" s="82" t="str">
        <f>IF(A43="","",IFERROR(VLOOKUP(A43,'Material Master'!$A$2:$E$201,3,FALSE),""))</f>
        <v/>
      </c>
      <c r="D43" s="82" t="str">
        <f t="array" ref="D43">IF(A43="","",IFERROR(INDEX('Location Master'!$E$2:$E$502, IFERROR(MATCH(A43,'Location Master'!$G$2:$G$502,0), IFERROR(MATCH(A43&amp;" (*",'Location Master'!$G$2:$G$502,0), MATCH(A43&amp;"*",'Location Master'!$G$2:$G$502,0)))), ""))</f>
        <v/>
      </c>
      <c r="E43" s="131"/>
      <c r="F43" s="131" t="str">
        <f>IF(OR(A43="",D43=""),"",SUMIFS('Stock Movement'!$F$2:$F$501,'Stock Movement'!$B$2:$B$501,A43,'Stock Movement'!$D$2:$D$501,D43,'Stock Movement'!$E$2:$E$501,"IN"))</f>
        <v/>
      </c>
      <c r="G43" s="131" t="str">
        <f>IF(OR(A43="",D43=""),"",SUMIFS('Stock Movement'!$F$2:$F$501,'Stock Movement'!$B$2:$B$501,A43,'Stock Movement'!$D$2:$D$501,D43,'Stock Movement'!$E$2:$E$501,"OUT"))</f>
        <v/>
      </c>
      <c r="H43" s="131" t="str">
        <f t="shared" si="1"/>
        <v/>
      </c>
      <c r="I43" s="82" t="str">
        <f>IF(A43="","",IFERROR(VLOOKUP(A43,'Material Master'!$A$2:$E$201,4,FALSE),""))</f>
        <v/>
      </c>
      <c r="J43" s="131" t="str">
        <f>IF(A43="","",IFERROR(VLOOKUP(A43,'Material Master'!$A$2:$E$201,5,FALSE),""))</f>
        <v/>
      </c>
      <c r="K43" s="132" t="str">
        <f t="shared" si="2"/>
        <v/>
      </c>
    </row>
    <row r="44" ht="24.0" customHeight="1">
      <c r="A44" s="88"/>
      <c r="B44" s="133" t="str">
        <f>IF(A44="","",IFERROR(VLOOKUP(A44,'Material Master'!$A$2:$E$201,2,FALSE),""))</f>
        <v/>
      </c>
      <c r="C44" s="88" t="str">
        <f>IF(A44="","",IFERROR(VLOOKUP(A44,'Material Master'!$A$2:$E$201,3,FALSE),""))</f>
        <v/>
      </c>
      <c r="D44" s="88" t="str">
        <f t="array" ref="D44">IF(A44="","",IFERROR(INDEX('Location Master'!$E$2:$E$502, IFERROR(MATCH(A44,'Location Master'!$G$2:$G$502,0), IFERROR(MATCH(A44&amp;" (*",'Location Master'!$G$2:$G$502,0), MATCH(A44&amp;"*",'Location Master'!$G$2:$G$502,0)))), ""))</f>
        <v/>
      </c>
      <c r="E44" s="134"/>
      <c r="F44" s="134" t="str">
        <f>IF(OR(A44="",D44=""),"",SUMIFS('Stock Movement'!$F$2:$F$501,'Stock Movement'!$B$2:$B$501,A44,'Stock Movement'!$D$2:$D$501,D44,'Stock Movement'!$E$2:$E$501,"IN"))</f>
        <v/>
      </c>
      <c r="G44" s="134" t="str">
        <f>IF(OR(A44="",D44=""),"",SUMIFS('Stock Movement'!$F$2:$F$501,'Stock Movement'!$B$2:$B$501,A44,'Stock Movement'!$D$2:$D$501,D44,'Stock Movement'!$E$2:$E$501,"OUT"))</f>
        <v/>
      </c>
      <c r="H44" s="134" t="str">
        <f t="shared" si="1"/>
        <v/>
      </c>
      <c r="I44" s="88" t="str">
        <f>IF(A44="","",IFERROR(VLOOKUP(A44,'Material Master'!$A$2:$E$201,4,FALSE),""))</f>
        <v/>
      </c>
      <c r="J44" s="134" t="str">
        <f>IF(A44="","",IFERROR(VLOOKUP(A44,'Material Master'!$A$2:$E$201,5,FALSE),""))</f>
        <v/>
      </c>
      <c r="K44" s="135" t="str">
        <f t="shared" si="2"/>
        <v/>
      </c>
    </row>
    <row r="45" ht="24.0" customHeight="1">
      <c r="A45" s="82"/>
      <c r="B45" s="130" t="str">
        <f>IF(A45="","",IFERROR(VLOOKUP(A45,'Material Master'!$A$2:$E$201,2,FALSE),""))</f>
        <v/>
      </c>
      <c r="C45" s="82" t="str">
        <f>IF(A45="","",IFERROR(VLOOKUP(A45,'Material Master'!$A$2:$E$201,3,FALSE),""))</f>
        <v/>
      </c>
      <c r="D45" s="82" t="str">
        <f t="array" ref="D45">IF(A45="","",IFERROR(INDEX('Location Master'!$E$2:$E$502, IFERROR(MATCH(A45,'Location Master'!$G$2:$G$502,0), IFERROR(MATCH(A45&amp;" (*",'Location Master'!$G$2:$G$502,0), MATCH(A45&amp;"*",'Location Master'!$G$2:$G$502,0)))), ""))</f>
        <v/>
      </c>
      <c r="E45" s="131"/>
      <c r="F45" s="131" t="str">
        <f>IF(OR(A45="",D45=""),"",SUMIFS('Stock Movement'!$F$2:$F$501,'Stock Movement'!$B$2:$B$501,A45,'Stock Movement'!$D$2:$D$501,D45,'Stock Movement'!$E$2:$E$501,"IN"))</f>
        <v/>
      </c>
      <c r="G45" s="131" t="str">
        <f>IF(OR(A45="",D45=""),"",SUMIFS('Stock Movement'!$F$2:$F$501,'Stock Movement'!$B$2:$B$501,A45,'Stock Movement'!$D$2:$D$501,D45,'Stock Movement'!$E$2:$E$501,"OUT"))</f>
        <v/>
      </c>
      <c r="H45" s="131" t="str">
        <f t="shared" si="1"/>
        <v/>
      </c>
      <c r="I45" s="82" t="str">
        <f>IF(A45="","",IFERROR(VLOOKUP(A45,'Material Master'!$A$2:$E$201,4,FALSE),""))</f>
        <v/>
      </c>
      <c r="J45" s="131" t="str">
        <f>IF(A45="","",IFERROR(VLOOKUP(A45,'Material Master'!$A$2:$E$201,5,FALSE),""))</f>
        <v/>
      </c>
      <c r="K45" s="132" t="str">
        <f t="shared" si="2"/>
        <v/>
      </c>
    </row>
    <row r="46" ht="24.0" customHeight="1">
      <c r="A46" s="88"/>
      <c r="B46" s="133" t="str">
        <f>IF(A46="","",IFERROR(VLOOKUP(A46,'Material Master'!$A$2:$E$201,2,FALSE),""))</f>
        <v/>
      </c>
      <c r="C46" s="88" t="str">
        <f>IF(A46="","",IFERROR(VLOOKUP(A46,'Material Master'!$A$2:$E$201,3,FALSE),""))</f>
        <v/>
      </c>
      <c r="D46" s="88" t="str">
        <f t="array" ref="D46">IF(A46="","",IFERROR(INDEX('Location Master'!$E$2:$E$502, IFERROR(MATCH(A46,'Location Master'!$G$2:$G$502,0), IFERROR(MATCH(A46&amp;" (*",'Location Master'!$G$2:$G$502,0), MATCH(A46&amp;"*",'Location Master'!$G$2:$G$502,0)))), ""))</f>
        <v/>
      </c>
      <c r="E46" s="134"/>
      <c r="F46" s="134" t="str">
        <f>IF(OR(A46="",D46=""),"",SUMIFS('Stock Movement'!$F$2:$F$501,'Stock Movement'!$B$2:$B$501,A46,'Stock Movement'!$D$2:$D$501,D46,'Stock Movement'!$E$2:$E$501,"IN"))</f>
        <v/>
      </c>
      <c r="G46" s="134" t="str">
        <f>IF(OR(A46="",D46=""),"",SUMIFS('Stock Movement'!$F$2:$F$501,'Stock Movement'!$B$2:$B$501,A46,'Stock Movement'!$D$2:$D$501,D46,'Stock Movement'!$E$2:$E$501,"OUT"))</f>
        <v/>
      </c>
      <c r="H46" s="134" t="str">
        <f t="shared" si="1"/>
        <v/>
      </c>
      <c r="I46" s="88" t="str">
        <f>IF(A46="","",IFERROR(VLOOKUP(A46,'Material Master'!$A$2:$E$201,4,FALSE),""))</f>
        <v/>
      </c>
      <c r="J46" s="134" t="str">
        <f>IF(A46="","",IFERROR(VLOOKUP(A46,'Material Master'!$A$2:$E$201,5,FALSE),""))</f>
        <v/>
      </c>
      <c r="K46" s="135" t="str">
        <f t="shared" si="2"/>
        <v/>
      </c>
    </row>
    <row r="47" ht="24.0" customHeight="1">
      <c r="A47" s="82"/>
      <c r="B47" s="130" t="str">
        <f>IF(A47="","",IFERROR(VLOOKUP(A47,'Material Master'!$A$2:$E$201,2,FALSE),""))</f>
        <v/>
      </c>
      <c r="C47" s="82" t="str">
        <f>IF(A47="","",IFERROR(VLOOKUP(A47,'Material Master'!$A$2:$E$201,3,FALSE),""))</f>
        <v/>
      </c>
      <c r="D47" s="82" t="str">
        <f t="array" ref="D47">IF(A47="","",IFERROR(INDEX('Location Master'!$E$2:$E$502, IFERROR(MATCH(A47,'Location Master'!$G$2:$G$502,0), IFERROR(MATCH(A47&amp;" (*",'Location Master'!$G$2:$G$502,0), MATCH(A47&amp;"*",'Location Master'!$G$2:$G$502,0)))), ""))</f>
        <v/>
      </c>
      <c r="E47" s="131"/>
      <c r="F47" s="131" t="str">
        <f>IF(OR(A47="",D47=""),"",SUMIFS('Stock Movement'!$F$2:$F$501,'Stock Movement'!$B$2:$B$501,A47,'Stock Movement'!$D$2:$D$501,D47,'Stock Movement'!$E$2:$E$501,"IN"))</f>
        <v/>
      </c>
      <c r="G47" s="131" t="str">
        <f>IF(OR(A47="",D47=""),"",SUMIFS('Stock Movement'!$F$2:$F$501,'Stock Movement'!$B$2:$B$501,A47,'Stock Movement'!$D$2:$D$501,D47,'Stock Movement'!$E$2:$E$501,"OUT"))</f>
        <v/>
      </c>
      <c r="H47" s="131" t="str">
        <f t="shared" si="1"/>
        <v/>
      </c>
      <c r="I47" s="82" t="str">
        <f>IF(A47="","",IFERROR(VLOOKUP(A47,'Material Master'!$A$2:$E$201,4,FALSE),""))</f>
        <v/>
      </c>
      <c r="J47" s="131" t="str">
        <f>IF(A47="","",IFERROR(VLOOKUP(A47,'Material Master'!$A$2:$E$201,5,FALSE),""))</f>
        <v/>
      </c>
      <c r="K47" s="132" t="str">
        <f t="shared" si="2"/>
        <v/>
      </c>
    </row>
    <row r="48" ht="24.0" customHeight="1">
      <c r="A48" s="88"/>
      <c r="B48" s="133" t="str">
        <f>IF(A48="","",IFERROR(VLOOKUP(A48,'Material Master'!$A$2:$E$201,2,FALSE),""))</f>
        <v/>
      </c>
      <c r="C48" s="88" t="str">
        <f>IF(A48="","",IFERROR(VLOOKUP(A48,'Material Master'!$A$2:$E$201,3,FALSE),""))</f>
        <v/>
      </c>
      <c r="D48" s="88" t="str">
        <f t="array" ref="D48">IF(A48="","",IFERROR(INDEX('Location Master'!$E$2:$E$502, IFERROR(MATCH(A48,'Location Master'!$G$2:$G$502,0), IFERROR(MATCH(A48&amp;" (*",'Location Master'!$G$2:$G$502,0), MATCH(A48&amp;"*",'Location Master'!$G$2:$G$502,0)))), ""))</f>
        <v/>
      </c>
      <c r="E48" s="134"/>
      <c r="F48" s="134" t="str">
        <f>IF(OR(A48="",D48=""),"",SUMIFS('Stock Movement'!$F$2:$F$501,'Stock Movement'!$B$2:$B$501,A48,'Stock Movement'!$D$2:$D$501,D48,'Stock Movement'!$E$2:$E$501,"IN"))</f>
        <v/>
      </c>
      <c r="G48" s="134" t="str">
        <f>IF(OR(A48="",D48=""),"",SUMIFS('Stock Movement'!$F$2:$F$501,'Stock Movement'!$B$2:$B$501,A48,'Stock Movement'!$D$2:$D$501,D48,'Stock Movement'!$E$2:$E$501,"OUT"))</f>
        <v/>
      </c>
      <c r="H48" s="134" t="str">
        <f t="shared" si="1"/>
        <v/>
      </c>
      <c r="I48" s="88" t="str">
        <f>IF(A48="","",IFERROR(VLOOKUP(A48,'Material Master'!$A$2:$E$201,4,FALSE),""))</f>
        <v/>
      </c>
      <c r="J48" s="134" t="str">
        <f>IF(A48="","",IFERROR(VLOOKUP(A48,'Material Master'!$A$2:$E$201,5,FALSE),""))</f>
        <v/>
      </c>
      <c r="K48" s="135" t="str">
        <f t="shared" si="2"/>
        <v/>
      </c>
    </row>
    <row r="49" ht="24.0" customHeight="1">
      <c r="A49" s="82"/>
      <c r="B49" s="130" t="str">
        <f>IF(A49="","",IFERROR(VLOOKUP(A49,'Material Master'!$A$2:$E$201,2,FALSE),""))</f>
        <v/>
      </c>
      <c r="C49" s="82" t="str">
        <f>IF(A49="","",IFERROR(VLOOKUP(A49,'Material Master'!$A$2:$E$201,3,FALSE),""))</f>
        <v/>
      </c>
      <c r="D49" s="82" t="str">
        <f t="array" ref="D49">IF(A49="","",IFERROR(INDEX('Location Master'!$E$2:$E$502, IFERROR(MATCH(A49,'Location Master'!$G$2:$G$502,0), IFERROR(MATCH(A49&amp;" (*",'Location Master'!$G$2:$G$502,0), MATCH(A49&amp;"*",'Location Master'!$G$2:$G$502,0)))), ""))</f>
        <v/>
      </c>
      <c r="E49" s="131"/>
      <c r="F49" s="131" t="str">
        <f>IF(OR(A49="",D49=""),"",SUMIFS('Stock Movement'!$F$2:$F$501,'Stock Movement'!$B$2:$B$501,A49,'Stock Movement'!$D$2:$D$501,D49,'Stock Movement'!$E$2:$E$501,"IN"))</f>
        <v/>
      </c>
      <c r="G49" s="131" t="str">
        <f>IF(OR(A49="",D49=""),"",SUMIFS('Stock Movement'!$F$2:$F$501,'Stock Movement'!$B$2:$B$501,A49,'Stock Movement'!$D$2:$D$501,D49,'Stock Movement'!$E$2:$E$501,"OUT"))</f>
        <v/>
      </c>
      <c r="H49" s="131" t="str">
        <f t="shared" si="1"/>
        <v/>
      </c>
      <c r="I49" s="82" t="str">
        <f>IF(A49="","",IFERROR(VLOOKUP(A49,'Material Master'!$A$2:$E$201,4,FALSE),""))</f>
        <v/>
      </c>
      <c r="J49" s="131" t="str">
        <f>IF(A49="","",IFERROR(VLOOKUP(A49,'Material Master'!$A$2:$E$201,5,FALSE),""))</f>
        <v/>
      </c>
      <c r="K49" s="132" t="str">
        <f t="shared" si="2"/>
        <v/>
      </c>
    </row>
    <row r="50" ht="24.0" customHeight="1">
      <c r="A50" s="88"/>
      <c r="B50" s="133" t="str">
        <f>IF(A50="","",IFERROR(VLOOKUP(A50,'Material Master'!$A$2:$E$201,2,FALSE),""))</f>
        <v/>
      </c>
      <c r="C50" s="88" t="str">
        <f>IF(A50="","",IFERROR(VLOOKUP(A50,'Material Master'!$A$2:$E$201,3,FALSE),""))</f>
        <v/>
      </c>
      <c r="D50" s="88" t="str">
        <f t="array" ref="D50">IF(A50="","",IFERROR(INDEX('Location Master'!$E$2:$E$502, IFERROR(MATCH(A50,'Location Master'!$G$2:$G$502,0), IFERROR(MATCH(A50&amp;" (*",'Location Master'!$G$2:$G$502,0), MATCH(A50&amp;"*",'Location Master'!$G$2:$G$502,0)))), ""))</f>
        <v/>
      </c>
      <c r="E50" s="134"/>
      <c r="F50" s="134" t="str">
        <f>IF(OR(A50="",D50=""),"",SUMIFS('Stock Movement'!$F$2:$F$501,'Stock Movement'!$B$2:$B$501,A50,'Stock Movement'!$D$2:$D$501,D50,'Stock Movement'!$E$2:$E$501,"IN"))</f>
        <v/>
      </c>
      <c r="G50" s="134" t="str">
        <f>IF(OR(A50="",D50=""),"",SUMIFS('Stock Movement'!$F$2:$F$501,'Stock Movement'!$B$2:$B$501,A50,'Stock Movement'!$D$2:$D$501,D50,'Stock Movement'!$E$2:$E$501,"OUT"))</f>
        <v/>
      </c>
      <c r="H50" s="134" t="str">
        <f t="shared" si="1"/>
        <v/>
      </c>
      <c r="I50" s="88" t="str">
        <f>IF(A50="","",IFERROR(VLOOKUP(A50,'Material Master'!$A$2:$E$201,4,FALSE),""))</f>
        <v/>
      </c>
      <c r="J50" s="134" t="str">
        <f>IF(A50="","",IFERROR(VLOOKUP(A50,'Material Master'!$A$2:$E$201,5,FALSE),""))</f>
        <v/>
      </c>
      <c r="K50" s="135" t="str">
        <f t="shared" si="2"/>
        <v/>
      </c>
    </row>
    <row r="51" ht="24.0" customHeight="1">
      <c r="A51" s="82"/>
      <c r="B51" s="130" t="str">
        <f>IF(A51="","",IFERROR(VLOOKUP(A51,'Material Master'!$A$2:$E$201,2,FALSE),""))</f>
        <v/>
      </c>
      <c r="C51" s="82" t="str">
        <f>IF(A51="","",IFERROR(VLOOKUP(A51,'Material Master'!$A$2:$E$201,3,FALSE),""))</f>
        <v/>
      </c>
      <c r="D51" s="82" t="str">
        <f t="array" ref="D51">IF(A51="","",IFERROR(INDEX('Location Master'!$E$2:$E$502, IFERROR(MATCH(A51,'Location Master'!$G$2:$G$502,0), IFERROR(MATCH(A51&amp;" (*",'Location Master'!$G$2:$G$502,0), MATCH(A51&amp;"*",'Location Master'!$G$2:$G$502,0)))), ""))</f>
        <v/>
      </c>
      <c r="E51" s="131"/>
      <c r="F51" s="131" t="str">
        <f>IF(OR(A51="",D51=""),"",SUMIFS('Stock Movement'!$F$2:$F$501,'Stock Movement'!$B$2:$B$501,A51,'Stock Movement'!$D$2:$D$501,D51,'Stock Movement'!$E$2:$E$501,"IN"))</f>
        <v/>
      </c>
      <c r="G51" s="131" t="str">
        <f>IF(OR(A51="",D51=""),"",SUMIFS('Stock Movement'!$F$2:$F$501,'Stock Movement'!$B$2:$B$501,A51,'Stock Movement'!$D$2:$D$501,D51,'Stock Movement'!$E$2:$E$501,"OUT"))</f>
        <v/>
      </c>
      <c r="H51" s="131" t="str">
        <f t="shared" si="1"/>
        <v/>
      </c>
      <c r="I51" s="82" t="str">
        <f>IF(A51="","",IFERROR(VLOOKUP(A51,'Material Master'!$A$2:$E$201,4,FALSE),""))</f>
        <v/>
      </c>
      <c r="J51" s="131" t="str">
        <f>IF(A51="","",IFERROR(VLOOKUP(A51,'Material Master'!$A$2:$E$201,5,FALSE),""))</f>
        <v/>
      </c>
      <c r="K51" s="132" t="str">
        <f t="shared" si="2"/>
        <v/>
      </c>
    </row>
    <row r="52" ht="24.0" customHeight="1">
      <c r="A52" s="88"/>
      <c r="B52" s="133" t="str">
        <f>IF(A52="","",IFERROR(VLOOKUP(A52,'Material Master'!$A$2:$E$201,2,FALSE),""))</f>
        <v/>
      </c>
      <c r="C52" s="88" t="str">
        <f>IF(A52="","",IFERROR(VLOOKUP(A52,'Material Master'!$A$2:$E$201,3,FALSE),""))</f>
        <v/>
      </c>
      <c r="D52" s="88" t="str">
        <f t="array" ref="D52">IF(A52="","",IFERROR(INDEX('Location Master'!$E$2:$E$502, IFERROR(MATCH(A52,'Location Master'!$G$2:$G$502,0), IFERROR(MATCH(A52&amp;" (*",'Location Master'!$G$2:$G$502,0), MATCH(A52&amp;"*",'Location Master'!$G$2:$G$502,0)))), ""))</f>
        <v/>
      </c>
      <c r="E52" s="134"/>
      <c r="F52" s="134" t="str">
        <f>IF(OR(A52="",D52=""),"",SUMIFS('Stock Movement'!$F$2:$F$501,'Stock Movement'!$B$2:$B$501,A52,'Stock Movement'!$D$2:$D$501,D52,'Stock Movement'!$E$2:$E$501,"IN"))</f>
        <v/>
      </c>
      <c r="G52" s="134" t="str">
        <f>IF(OR(A52="",D52=""),"",SUMIFS('Stock Movement'!$F$2:$F$501,'Stock Movement'!$B$2:$B$501,A52,'Stock Movement'!$D$2:$D$501,D52,'Stock Movement'!$E$2:$E$501,"OUT"))</f>
        <v/>
      </c>
      <c r="H52" s="134" t="str">
        <f t="shared" si="1"/>
        <v/>
      </c>
      <c r="I52" s="88" t="str">
        <f>IF(A52="","",IFERROR(VLOOKUP(A52,'Material Master'!$A$2:$E$201,4,FALSE),""))</f>
        <v/>
      </c>
      <c r="J52" s="134" t="str">
        <f>IF(A52="","",IFERROR(VLOOKUP(A52,'Material Master'!$A$2:$E$201,5,FALSE),""))</f>
        <v/>
      </c>
      <c r="K52" s="135" t="str">
        <f t="shared" si="2"/>
        <v/>
      </c>
    </row>
    <row r="53" ht="24.0" customHeight="1">
      <c r="A53" s="82"/>
      <c r="B53" s="130" t="str">
        <f>IF(A53="","",IFERROR(VLOOKUP(A53,'Material Master'!$A$2:$E$201,2,FALSE),""))</f>
        <v/>
      </c>
      <c r="C53" s="82" t="str">
        <f>IF(A53="","",IFERROR(VLOOKUP(A53,'Material Master'!$A$2:$E$201,3,FALSE),""))</f>
        <v/>
      </c>
      <c r="D53" s="82" t="str">
        <f t="array" ref="D53">IF(A53="","",IFERROR(INDEX('Location Master'!$E$2:$E$502, IFERROR(MATCH(A53,'Location Master'!$G$2:$G$502,0), IFERROR(MATCH(A53&amp;" (*",'Location Master'!$G$2:$G$502,0), MATCH(A53&amp;"*",'Location Master'!$G$2:$G$502,0)))), ""))</f>
        <v/>
      </c>
      <c r="E53" s="131"/>
      <c r="F53" s="131" t="str">
        <f>IF(OR(A53="",D53=""),"",SUMIFS('Stock Movement'!$F$2:$F$501,'Stock Movement'!$B$2:$B$501,A53,'Stock Movement'!$D$2:$D$501,D53,'Stock Movement'!$E$2:$E$501,"IN"))</f>
        <v/>
      </c>
      <c r="G53" s="131" t="str">
        <f>IF(OR(A53="",D53=""),"",SUMIFS('Stock Movement'!$F$2:$F$501,'Stock Movement'!$B$2:$B$501,A53,'Stock Movement'!$D$2:$D$501,D53,'Stock Movement'!$E$2:$E$501,"OUT"))</f>
        <v/>
      </c>
      <c r="H53" s="131" t="str">
        <f t="shared" si="1"/>
        <v/>
      </c>
      <c r="I53" s="82" t="str">
        <f>IF(A53="","",IFERROR(VLOOKUP(A53,'Material Master'!$A$2:$E$201,4,FALSE),""))</f>
        <v/>
      </c>
      <c r="J53" s="131" t="str">
        <f>IF(A53="","",IFERROR(VLOOKUP(A53,'Material Master'!$A$2:$E$201,5,FALSE),""))</f>
        <v/>
      </c>
      <c r="K53" s="132" t="str">
        <f t="shared" si="2"/>
        <v/>
      </c>
    </row>
    <row r="54" ht="24.0" customHeight="1">
      <c r="A54" s="88"/>
      <c r="B54" s="133" t="str">
        <f>IF(A54="","",IFERROR(VLOOKUP(A54,'Material Master'!$A$2:$E$201,2,FALSE),""))</f>
        <v/>
      </c>
      <c r="C54" s="88" t="str">
        <f>IF(A54="","",IFERROR(VLOOKUP(A54,'Material Master'!$A$2:$E$201,3,FALSE),""))</f>
        <v/>
      </c>
      <c r="D54" s="88" t="str">
        <f t="array" ref="D54">IF(A54="","",IFERROR(INDEX('Location Master'!$E$2:$E$502, IFERROR(MATCH(A54,'Location Master'!$G$2:$G$502,0), IFERROR(MATCH(A54&amp;" (*",'Location Master'!$G$2:$G$502,0), MATCH(A54&amp;"*",'Location Master'!$G$2:$G$502,0)))), ""))</f>
        <v/>
      </c>
      <c r="E54" s="134"/>
      <c r="F54" s="134" t="str">
        <f>IF(OR(A54="",D54=""),"",SUMIFS('Stock Movement'!$F$2:$F$501,'Stock Movement'!$B$2:$B$501,A54,'Stock Movement'!$D$2:$D$501,D54,'Stock Movement'!$E$2:$E$501,"IN"))</f>
        <v/>
      </c>
      <c r="G54" s="134" t="str">
        <f>IF(OR(A54="",D54=""),"",SUMIFS('Stock Movement'!$F$2:$F$501,'Stock Movement'!$B$2:$B$501,A54,'Stock Movement'!$D$2:$D$501,D54,'Stock Movement'!$E$2:$E$501,"OUT"))</f>
        <v/>
      </c>
      <c r="H54" s="134" t="str">
        <f t="shared" si="1"/>
        <v/>
      </c>
      <c r="I54" s="88" t="str">
        <f>IF(A54="","",IFERROR(VLOOKUP(A54,'Material Master'!$A$2:$E$201,4,FALSE),""))</f>
        <v/>
      </c>
      <c r="J54" s="134" t="str">
        <f>IF(A54="","",IFERROR(VLOOKUP(A54,'Material Master'!$A$2:$E$201,5,FALSE),""))</f>
        <v/>
      </c>
      <c r="K54" s="135" t="str">
        <f t="shared" si="2"/>
        <v/>
      </c>
    </row>
    <row r="55" ht="24.0" customHeight="1">
      <c r="A55" s="82"/>
      <c r="B55" s="130" t="str">
        <f>IF(A55="","",IFERROR(VLOOKUP(A55,'Material Master'!$A$2:$E$201,2,FALSE),""))</f>
        <v/>
      </c>
      <c r="C55" s="82" t="str">
        <f>IF(A55="","",IFERROR(VLOOKUP(A55,'Material Master'!$A$2:$E$201,3,FALSE),""))</f>
        <v/>
      </c>
      <c r="D55" s="82" t="str">
        <f t="array" ref="D55">IF(A55="","",IFERROR(INDEX('Location Master'!$E$2:$E$502, IFERROR(MATCH(A55,'Location Master'!$G$2:$G$502,0), IFERROR(MATCH(A55&amp;" (*",'Location Master'!$G$2:$G$502,0), MATCH(A55&amp;"*",'Location Master'!$G$2:$G$502,0)))), ""))</f>
        <v/>
      </c>
      <c r="E55" s="131"/>
      <c r="F55" s="131" t="str">
        <f>IF(OR(A55="",D55=""),"",SUMIFS('Stock Movement'!$F$2:$F$501,'Stock Movement'!$B$2:$B$501,A55,'Stock Movement'!$D$2:$D$501,D55,'Stock Movement'!$E$2:$E$501,"IN"))</f>
        <v/>
      </c>
      <c r="G55" s="131" t="str">
        <f>IF(OR(A55="",D55=""),"",SUMIFS('Stock Movement'!$F$2:$F$501,'Stock Movement'!$B$2:$B$501,A55,'Stock Movement'!$D$2:$D$501,D55,'Stock Movement'!$E$2:$E$501,"OUT"))</f>
        <v/>
      </c>
      <c r="H55" s="131" t="str">
        <f t="shared" si="1"/>
        <v/>
      </c>
      <c r="I55" s="82" t="str">
        <f>IF(A55="","",IFERROR(VLOOKUP(A55,'Material Master'!$A$2:$E$201,4,FALSE),""))</f>
        <v/>
      </c>
      <c r="J55" s="131" t="str">
        <f>IF(A55="","",IFERROR(VLOOKUP(A55,'Material Master'!$A$2:$E$201,5,FALSE),""))</f>
        <v/>
      </c>
      <c r="K55" s="132" t="str">
        <f t="shared" si="2"/>
        <v/>
      </c>
    </row>
    <row r="56" ht="24.0" customHeight="1">
      <c r="A56" s="88"/>
      <c r="B56" s="133" t="str">
        <f>IF(A56="","",IFERROR(VLOOKUP(A56,'Material Master'!$A$2:$E$201,2,FALSE),""))</f>
        <v/>
      </c>
      <c r="C56" s="88" t="str">
        <f>IF(A56="","",IFERROR(VLOOKUP(A56,'Material Master'!$A$2:$E$201,3,FALSE),""))</f>
        <v/>
      </c>
      <c r="D56" s="88" t="str">
        <f t="array" ref="D56">IF(A56="","",IFERROR(INDEX('Location Master'!$E$2:$E$502, IFERROR(MATCH(A56,'Location Master'!$G$2:$G$502,0), IFERROR(MATCH(A56&amp;" (*",'Location Master'!$G$2:$G$502,0), MATCH(A56&amp;"*",'Location Master'!$G$2:$G$502,0)))), ""))</f>
        <v/>
      </c>
      <c r="E56" s="134"/>
      <c r="F56" s="134" t="str">
        <f>IF(OR(A56="",D56=""),"",SUMIFS('Stock Movement'!$F$2:$F$501,'Stock Movement'!$B$2:$B$501,A56,'Stock Movement'!$D$2:$D$501,D56,'Stock Movement'!$E$2:$E$501,"IN"))</f>
        <v/>
      </c>
      <c r="G56" s="134" t="str">
        <f>IF(OR(A56="",D56=""),"",SUMIFS('Stock Movement'!$F$2:$F$501,'Stock Movement'!$B$2:$B$501,A56,'Stock Movement'!$D$2:$D$501,D56,'Stock Movement'!$E$2:$E$501,"OUT"))</f>
        <v/>
      </c>
      <c r="H56" s="134" t="str">
        <f t="shared" si="1"/>
        <v/>
      </c>
      <c r="I56" s="88" t="str">
        <f>IF(A56="","",IFERROR(VLOOKUP(A56,'Material Master'!$A$2:$E$201,4,FALSE),""))</f>
        <v/>
      </c>
      <c r="J56" s="134" t="str">
        <f>IF(A56="","",IFERROR(VLOOKUP(A56,'Material Master'!$A$2:$E$201,5,FALSE),""))</f>
        <v/>
      </c>
      <c r="K56" s="135" t="str">
        <f t="shared" si="2"/>
        <v/>
      </c>
    </row>
    <row r="57" ht="24.0" customHeight="1">
      <c r="A57" s="82"/>
      <c r="B57" s="130" t="str">
        <f>IF(A57="","",IFERROR(VLOOKUP(A57,'Material Master'!$A$2:$E$201,2,FALSE),""))</f>
        <v/>
      </c>
      <c r="C57" s="82" t="str">
        <f>IF(A57="","",IFERROR(VLOOKUP(A57,'Material Master'!$A$2:$E$201,3,FALSE),""))</f>
        <v/>
      </c>
      <c r="D57" s="82" t="str">
        <f t="array" ref="D57">IF(A57="","",IFERROR(INDEX('Location Master'!$E$2:$E$502, IFERROR(MATCH(A57,'Location Master'!$G$2:$G$502,0), IFERROR(MATCH(A57&amp;" (*",'Location Master'!$G$2:$G$502,0), MATCH(A57&amp;"*",'Location Master'!$G$2:$G$502,0)))), ""))</f>
        <v/>
      </c>
      <c r="E57" s="131"/>
      <c r="F57" s="131" t="str">
        <f>IF(OR(A57="",D57=""),"",SUMIFS('Stock Movement'!$F$2:$F$501,'Stock Movement'!$B$2:$B$501,A57,'Stock Movement'!$D$2:$D$501,D57,'Stock Movement'!$E$2:$E$501,"IN"))</f>
        <v/>
      </c>
      <c r="G57" s="131" t="str">
        <f>IF(OR(A57="",D57=""),"",SUMIFS('Stock Movement'!$F$2:$F$501,'Stock Movement'!$B$2:$B$501,A57,'Stock Movement'!$D$2:$D$501,D57,'Stock Movement'!$E$2:$E$501,"OUT"))</f>
        <v/>
      </c>
      <c r="H57" s="131" t="str">
        <f t="shared" si="1"/>
        <v/>
      </c>
      <c r="I57" s="82" t="str">
        <f>IF(A57="","",IFERROR(VLOOKUP(A57,'Material Master'!$A$2:$E$201,4,FALSE),""))</f>
        <v/>
      </c>
      <c r="J57" s="131" t="str">
        <f>IF(A57="","",IFERROR(VLOOKUP(A57,'Material Master'!$A$2:$E$201,5,FALSE),""))</f>
        <v/>
      </c>
      <c r="K57" s="132" t="str">
        <f t="shared" si="2"/>
        <v/>
      </c>
    </row>
    <row r="58" ht="24.0" customHeight="1">
      <c r="A58" s="88"/>
      <c r="B58" s="133" t="str">
        <f>IF(A58="","",IFERROR(VLOOKUP(A58,'Material Master'!$A$2:$E$201,2,FALSE),""))</f>
        <v/>
      </c>
      <c r="C58" s="88" t="str">
        <f>IF(A58="","",IFERROR(VLOOKUP(A58,'Material Master'!$A$2:$E$201,3,FALSE),""))</f>
        <v/>
      </c>
      <c r="D58" s="88" t="str">
        <f t="array" ref="D58">IF(A58="","",IFERROR(INDEX('Location Master'!$E$2:$E$502, IFERROR(MATCH(A58,'Location Master'!$G$2:$G$502,0), IFERROR(MATCH(A58&amp;" (*",'Location Master'!$G$2:$G$502,0), MATCH(A58&amp;"*",'Location Master'!$G$2:$G$502,0)))), ""))</f>
        <v/>
      </c>
      <c r="E58" s="134"/>
      <c r="F58" s="134" t="str">
        <f>IF(OR(A58="",D58=""),"",SUMIFS('Stock Movement'!$F$2:$F$501,'Stock Movement'!$B$2:$B$501,A58,'Stock Movement'!$D$2:$D$501,D58,'Stock Movement'!$E$2:$E$501,"IN"))</f>
        <v/>
      </c>
      <c r="G58" s="134" t="str">
        <f>IF(OR(A58="",D58=""),"",SUMIFS('Stock Movement'!$F$2:$F$501,'Stock Movement'!$B$2:$B$501,A58,'Stock Movement'!$D$2:$D$501,D58,'Stock Movement'!$E$2:$E$501,"OUT"))</f>
        <v/>
      </c>
      <c r="H58" s="134" t="str">
        <f t="shared" si="1"/>
        <v/>
      </c>
      <c r="I58" s="88" t="str">
        <f>IF(A58="","",IFERROR(VLOOKUP(A58,'Material Master'!$A$2:$E$201,4,FALSE),""))</f>
        <v/>
      </c>
      <c r="J58" s="134" t="str">
        <f>IF(A58="","",IFERROR(VLOOKUP(A58,'Material Master'!$A$2:$E$201,5,FALSE),""))</f>
        <v/>
      </c>
      <c r="K58" s="135" t="str">
        <f t="shared" si="2"/>
        <v/>
      </c>
    </row>
    <row r="59" ht="24.0" customHeight="1">
      <c r="A59" s="82"/>
      <c r="B59" s="130" t="str">
        <f>IF(A59="","",IFERROR(VLOOKUP(A59,'Material Master'!$A$2:$E$201,2,FALSE),""))</f>
        <v/>
      </c>
      <c r="C59" s="82" t="str">
        <f>IF(A59="","",IFERROR(VLOOKUP(A59,'Material Master'!$A$2:$E$201,3,FALSE),""))</f>
        <v/>
      </c>
      <c r="D59" s="82" t="str">
        <f t="array" ref="D59">IF(A59="","",IFERROR(INDEX('Location Master'!$E$2:$E$502, IFERROR(MATCH(A59,'Location Master'!$G$2:$G$502,0), IFERROR(MATCH(A59&amp;" (*",'Location Master'!$G$2:$G$502,0), MATCH(A59&amp;"*",'Location Master'!$G$2:$G$502,0)))), ""))</f>
        <v/>
      </c>
      <c r="E59" s="131"/>
      <c r="F59" s="131" t="str">
        <f>IF(OR(A59="",D59=""),"",SUMIFS('Stock Movement'!$F$2:$F$501,'Stock Movement'!$B$2:$B$501,A59,'Stock Movement'!$D$2:$D$501,D59,'Stock Movement'!$E$2:$E$501,"IN"))</f>
        <v/>
      </c>
      <c r="G59" s="131" t="str">
        <f>IF(OR(A59="",D59=""),"",SUMIFS('Stock Movement'!$F$2:$F$501,'Stock Movement'!$B$2:$B$501,A59,'Stock Movement'!$D$2:$D$501,D59,'Stock Movement'!$E$2:$E$501,"OUT"))</f>
        <v/>
      </c>
      <c r="H59" s="131" t="str">
        <f t="shared" si="1"/>
        <v/>
      </c>
      <c r="I59" s="82" t="str">
        <f>IF(A59="","",IFERROR(VLOOKUP(A59,'Material Master'!$A$2:$E$201,4,FALSE),""))</f>
        <v/>
      </c>
      <c r="J59" s="131" t="str">
        <f>IF(A59="","",IFERROR(VLOOKUP(A59,'Material Master'!$A$2:$E$201,5,FALSE),""))</f>
        <v/>
      </c>
      <c r="K59" s="132" t="str">
        <f t="shared" si="2"/>
        <v/>
      </c>
    </row>
    <row r="60" ht="24.0" customHeight="1">
      <c r="A60" s="88"/>
      <c r="B60" s="133" t="str">
        <f>IF(A60="","",IFERROR(VLOOKUP(A60,'Material Master'!$A$2:$E$201,2,FALSE),""))</f>
        <v/>
      </c>
      <c r="C60" s="88" t="str">
        <f>IF(A60="","",IFERROR(VLOOKUP(A60,'Material Master'!$A$2:$E$201,3,FALSE),""))</f>
        <v/>
      </c>
      <c r="D60" s="88" t="str">
        <f t="array" ref="D60">IF(A60="","",IFERROR(INDEX('Location Master'!$E$2:$E$502, IFERROR(MATCH(A60,'Location Master'!$G$2:$G$502,0), IFERROR(MATCH(A60&amp;" (*",'Location Master'!$G$2:$G$502,0), MATCH(A60&amp;"*",'Location Master'!$G$2:$G$502,0)))), ""))</f>
        <v/>
      </c>
      <c r="E60" s="134"/>
      <c r="F60" s="134" t="str">
        <f>IF(OR(A60="",D60=""),"",SUMIFS('Stock Movement'!$F$2:$F$501,'Stock Movement'!$B$2:$B$501,A60,'Stock Movement'!$D$2:$D$501,D60,'Stock Movement'!$E$2:$E$501,"IN"))</f>
        <v/>
      </c>
      <c r="G60" s="134" t="str">
        <f>IF(OR(A60="",D60=""),"",SUMIFS('Stock Movement'!$F$2:$F$501,'Stock Movement'!$B$2:$B$501,A60,'Stock Movement'!$D$2:$D$501,D60,'Stock Movement'!$E$2:$E$501,"OUT"))</f>
        <v/>
      </c>
      <c r="H60" s="134" t="str">
        <f t="shared" si="1"/>
        <v/>
      </c>
      <c r="I60" s="88" t="str">
        <f>IF(A60="","",IFERROR(VLOOKUP(A60,'Material Master'!$A$2:$E$201,4,FALSE),""))</f>
        <v/>
      </c>
      <c r="J60" s="134" t="str">
        <f>IF(A60="","",IFERROR(VLOOKUP(A60,'Material Master'!$A$2:$E$201,5,FALSE),""))</f>
        <v/>
      </c>
      <c r="K60" s="135" t="str">
        <f t="shared" si="2"/>
        <v/>
      </c>
    </row>
    <row r="61" ht="24.0" customHeight="1">
      <c r="A61" s="82"/>
      <c r="B61" s="130" t="str">
        <f>IF(A61="","",IFERROR(VLOOKUP(A61,'Material Master'!$A$2:$E$201,2,FALSE),""))</f>
        <v/>
      </c>
      <c r="C61" s="82" t="str">
        <f>IF(A61="","",IFERROR(VLOOKUP(A61,'Material Master'!$A$2:$E$201,3,FALSE),""))</f>
        <v/>
      </c>
      <c r="D61" s="82" t="str">
        <f t="array" ref="D61">IF(A61="","",IFERROR(INDEX('Location Master'!$E$2:$E$502, IFERROR(MATCH(A61,'Location Master'!$G$2:$G$502,0), IFERROR(MATCH(A61&amp;" (*",'Location Master'!$G$2:$G$502,0), MATCH(A61&amp;"*",'Location Master'!$G$2:$G$502,0)))), ""))</f>
        <v/>
      </c>
      <c r="E61" s="131"/>
      <c r="F61" s="131" t="str">
        <f>IF(OR(A61="",D61=""),"",SUMIFS('Stock Movement'!$F$2:$F$501,'Stock Movement'!$B$2:$B$501,A61,'Stock Movement'!$D$2:$D$501,D61,'Stock Movement'!$E$2:$E$501,"IN"))</f>
        <v/>
      </c>
      <c r="G61" s="131" t="str">
        <f>IF(OR(A61="",D61=""),"",SUMIFS('Stock Movement'!$F$2:$F$501,'Stock Movement'!$B$2:$B$501,A61,'Stock Movement'!$D$2:$D$501,D61,'Stock Movement'!$E$2:$E$501,"OUT"))</f>
        <v/>
      </c>
      <c r="H61" s="131" t="str">
        <f t="shared" si="1"/>
        <v/>
      </c>
      <c r="I61" s="82" t="str">
        <f>IF(A61="","",IFERROR(VLOOKUP(A61,'Material Master'!$A$2:$E$201,4,FALSE),""))</f>
        <v/>
      </c>
      <c r="J61" s="131" t="str">
        <f>IF(A61="","",IFERROR(VLOOKUP(A61,'Material Master'!$A$2:$E$201,5,FALSE),""))</f>
        <v/>
      </c>
      <c r="K61" s="132" t="str">
        <f t="shared" si="2"/>
        <v/>
      </c>
    </row>
    <row r="62" ht="24.0" customHeight="1">
      <c r="A62" s="88"/>
      <c r="B62" s="133" t="str">
        <f>IF(A62="","",IFERROR(VLOOKUP(A62,'Material Master'!$A$2:$E$201,2,FALSE),""))</f>
        <v/>
      </c>
      <c r="C62" s="88" t="str">
        <f>IF(A62="","",IFERROR(VLOOKUP(A62,'Material Master'!$A$2:$E$201,3,FALSE),""))</f>
        <v/>
      </c>
      <c r="D62" s="88" t="str">
        <f t="array" ref="D62">IF(A62="","",IFERROR(INDEX('Location Master'!$E$2:$E$502, IFERROR(MATCH(A62,'Location Master'!$G$2:$G$502,0), IFERROR(MATCH(A62&amp;" (*",'Location Master'!$G$2:$G$502,0), MATCH(A62&amp;"*",'Location Master'!$G$2:$G$502,0)))), ""))</f>
        <v/>
      </c>
      <c r="E62" s="134"/>
      <c r="F62" s="134" t="str">
        <f>IF(OR(A62="",D62=""),"",SUMIFS('Stock Movement'!$F$2:$F$501,'Stock Movement'!$B$2:$B$501,A62,'Stock Movement'!$D$2:$D$501,D62,'Stock Movement'!$E$2:$E$501,"IN"))</f>
        <v/>
      </c>
      <c r="G62" s="134" t="str">
        <f>IF(OR(A62="",D62=""),"",SUMIFS('Stock Movement'!$F$2:$F$501,'Stock Movement'!$B$2:$B$501,A62,'Stock Movement'!$D$2:$D$501,D62,'Stock Movement'!$E$2:$E$501,"OUT"))</f>
        <v/>
      </c>
      <c r="H62" s="134" t="str">
        <f t="shared" si="1"/>
        <v/>
      </c>
      <c r="I62" s="88" t="str">
        <f>IF(A62="","",IFERROR(VLOOKUP(A62,'Material Master'!$A$2:$E$201,4,FALSE),""))</f>
        <v/>
      </c>
      <c r="J62" s="134" t="str">
        <f>IF(A62="","",IFERROR(VLOOKUP(A62,'Material Master'!$A$2:$E$201,5,FALSE),""))</f>
        <v/>
      </c>
      <c r="K62" s="135" t="str">
        <f t="shared" si="2"/>
        <v/>
      </c>
    </row>
    <row r="63" ht="24.0" customHeight="1">
      <c r="A63" s="82"/>
      <c r="B63" s="130" t="str">
        <f>IF(A63="","",IFERROR(VLOOKUP(A63,'Material Master'!$A$2:$E$201,2,FALSE),""))</f>
        <v/>
      </c>
      <c r="C63" s="82" t="str">
        <f>IF(A63="","",IFERROR(VLOOKUP(A63,'Material Master'!$A$2:$E$201,3,FALSE),""))</f>
        <v/>
      </c>
      <c r="D63" s="82" t="str">
        <f t="array" ref="D63">IF(A63="","",IFERROR(INDEX('Location Master'!$E$2:$E$502, IFERROR(MATCH(A63,'Location Master'!$G$2:$G$502,0), IFERROR(MATCH(A63&amp;" (*",'Location Master'!$G$2:$G$502,0), MATCH(A63&amp;"*",'Location Master'!$G$2:$G$502,0)))), ""))</f>
        <v/>
      </c>
      <c r="E63" s="131"/>
      <c r="F63" s="131" t="str">
        <f>IF(OR(A63="",D63=""),"",SUMIFS('Stock Movement'!$F$2:$F$501,'Stock Movement'!$B$2:$B$501,A63,'Stock Movement'!$D$2:$D$501,D63,'Stock Movement'!$E$2:$E$501,"IN"))</f>
        <v/>
      </c>
      <c r="G63" s="131" t="str">
        <f>IF(OR(A63="",D63=""),"",SUMIFS('Stock Movement'!$F$2:$F$501,'Stock Movement'!$B$2:$B$501,A63,'Stock Movement'!$D$2:$D$501,D63,'Stock Movement'!$E$2:$E$501,"OUT"))</f>
        <v/>
      </c>
      <c r="H63" s="131" t="str">
        <f t="shared" si="1"/>
        <v/>
      </c>
      <c r="I63" s="82" t="str">
        <f>IF(A63="","",IFERROR(VLOOKUP(A63,'Material Master'!$A$2:$E$201,4,FALSE),""))</f>
        <v/>
      </c>
      <c r="J63" s="131" t="str">
        <f>IF(A63="","",IFERROR(VLOOKUP(A63,'Material Master'!$A$2:$E$201,5,FALSE),""))</f>
        <v/>
      </c>
      <c r="K63" s="132" t="str">
        <f t="shared" si="2"/>
        <v/>
      </c>
    </row>
    <row r="64" ht="24.0" customHeight="1">
      <c r="A64" s="88"/>
      <c r="B64" s="133" t="str">
        <f>IF(A64="","",IFERROR(VLOOKUP(A64,'Material Master'!$A$2:$E$201,2,FALSE),""))</f>
        <v/>
      </c>
      <c r="C64" s="88" t="str">
        <f>IF(A64="","",IFERROR(VLOOKUP(A64,'Material Master'!$A$2:$E$201,3,FALSE),""))</f>
        <v/>
      </c>
      <c r="D64" s="88" t="str">
        <f t="array" ref="D64">IF(A64="","",IFERROR(INDEX('Location Master'!$E$2:$E$502, IFERROR(MATCH(A64,'Location Master'!$G$2:$G$502,0), IFERROR(MATCH(A64&amp;" (*",'Location Master'!$G$2:$G$502,0), MATCH(A64&amp;"*",'Location Master'!$G$2:$G$502,0)))), ""))</f>
        <v/>
      </c>
      <c r="E64" s="134"/>
      <c r="F64" s="134" t="str">
        <f>IF(OR(A64="",D64=""),"",SUMIFS('Stock Movement'!$F$2:$F$501,'Stock Movement'!$B$2:$B$501,A64,'Stock Movement'!$D$2:$D$501,D64,'Stock Movement'!$E$2:$E$501,"IN"))</f>
        <v/>
      </c>
      <c r="G64" s="134" t="str">
        <f>IF(OR(A64="",D64=""),"",SUMIFS('Stock Movement'!$F$2:$F$501,'Stock Movement'!$B$2:$B$501,A64,'Stock Movement'!$D$2:$D$501,D64,'Stock Movement'!$E$2:$E$501,"OUT"))</f>
        <v/>
      </c>
      <c r="H64" s="134" t="str">
        <f t="shared" si="1"/>
        <v/>
      </c>
      <c r="I64" s="88" t="str">
        <f>IF(A64="","",IFERROR(VLOOKUP(A64,'Material Master'!$A$2:$E$201,4,FALSE),""))</f>
        <v/>
      </c>
      <c r="J64" s="134" t="str">
        <f>IF(A64="","",IFERROR(VLOOKUP(A64,'Material Master'!$A$2:$E$201,5,FALSE),""))</f>
        <v/>
      </c>
      <c r="K64" s="135" t="str">
        <f t="shared" si="2"/>
        <v/>
      </c>
    </row>
    <row r="65" ht="24.0" customHeight="1">
      <c r="A65" s="82"/>
      <c r="B65" s="130" t="str">
        <f>IF(A65="","",IFERROR(VLOOKUP(A65,'Material Master'!$A$2:$E$201,2,FALSE),""))</f>
        <v/>
      </c>
      <c r="C65" s="82" t="str">
        <f>IF(A65="","",IFERROR(VLOOKUP(A65,'Material Master'!$A$2:$E$201,3,FALSE),""))</f>
        <v/>
      </c>
      <c r="D65" s="82" t="str">
        <f t="array" ref="D65">IF(A65="","",IFERROR(INDEX('Location Master'!$E$2:$E$502, IFERROR(MATCH(A65,'Location Master'!$G$2:$G$502,0), IFERROR(MATCH(A65&amp;" (*",'Location Master'!$G$2:$G$502,0), MATCH(A65&amp;"*",'Location Master'!$G$2:$G$502,0)))), ""))</f>
        <v/>
      </c>
      <c r="E65" s="131"/>
      <c r="F65" s="131" t="str">
        <f>IF(OR(A65="",D65=""),"",SUMIFS('Stock Movement'!$F$2:$F$501,'Stock Movement'!$B$2:$B$501,A65,'Stock Movement'!$D$2:$D$501,D65,'Stock Movement'!$E$2:$E$501,"IN"))</f>
        <v/>
      </c>
      <c r="G65" s="131" t="str">
        <f>IF(OR(A65="",D65=""),"",SUMIFS('Stock Movement'!$F$2:$F$501,'Stock Movement'!$B$2:$B$501,A65,'Stock Movement'!$D$2:$D$501,D65,'Stock Movement'!$E$2:$E$501,"OUT"))</f>
        <v/>
      </c>
      <c r="H65" s="131" t="str">
        <f t="shared" si="1"/>
        <v/>
      </c>
      <c r="I65" s="82" t="str">
        <f>IF(A65="","",IFERROR(VLOOKUP(A65,'Material Master'!$A$2:$E$201,4,FALSE),""))</f>
        <v/>
      </c>
      <c r="J65" s="131" t="str">
        <f>IF(A65="","",IFERROR(VLOOKUP(A65,'Material Master'!$A$2:$E$201,5,FALSE),""))</f>
        <v/>
      </c>
      <c r="K65" s="132" t="str">
        <f t="shared" si="2"/>
        <v/>
      </c>
    </row>
    <row r="66" ht="24.0" customHeight="1">
      <c r="A66" s="88"/>
      <c r="B66" s="133" t="str">
        <f>IF(A66="","",IFERROR(VLOOKUP(A66,'Material Master'!$A$2:$E$201,2,FALSE),""))</f>
        <v/>
      </c>
      <c r="C66" s="88" t="str">
        <f>IF(A66="","",IFERROR(VLOOKUP(A66,'Material Master'!$A$2:$E$201,3,FALSE),""))</f>
        <v/>
      </c>
      <c r="D66" s="88" t="str">
        <f t="array" ref="D66">IF(A66="","",IFERROR(INDEX('Location Master'!$E$2:$E$502, IFERROR(MATCH(A66,'Location Master'!$G$2:$G$502,0), IFERROR(MATCH(A66&amp;" (*",'Location Master'!$G$2:$G$502,0), MATCH(A66&amp;"*",'Location Master'!$G$2:$G$502,0)))), ""))</f>
        <v/>
      </c>
      <c r="E66" s="134"/>
      <c r="F66" s="134" t="str">
        <f>IF(OR(A66="",D66=""),"",SUMIFS('Stock Movement'!$F$2:$F$501,'Stock Movement'!$B$2:$B$501,A66,'Stock Movement'!$D$2:$D$501,D66,'Stock Movement'!$E$2:$E$501,"IN"))</f>
        <v/>
      </c>
      <c r="G66" s="134" t="str">
        <f>IF(OR(A66="",D66=""),"",SUMIFS('Stock Movement'!$F$2:$F$501,'Stock Movement'!$B$2:$B$501,A66,'Stock Movement'!$D$2:$D$501,D66,'Stock Movement'!$E$2:$E$501,"OUT"))</f>
        <v/>
      </c>
      <c r="H66" s="134" t="str">
        <f t="shared" si="1"/>
        <v/>
      </c>
      <c r="I66" s="88" t="str">
        <f>IF(A66="","",IFERROR(VLOOKUP(A66,'Material Master'!$A$2:$E$201,4,FALSE),""))</f>
        <v/>
      </c>
      <c r="J66" s="134" t="str">
        <f>IF(A66="","",IFERROR(VLOOKUP(A66,'Material Master'!$A$2:$E$201,5,FALSE),""))</f>
        <v/>
      </c>
      <c r="K66" s="135" t="str">
        <f t="shared" si="2"/>
        <v/>
      </c>
    </row>
    <row r="67" ht="24.0" customHeight="1">
      <c r="A67" s="82"/>
      <c r="B67" s="130" t="str">
        <f>IF(A67="","",IFERROR(VLOOKUP(A67,'Material Master'!$A$2:$E$201,2,FALSE),""))</f>
        <v/>
      </c>
      <c r="C67" s="82" t="str">
        <f>IF(A67="","",IFERROR(VLOOKUP(A67,'Material Master'!$A$2:$E$201,3,FALSE),""))</f>
        <v/>
      </c>
      <c r="D67" s="82" t="str">
        <f t="array" ref="D67">IF(A67="","",IFERROR(INDEX('Location Master'!$E$2:$E$502, IFERROR(MATCH(A67,'Location Master'!$G$2:$G$502,0), IFERROR(MATCH(A67&amp;" (*",'Location Master'!$G$2:$G$502,0), MATCH(A67&amp;"*",'Location Master'!$G$2:$G$502,0)))), ""))</f>
        <v/>
      </c>
      <c r="E67" s="131"/>
      <c r="F67" s="131" t="str">
        <f>IF(OR(A67="",D67=""),"",SUMIFS('Stock Movement'!$F$2:$F$501,'Stock Movement'!$B$2:$B$501,A67,'Stock Movement'!$D$2:$D$501,D67,'Stock Movement'!$E$2:$E$501,"IN"))</f>
        <v/>
      </c>
      <c r="G67" s="131" t="str">
        <f>IF(OR(A67="",D67=""),"",SUMIFS('Stock Movement'!$F$2:$F$501,'Stock Movement'!$B$2:$B$501,A67,'Stock Movement'!$D$2:$D$501,D67,'Stock Movement'!$E$2:$E$501,"OUT"))</f>
        <v/>
      </c>
      <c r="H67" s="131" t="str">
        <f t="shared" si="1"/>
        <v/>
      </c>
      <c r="I67" s="82" t="str">
        <f>IF(A67="","",IFERROR(VLOOKUP(A67,'Material Master'!$A$2:$E$201,4,FALSE),""))</f>
        <v/>
      </c>
      <c r="J67" s="131" t="str">
        <f>IF(A67="","",IFERROR(VLOOKUP(A67,'Material Master'!$A$2:$E$201,5,FALSE),""))</f>
        <v/>
      </c>
      <c r="K67" s="132" t="str">
        <f t="shared" si="2"/>
        <v/>
      </c>
    </row>
    <row r="68" ht="24.0" customHeight="1">
      <c r="A68" s="88"/>
      <c r="B68" s="133" t="str">
        <f>IF(A68="","",IFERROR(VLOOKUP(A68,'Material Master'!$A$2:$E$201,2,FALSE),""))</f>
        <v/>
      </c>
      <c r="C68" s="88" t="str">
        <f>IF(A68="","",IFERROR(VLOOKUP(A68,'Material Master'!$A$2:$E$201,3,FALSE),""))</f>
        <v/>
      </c>
      <c r="D68" s="88" t="str">
        <f t="array" ref="D68">IF(A68="","",IFERROR(INDEX('Location Master'!$E$2:$E$502, IFERROR(MATCH(A68,'Location Master'!$G$2:$G$502,0), IFERROR(MATCH(A68&amp;" (*",'Location Master'!$G$2:$G$502,0), MATCH(A68&amp;"*",'Location Master'!$G$2:$G$502,0)))), ""))</f>
        <v/>
      </c>
      <c r="E68" s="134"/>
      <c r="F68" s="134" t="str">
        <f>IF(OR(A68="",D68=""),"",SUMIFS('Stock Movement'!$F$2:$F$501,'Stock Movement'!$B$2:$B$501,A68,'Stock Movement'!$D$2:$D$501,D68,'Stock Movement'!$E$2:$E$501,"IN"))</f>
        <v/>
      </c>
      <c r="G68" s="134" t="str">
        <f>IF(OR(A68="",D68=""),"",SUMIFS('Stock Movement'!$F$2:$F$501,'Stock Movement'!$B$2:$B$501,A68,'Stock Movement'!$D$2:$D$501,D68,'Stock Movement'!$E$2:$E$501,"OUT"))</f>
        <v/>
      </c>
      <c r="H68" s="134" t="str">
        <f t="shared" si="1"/>
        <v/>
      </c>
      <c r="I68" s="88" t="str">
        <f>IF(A68="","",IFERROR(VLOOKUP(A68,'Material Master'!$A$2:$E$201,4,FALSE),""))</f>
        <v/>
      </c>
      <c r="J68" s="134" t="str">
        <f>IF(A68="","",IFERROR(VLOOKUP(A68,'Material Master'!$A$2:$E$201,5,FALSE),""))</f>
        <v/>
      </c>
      <c r="K68" s="135" t="str">
        <f t="shared" si="2"/>
        <v/>
      </c>
    </row>
    <row r="69" ht="24.0" customHeight="1">
      <c r="A69" s="82"/>
      <c r="B69" s="130" t="str">
        <f>IF(A69="","",IFERROR(VLOOKUP(A69,'Material Master'!$A$2:$E$201,2,FALSE),""))</f>
        <v/>
      </c>
      <c r="C69" s="82" t="str">
        <f>IF(A69="","",IFERROR(VLOOKUP(A69,'Material Master'!$A$2:$E$201,3,FALSE),""))</f>
        <v/>
      </c>
      <c r="D69" s="82" t="str">
        <f t="array" ref="D69">IF(A69="","",IFERROR(INDEX('Location Master'!$E$2:$E$502, IFERROR(MATCH(A69,'Location Master'!$G$2:$G$502,0), IFERROR(MATCH(A69&amp;" (*",'Location Master'!$G$2:$G$502,0), MATCH(A69&amp;"*",'Location Master'!$G$2:$G$502,0)))), ""))</f>
        <v/>
      </c>
      <c r="E69" s="131"/>
      <c r="F69" s="131" t="str">
        <f>IF(OR(A69="",D69=""),"",SUMIFS('Stock Movement'!$F$2:$F$501,'Stock Movement'!$B$2:$B$501,A69,'Stock Movement'!$D$2:$D$501,D69,'Stock Movement'!$E$2:$E$501,"IN"))</f>
        <v/>
      </c>
      <c r="G69" s="131" t="str">
        <f>IF(OR(A69="",D69=""),"",SUMIFS('Stock Movement'!$F$2:$F$501,'Stock Movement'!$B$2:$B$501,A69,'Stock Movement'!$D$2:$D$501,D69,'Stock Movement'!$E$2:$E$501,"OUT"))</f>
        <v/>
      </c>
      <c r="H69" s="131" t="str">
        <f t="shared" si="1"/>
        <v/>
      </c>
      <c r="I69" s="82" t="str">
        <f>IF(A69="","",IFERROR(VLOOKUP(A69,'Material Master'!$A$2:$E$201,4,FALSE),""))</f>
        <v/>
      </c>
      <c r="J69" s="131" t="str">
        <f>IF(A69="","",IFERROR(VLOOKUP(A69,'Material Master'!$A$2:$E$201,5,FALSE),""))</f>
        <v/>
      </c>
      <c r="K69" s="132" t="str">
        <f t="shared" si="2"/>
        <v/>
      </c>
    </row>
    <row r="70" ht="24.0" customHeight="1">
      <c r="A70" s="88"/>
      <c r="B70" s="133" t="str">
        <f>IF(A70="","",IFERROR(VLOOKUP(A70,'Material Master'!$A$2:$E$201,2,FALSE),""))</f>
        <v/>
      </c>
      <c r="C70" s="88" t="str">
        <f>IF(A70="","",IFERROR(VLOOKUP(A70,'Material Master'!$A$2:$E$201,3,FALSE),""))</f>
        <v/>
      </c>
      <c r="D70" s="88" t="str">
        <f t="array" ref="D70">IF(A70="","",IFERROR(INDEX('Location Master'!$E$2:$E$502, IFERROR(MATCH(A70,'Location Master'!$G$2:$G$502,0), IFERROR(MATCH(A70&amp;" (*",'Location Master'!$G$2:$G$502,0), MATCH(A70&amp;"*",'Location Master'!$G$2:$G$502,0)))), ""))</f>
        <v/>
      </c>
      <c r="E70" s="134"/>
      <c r="F70" s="134" t="str">
        <f>IF(OR(A70="",D70=""),"",SUMIFS('Stock Movement'!$F$2:$F$501,'Stock Movement'!$B$2:$B$501,A70,'Stock Movement'!$D$2:$D$501,D70,'Stock Movement'!$E$2:$E$501,"IN"))</f>
        <v/>
      </c>
      <c r="G70" s="134" t="str">
        <f>IF(OR(A70="",D70=""),"",SUMIFS('Stock Movement'!$F$2:$F$501,'Stock Movement'!$B$2:$B$501,A70,'Stock Movement'!$D$2:$D$501,D70,'Stock Movement'!$E$2:$E$501,"OUT"))</f>
        <v/>
      </c>
      <c r="H70" s="134" t="str">
        <f t="shared" si="1"/>
        <v/>
      </c>
      <c r="I70" s="88" t="str">
        <f>IF(A70="","",IFERROR(VLOOKUP(A70,'Material Master'!$A$2:$E$201,4,FALSE),""))</f>
        <v/>
      </c>
      <c r="J70" s="134" t="str">
        <f>IF(A70="","",IFERROR(VLOOKUP(A70,'Material Master'!$A$2:$E$201,5,FALSE),""))</f>
        <v/>
      </c>
      <c r="K70" s="135" t="str">
        <f t="shared" si="2"/>
        <v/>
      </c>
    </row>
    <row r="71" ht="24.0" customHeight="1">
      <c r="A71" s="82"/>
      <c r="B71" s="130" t="str">
        <f>IF(A71="","",IFERROR(VLOOKUP(A71,'Material Master'!$A$2:$E$201,2,FALSE),""))</f>
        <v/>
      </c>
      <c r="C71" s="82" t="str">
        <f>IF(A71="","",IFERROR(VLOOKUP(A71,'Material Master'!$A$2:$E$201,3,FALSE),""))</f>
        <v/>
      </c>
      <c r="D71" s="82" t="str">
        <f t="array" ref="D71">IF(A71="","",IFERROR(INDEX('Location Master'!$E$2:$E$502, IFERROR(MATCH(A71,'Location Master'!$G$2:$G$502,0), IFERROR(MATCH(A71&amp;" (*",'Location Master'!$G$2:$G$502,0), MATCH(A71&amp;"*",'Location Master'!$G$2:$G$502,0)))), ""))</f>
        <v/>
      </c>
      <c r="E71" s="131"/>
      <c r="F71" s="131" t="str">
        <f>IF(OR(A71="",D71=""),"",SUMIFS('Stock Movement'!$F$2:$F$501,'Stock Movement'!$B$2:$B$501,A71,'Stock Movement'!$D$2:$D$501,D71,'Stock Movement'!$E$2:$E$501,"IN"))</f>
        <v/>
      </c>
      <c r="G71" s="131" t="str">
        <f>IF(OR(A71="",D71=""),"",SUMIFS('Stock Movement'!$F$2:$F$501,'Stock Movement'!$B$2:$B$501,A71,'Stock Movement'!$D$2:$D$501,D71,'Stock Movement'!$E$2:$E$501,"OUT"))</f>
        <v/>
      </c>
      <c r="H71" s="131" t="str">
        <f t="shared" si="1"/>
        <v/>
      </c>
      <c r="I71" s="82" t="str">
        <f>IF(A71="","",IFERROR(VLOOKUP(A71,'Material Master'!$A$2:$E$201,4,FALSE),""))</f>
        <v/>
      </c>
      <c r="J71" s="131" t="str">
        <f>IF(A71="","",IFERROR(VLOOKUP(A71,'Material Master'!$A$2:$E$201,5,FALSE),""))</f>
        <v/>
      </c>
      <c r="K71" s="132" t="str">
        <f t="shared" si="2"/>
        <v/>
      </c>
    </row>
    <row r="72" ht="24.0" customHeight="1">
      <c r="A72" s="88"/>
      <c r="B72" s="133" t="str">
        <f>IF(A72="","",IFERROR(VLOOKUP(A72,'Material Master'!$A$2:$E$201,2,FALSE),""))</f>
        <v/>
      </c>
      <c r="C72" s="88" t="str">
        <f>IF(A72="","",IFERROR(VLOOKUP(A72,'Material Master'!$A$2:$E$201,3,FALSE),""))</f>
        <v/>
      </c>
      <c r="D72" s="88" t="str">
        <f t="array" ref="D72">IF(A72="","",IFERROR(INDEX('Location Master'!$E$2:$E$502, IFERROR(MATCH(A72,'Location Master'!$G$2:$G$502,0), IFERROR(MATCH(A72&amp;" (*",'Location Master'!$G$2:$G$502,0), MATCH(A72&amp;"*",'Location Master'!$G$2:$G$502,0)))), ""))</f>
        <v/>
      </c>
      <c r="E72" s="134"/>
      <c r="F72" s="134" t="str">
        <f>IF(OR(A72="",D72=""),"",SUMIFS('Stock Movement'!$F$2:$F$501,'Stock Movement'!$B$2:$B$501,A72,'Stock Movement'!$D$2:$D$501,D72,'Stock Movement'!$E$2:$E$501,"IN"))</f>
        <v/>
      </c>
      <c r="G72" s="134" t="str">
        <f>IF(OR(A72="",D72=""),"",SUMIFS('Stock Movement'!$F$2:$F$501,'Stock Movement'!$B$2:$B$501,A72,'Stock Movement'!$D$2:$D$501,D72,'Stock Movement'!$E$2:$E$501,"OUT"))</f>
        <v/>
      </c>
      <c r="H72" s="134" t="str">
        <f t="shared" si="1"/>
        <v/>
      </c>
      <c r="I72" s="88" t="str">
        <f>IF(A72="","",IFERROR(VLOOKUP(A72,'Material Master'!$A$2:$E$201,4,FALSE),""))</f>
        <v/>
      </c>
      <c r="J72" s="134" t="str">
        <f>IF(A72="","",IFERROR(VLOOKUP(A72,'Material Master'!$A$2:$E$201,5,FALSE),""))</f>
        <v/>
      </c>
      <c r="K72" s="135" t="str">
        <f t="shared" si="2"/>
        <v/>
      </c>
    </row>
    <row r="73" ht="24.0" customHeight="1">
      <c r="A73" s="82"/>
      <c r="B73" s="130" t="str">
        <f>IF(A73="","",IFERROR(VLOOKUP(A73,'Material Master'!$A$2:$E$201,2,FALSE),""))</f>
        <v/>
      </c>
      <c r="C73" s="82" t="str">
        <f>IF(A73="","",IFERROR(VLOOKUP(A73,'Material Master'!$A$2:$E$201,3,FALSE),""))</f>
        <v/>
      </c>
      <c r="D73" s="82" t="str">
        <f t="array" ref="D73">IF(A73="","",IFERROR(INDEX('Location Master'!$E$2:$E$502, IFERROR(MATCH(A73,'Location Master'!$G$2:$G$502,0), IFERROR(MATCH(A73&amp;" (*",'Location Master'!$G$2:$G$502,0), MATCH(A73&amp;"*",'Location Master'!$G$2:$G$502,0)))), ""))</f>
        <v/>
      </c>
      <c r="E73" s="131"/>
      <c r="F73" s="131" t="str">
        <f>IF(OR(A73="",D73=""),"",SUMIFS('Stock Movement'!$F$2:$F$501,'Stock Movement'!$B$2:$B$501,A73,'Stock Movement'!$D$2:$D$501,D73,'Stock Movement'!$E$2:$E$501,"IN"))</f>
        <v/>
      </c>
      <c r="G73" s="131" t="str">
        <f>IF(OR(A73="",D73=""),"",SUMIFS('Stock Movement'!$F$2:$F$501,'Stock Movement'!$B$2:$B$501,A73,'Stock Movement'!$D$2:$D$501,D73,'Stock Movement'!$E$2:$E$501,"OUT"))</f>
        <v/>
      </c>
      <c r="H73" s="131" t="str">
        <f t="shared" si="1"/>
        <v/>
      </c>
      <c r="I73" s="82" t="str">
        <f>IF(A73="","",IFERROR(VLOOKUP(A73,'Material Master'!$A$2:$E$201,4,FALSE),""))</f>
        <v/>
      </c>
      <c r="J73" s="131" t="str">
        <f>IF(A73="","",IFERROR(VLOOKUP(A73,'Material Master'!$A$2:$E$201,5,FALSE),""))</f>
        <v/>
      </c>
      <c r="K73" s="132" t="str">
        <f t="shared" si="2"/>
        <v/>
      </c>
    </row>
    <row r="74" ht="24.0" customHeight="1">
      <c r="A74" s="88"/>
      <c r="B74" s="133" t="str">
        <f>IF(A74="","",IFERROR(VLOOKUP(A74,'Material Master'!$A$2:$E$201,2,FALSE),""))</f>
        <v/>
      </c>
      <c r="C74" s="88" t="str">
        <f>IF(A74="","",IFERROR(VLOOKUP(A74,'Material Master'!$A$2:$E$201,3,FALSE),""))</f>
        <v/>
      </c>
      <c r="D74" s="88" t="str">
        <f t="array" ref="D74">IF(A74="","",IFERROR(INDEX('Location Master'!$E$2:$E$502, IFERROR(MATCH(A74,'Location Master'!$G$2:$G$502,0), IFERROR(MATCH(A74&amp;" (*",'Location Master'!$G$2:$G$502,0), MATCH(A74&amp;"*",'Location Master'!$G$2:$G$502,0)))), ""))</f>
        <v/>
      </c>
      <c r="E74" s="134"/>
      <c r="F74" s="134" t="str">
        <f>IF(OR(A74="",D74=""),"",SUMIFS('Stock Movement'!$F$2:$F$501,'Stock Movement'!$B$2:$B$501,A74,'Stock Movement'!$D$2:$D$501,D74,'Stock Movement'!$E$2:$E$501,"IN"))</f>
        <v/>
      </c>
      <c r="G74" s="134" t="str">
        <f>IF(OR(A74="",D74=""),"",SUMIFS('Stock Movement'!$F$2:$F$501,'Stock Movement'!$B$2:$B$501,A74,'Stock Movement'!$D$2:$D$501,D74,'Stock Movement'!$E$2:$E$501,"OUT"))</f>
        <v/>
      </c>
      <c r="H74" s="134" t="str">
        <f t="shared" si="1"/>
        <v/>
      </c>
      <c r="I74" s="88" t="str">
        <f>IF(A74="","",IFERROR(VLOOKUP(A74,'Material Master'!$A$2:$E$201,4,FALSE),""))</f>
        <v/>
      </c>
      <c r="J74" s="134" t="str">
        <f>IF(A74="","",IFERROR(VLOOKUP(A74,'Material Master'!$A$2:$E$201,5,FALSE),""))</f>
        <v/>
      </c>
      <c r="K74" s="135" t="str">
        <f t="shared" si="2"/>
        <v/>
      </c>
    </row>
    <row r="75" ht="24.0" customHeight="1">
      <c r="A75" s="82"/>
      <c r="B75" s="130" t="str">
        <f>IF(A75="","",IFERROR(VLOOKUP(A75,'Material Master'!$A$2:$E$201,2,FALSE),""))</f>
        <v/>
      </c>
      <c r="C75" s="82" t="str">
        <f>IF(A75="","",IFERROR(VLOOKUP(A75,'Material Master'!$A$2:$E$201,3,FALSE),""))</f>
        <v/>
      </c>
      <c r="D75" s="82" t="str">
        <f t="array" ref="D75">IF(A75="","",IFERROR(INDEX('Location Master'!$E$2:$E$502, IFERROR(MATCH(A75,'Location Master'!$G$2:$G$502,0), IFERROR(MATCH(A75&amp;" (*",'Location Master'!$G$2:$G$502,0), MATCH(A75&amp;"*",'Location Master'!$G$2:$G$502,0)))), ""))</f>
        <v/>
      </c>
      <c r="E75" s="131"/>
      <c r="F75" s="131" t="str">
        <f>IF(OR(A75="",D75=""),"",SUMIFS('Stock Movement'!$F$2:$F$501,'Stock Movement'!$B$2:$B$501,A75,'Stock Movement'!$D$2:$D$501,D75,'Stock Movement'!$E$2:$E$501,"IN"))</f>
        <v/>
      </c>
      <c r="G75" s="131" t="str">
        <f>IF(OR(A75="",D75=""),"",SUMIFS('Stock Movement'!$F$2:$F$501,'Stock Movement'!$B$2:$B$501,A75,'Stock Movement'!$D$2:$D$501,D75,'Stock Movement'!$E$2:$E$501,"OUT"))</f>
        <v/>
      </c>
      <c r="H75" s="131" t="str">
        <f t="shared" si="1"/>
        <v/>
      </c>
      <c r="I75" s="82" t="str">
        <f>IF(A75="","",IFERROR(VLOOKUP(A75,'Material Master'!$A$2:$E$201,4,FALSE),""))</f>
        <v/>
      </c>
      <c r="J75" s="131" t="str">
        <f>IF(A75="","",IFERROR(VLOOKUP(A75,'Material Master'!$A$2:$E$201,5,FALSE),""))</f>
        <v/>
      </c>
      <c r="K75" s="132" t="str">
        <f t="shared" si="2"/>
        <v/>
      </c>
    </row>
    <row r="76" ht="24.0" customHeight="1">
      <c r="A76" s="88"/>
      <c r="B76" s="133" t="str">
        <f>IF(A76="","",IFERROR(VLOOKUP(A76,'Material Master'!$A$2:$E$201,2,FALSE),""))</f>
        <v/>
      </c>
      <c r="C76" s="88" t="str">
        <f>IF(A76="","",IFERROR(VLOOKUP(A76,'Material Master'!$A$2:$E$201,3,FALSE),""))</f>
        <v/>
      </c>
      <c r="D76" s="88" t="str">
        <f t="array" ref="D76">IF(A76="","",IFERROR(INDEX('Location Master'!$E$2:$E$502, IFERROR(MATCH(A76,'Location Master'!$G$2:$G$502,0), IFERROR(MATCH(A76&amp;" (*",'Location Master'!$G$2:$G$502,0), MATCH(A76&amp;"*",'Location Master'!$G$2:$G$502,0)))), ""))</f>
        <v/>
      </c>
      <c r="E76" s="134"/>
      <c r="F76" s="134" t="str">
        <f>IF(OR(A76="",D76=""),"",SUMIFS('Stock Movement'!$F$2:$F$501,'Stock Movement'!$B$2:$B$501,A76,'Stock Movement'!$D$2:$D$501,D76,'Stock Movement'!$E$2:$E$501,"IN"))</f>
        <v/>
      </c>
      <c r="G76" s="134" t="str">
        <f>IF(OR(A76="",D76=""),"",SUMIFS('Stock Movement'!$F$2:$F$501,'Stock Movement'!$B$2:$B$501,A76,'Stock Movement'!$D$2:$D$501,D76,'Stock Movement'!$E$2:$E$501,"OUT"))</f>
        <v/>
      </c>
      <c r="H76" s="134" t="str">
        <f t="shared" si="1"/>
        <v/>
      </c>
      <c r="I76" s="88" t="str">
        <f>IF(A76="","",IFERROR(VLOOKUP(A76,'Material Master'!$A$2:$E$201,4,FALSE),""))</f>
        <v/>
      </c>
      <c r="J76" s="134" t="str">
        <f>IF(A76="","",IFERROR(VLOOKUP(A76,'Material Master'!$A$2:$E$201,5,FALSE),""))</f>
        <v/>
      </c>
      <c r="K76" s="135" t="str">
        <f t="shared" si="2"/>
        <v/>
      </c>
    </row>
    <row r="77" ht="24.0" customHeight="1">
      <c r="A77" s="82"/>
      <c r="B77" s="130" t="str">
        <f>IF(A77="","",IFERROR(VLOOKUP(A77,'Material Master'!$A$2:$E$201,2,FALSE),""))</f>
        <v/>
      </c>
      <c r="C77" s="82" t="str">
        <f>IF(A77="","",IFERROR(VLOOKUP(A77,'Material Master'!$A$2:$E$201,3,FALSE),""))</f>
        <v/>
      </c>
      <c r="D77" s="82" t="str">
        <f t="array" ref="D77">IF(A77="","",IFERROR(INDEX('Location Master'!$E$2:$E$502, IFERROR(MATCH(A77,'Location Master'!$G$2:$G$502,0), IFERROR(MATCH(A77&amp;" (*",'Location Master'!$G$2:$G$502,0), MATCH(A77&amp;"*",'Location Master'!$G$2:$G$502,0)))), ""))</f>
        <v/>
      </c>
      <c r="E77" s="131"/>
      <c r="F77" s="131" t="str">
        <f>IF(OR(A77="",D77=""),"",SUMIFS('Stock Movement'!$F$2:$F$501,'Stock Movement'!$B$2:$B$501,A77,'Stock Movement'!$D$2:$D$501,D77,'Stock Movement'!$E$2:$E$501,"IN"))</f>
        <v/>
      </c>
      <c r="G77" s="131" t="str">
        <f>IF(OR(A77="",D77=""),"",SUMIFS('Stock Movement'!$F$2:$F$501,'Stock Movement'!$B$2:$B$501,A77,'Stock Movement'!$D$2:$D$501,D77,'Stock Movement'!$E$2:$E$501,"OUT"))</f>
        <v/>
      </c>
      <c r="H77" s="131" t="str">
        <f t="shared" si="1"/>
        <v/>
      </c>
      <c r="I77" s="82" t="str">
        <f>IF(A77="","",IFERROR(VLOOKUP(A77,'Material Master'!$A$2:$E$201,4,FALSE),""))</f>
        <v/>
      </c>
      <c r="J77" s="131" t="str">
        <f>IF(A77="","",IFERROR(VLOOKUP(A77,'Material Master'!$A$2:$E$201,5,FALSE),""))</f>
        <v/>
      </c>
      <c r="K77" s="132" t="str">
        <f t="shared" si="2"/>
        <v/>
      </c>
    </row>
    <row r="78" ht="24.0" customHeight="1">
      <c r="A78" s="88"/>
      <c r="B78" s="133" t="str">
        <f>IF(A78="","",IFERROR(VLOOKUP(A78,'Material Master'!$A$2:$E$201,2,FALSE),""))</f>
        <v/>
      </c>
      <c r="C78" s="88" t="str">
        <f>IF(A78="","",IFERROR(VLOOKUP(A78,'Material Master'!$A$2:$E$201,3,FALSE),""))</f>
        <v/>
      </c>
      <c r="D78" s="88" t="str">
        <f t="array" ref="D78">IF(A78="","",IFERROR(INDEX('Location Master'!$E$2:$E$502, IFERROR(MATCH(A78,'Location Master'!$G$2:$G$502,0), IFERROR(MATCH(A78&amp;" (*",'Location Master'!$G$2:$G$502,0), MATCH(A78&amp;"*",'Location Master'!$G$2:$G$502,0)))), ""))</f>
        <v/>
      </c>
      <c r="E78" s="134"/>
      <c r="F78" s="134" t="str">
        <f>IF(OR(A78="",D78=""),"",SUMIFS('Stock Movement'!$F$2:$F$501,'Stock Movement'!$B$2:$B$501,A78,'Stock Movement'!$D$2:$D$501,D78,'Stock Movement'!$E$2:$E$501,"IN"))</f>
        <v/>
      </c>
      <c r="G78" s="134" t="str">
        <f>IF(OR(A78="",D78=""),"",SUMIFS('Stock Movement'!$F$2:$F$501,'Stock Movement'!$B$2:$B$501,A78,'Stock Movement'!$D$2:$D$501,D78,'Stock Movement'!$E$2:$E$501,"OUT"))</f>
        <v/>
      </c>
      <c r="H78" s="134" t="str">
        <f t="shared" si="1"/>
        <v/>
      </c>
      <c r="I78" s="88" t="str">
        <f>IF(A78="","",IFERROR(VLOOKUP(A78,'Material Master'!$A$2:$E$201,4,FALSE),""))</f>
        <v/>
      </c>
      <c r="J78" s="134" t="str">
        <f>IF(A78="","",IFERROR(VLOOKUP(A78,'Material Master'!$A$2:$E$201,5,FALSE),""))</f>
        <v/>
      </c>
      <c r="K78" s="135" t="str">
        <f t="shared" si="2"/>
        <v/>
      </c>
    </row>
    <row r="79" ht="24.0" customHeight="1">
      <c r="A79" s="82"/>
      <c r="B79" s="130" t="str">
        <f>IF(A79="","",IFERROR(VLOOKUP(A79,'Material Master'!$A$2:$E$201,2,FALSE),""))</f>
        <v/>
      </c>
      <c r="C79" s="82" t="str">
        <f>IF(A79="","",IFERROR(VLOOKUP(A79,'Material Master'!$A$2:$E$201,3,FALSE),""))</f>
        <v/>
      </c>
      <c r="D79" s="82" t="str">
        <f t="array" ref="D79">IF(A79="","",IFERROR(INDEX('Location Master'!$E$2:$E$502, IFERROR(MATCH(A79,'Location Master'!$G$2:$G$502,0), IFERROR(MATCH(A79&amp;" (*",'Location Master'!$G$2:$G$502,0), MATCH(A79&amp;"*",'Location Master'!$G$2:$G$502,0)))), ""))</f>
        <v/>
      </c>
      <c r="E79" s="131"/>
      <c r="F79" s="131" t="str">
        <f>IF(OR(A79="",D79=""),"",SUMIFS('Stock Movement'!$F$2:$F$501,'Stock Movement'!$B$2:$B$501,A79,'Stock Movement'!$D$2:$D$501,D79,'Stock Movement'!$E$2:$E$501,"IN"))</f>
        <v/>
      </c>
      <c r="G79" s="131" t="str">
        <f>IF(OR(A79="",D79=""),"",SUMIFS('Stock Movement'!$F$2:$F$501,'Stock Movement'!$B$2:$B$501,A79,'Stock Movement'!$D$2:$D$501,D79,'Stock Movement'!$E$2:$E$501,"OUT"))</f>
        <v/>
      </c>
      <c r="H79" s="131" t="str">
        <f t="shared" si="1"/>
        <v/>
      </c>
      <c r="I79" s="82" t="str">
        <f>IF(A79="","",IFERROR(VLOOKUP(A79,'Material Master'!$A$2:$E$201,4,FALSE),""))</f>
        <v/>
      </c>
      <c r="J79" s="131" t="str">
        <f>IF(A79="","",IFERROR(VLOOKUP(A79,'Material Master'!$A$2:$E$201,5,FALSE),""))</f>
        <v/>
      </c>
      <c r="K79" s="132" t="str">
        <f t="shared" si="2"/>
        <v/>
      </c>
    </row>
    <row r="80" ht="24.0" customHeight="1">
      <c r="A80" s="88"/>
      <c r="B80" s="133" t="str">
        <f>IF(A80="","",IFERROR(VLOOKUP(A80,'Material Master'!$A$2:$E$201,2,FALSE),""))</f>
        <v/>
      </c>
      <c r="C80" s="88" t="str">
        <f>IF(A80="","",IFERROR(VLOOKUP(A80,'Material Master'!$A$2:$E$201,3,FALSE),""))</f>
        <v/>
      </c>
      <c r="D80" s="88" t="str">
        <f t="array" ref="D80">IF(A80="","",IFERROR(INDEX('Location Master'!$E$2:$E$502, IFERROR(MATCH(A80,'Location Master'!$G$2:$G$502,0), IFERROR(MATCH(A80&amp;" (*",'Location Master'!$G$2:$G$502,0), MATCH(A80&amp;"*",'Location Master'!$G$2:$G$502,0)))), ""))</f>
        <v/>
      </c>
      <c r="E80" s="134"/>
      <c r="F80" s="134" t="str">
        <f>IF(OR(A80="",D80=""),"",SUMIFS('Stock Movement'!$F$2:$F$501,'Stock Movement'!$B$2:$B$501,A80,'Stock Movement'!$D$2:$D$501,D80,'Stock Movement'!$E$2:$E$501,"IN"))</f>
        <v/>
      </c>
      <c r="G80" s="134" t="str">
        <f>IF(OR(A80="",D80=""),"",SUMIFS('Stock Movement'!$F$2:$F$501,'Stock Movement'!$B$2:$B$501,A80,'Stock Movement'!$D$2:$D$501,D80,'Stock Movement'!$E$2:$E$501,"OUT"))</f>
        <v/>
      </c>
      <c r="H80" s="134" t="str">
        <f t="shared" si="1"/>
        <v/>
      </c>
      <c r="I80" s="88" t="str">
        <f>IF(A80="","",IFERROR(VLOOKUP(A80,'Material Master'!$A$2:$E$201,4,FALSE),""))</f>
        <v/>
      </c>
      <c r="J80" s="134" t="str">
        <f>IF(A80="","",IFERROR(VLOOKUP(A80,'Material Master'!$A$2:$E$201,5,FALSE),""))</f>
        <v/>
      </c>
      <c r="K80" s="135" t="str">
        <f t="shared" si="2"/>
        <v/>
      </c>
    </row>
    <row r="81" ht="24.0" customHeight="1">
      <c r="A81" s="82"/>
      <c r="B81" s="130" t="str">
        <f>IF(A81="","",IFERROR(VLOOKUP(A81,'Material Master'!$A$2:$E$201,2,FALSE),""))</f>
        <v/>
      </c>
      <c r="C81" s="82" t="str">
        <f>IF(A81="","",IFERROR(VLOOKUP(A81,'Material Master'!$A$2:$E$201,3,FALSE),""))</f>
        <v/>
      </c>
      <c r="D81" s="82" t="str">
        <f t="array" ref="D81">IF(A81="","",IFERROR(INDEX('Location Master'!$E$2:$E$502, IFERROR(MATCH(A81,'Location Master'!$G$2:$G$502,0), IFERROR(MATCH(A81&amp;" (*",'Location Master'!$G$2:$G$502,0), MATCH(A81&amp;"*",'Location Master'!$G$2:$G$502,0)))), ""))</f>
        <v/>
      </c>
      <c r="E81" s="131"/>
      <c r="F81" s="131" t="str">
        <f>IF(OR(A81="",D81=""),"",SUMIFS('Stock Movement'!$F$2:$F$501,'Stock Movement'!$B$2:$B$501,A81,'Stock Movement'!$D$2:$D$501,D81,'Stock Movement'!$E$2:$E$501,"IN"))</f>
        <v/>
      </c>
      <c r="G81" s="131" t="str">
        <f>IF(OR(A81="",D81=""),"",SUMIFS('Stock Movement'!$F$2:$F$501,'Stock Movement'!$B$2:$B$501,A81,'Stock Movement'!$D$2:$D$501,D81,'Stock Movement'!$E$2:$E$501,"OUT"))</f>
        <v/>
      </c>
      <c r="H81" s="131" t="str">
        <f t="shared" si="1"/>
        <v/>
      </c>
      <c r="I81" s="82" t="str">
        <f>IF(A81="","",IFERROR(VLOOKUP(A81,'Material Master'!$A$2:$E$201,4,FALSE),""))</f>
        <v/>
      </c>
      <c r="J81" s="131" t="str">
        <f>IF(A81="","",IFERROR(VLOOKUP(A81,'Material Master'!$A$2:$E$201,5,FALSE),""))</f>
        <v/>
      </c>
      <c r="K81" s="132" t="str">
        <f t="shared" si="2"/>
        <v/>
      </c>
    </row>
    <row r="82" ht="24.0" customHeight="1">
      <c r="A82" s="88"/>
      <c r="B82" s="133" t="str">
        <f>IF(A82="","",IFERROR(VLOOKUP(A82,'Material Master'!$A$2:$E$201,2,FALSE),""))</f>
        <v/>
      </c>
      <c r="C82" s="88" t="str">
        <f>IF(A82="","",IFERROR(VLOOKUP(A82,'Material Master'!$A$2:$E$201,3,FALSE),""))</f>
        <v/>
      </c>
      <c r="D82" s="88" t="str">
        <f t="array" ref="D82">IF(A82="","",IFERROR(INDEX('Location Master'!$E$2:$E$502, IFERROR(MATCH(A82,'Location Master'!$G$2:$G$502,0), IFERROR(MATCH(A82&amp;" (*",'Location Master'!$G$2:$G$502,0), MATCH(A82&amp;"*",'Location Master'!$G$2:$G$502,0)))), ""))</f>
        <v/>
      </c>
      <c r="E82" s="134"/>
      <c r="F82" s="134" t="str">
        <f>IF(OR(A82="",D82=""),"",SUMIFS('Stock Movement'!$F$2:$F$501,'Stock Movement'!$B$2:$B$501,A82,'Stock Movement'!$D$2:$D$501,D82,'Stock Movement'!$E$2:$E$501,"IN"))</f>
        <v/>
      </c>
      <c r="G82" s="134" t="str">
        <f>IF(OR(A82="",D82=""),"",SUMIFS('Stock Movement'!$F$2:$F$501,'Stock Movement'!$B$2:$B$501,A82,'Stock Movement'!$D$2:$D$501,D82,'Stock Movement'!$E$2:$E$501,"OUT"))</f>
        <v/>
      </c>
      <c r="H82" s="134" t="str">
        <f t="shared" si="1"/>
        <v/>
      </c>
      <c r="I82" s="88" t="str">
        <f>IF(A82="","",IFERROR(VLOOKUP(A82,'Material Master'!$A$2:$E$201,4,FALSE),""))</f>
        <v/>
      </c>
      <c r="J82" s="134" t="str">
        <f>IF(A82="","",IFERROR(VLOOKUP(A82,'Material Master'!$A$2:$E$201,5,FALSE),""))</f>
        <v/>
      </c>
      <c r="K82" s="135" t="str">
        <f t="shared" si="2"/>
        <v/>
      </c>
    </row>
    <row r="83" ht="24.0" customHeight="1">
      <c r="A83" s="82"/>
      <c r="B83" s="130" t="str">
        <f>IF(A83="","",IFERROR(VLOOKUP(A83,'Material Master'!$A$2:$E$201,2,FALSE),""))</f>
        <v/>
      </c>
      <c r="C83" s="82" t="str">
        <f>IF(A83="","",IFERROR(VLOOKUP(A83,'Material Master'!$A$2:$E$201,3,FALSE),""))</f>
        <v/>
      </c>
      <c r="D83" s="82" t="str">
        <f t="array" ref="D83">IF(A83="","",IFERROR(INDEX('Location Master'!$E$2:$E$502, IFERROR(MATCH(A83,'Location Master'!$G$2:$G$502,0), IFERROR(MATCH(A83&amp;" (*",'Location Master'!$G$2:$G$502,0), MATCH(A83&amp;"*",'Location Master'!$G$2:$G$502,0)))), ""))</f>
        <v/>
      </c>
      <c r="E83" s="131"/>
      <c r="F83" s="131" t="str">
        <f>IF(OR(A83="",D83=""),"",SUMIFS('Stock Movement'!$F$2:$F$501,'Stock Movement'!$B$2:$B$501,A83,'Stock Movement'!$D$2:$D$501,D83,'Stock Movement'!$E$2:$E$501,"IN"))</f>
        <v/>
      </c>
      <c r="G83" s="131" t="str">
        <f>IF(OR(A83="",D83=""),"",SUMIFS('Stock Movement'!$F$2:$F$501,'Stock Movement'!$B$2:$B$501,A83,'Stock Movement'!$D$2:$D$501,D83,'Stock Movement'!$E$2:$E$501,"OUT"))</f>
        <v/>
      </c>
      <c r="H83" s="131" t="str">
        <f t="shared" si="1"/>
        <v/>
      </c>
      <c r="I83" s="82" t="str">
        <f>IF(A83="","",IFERROR(VLOOKUP(A83,'Material Master'!$A$2:$E$201,4,FALSE),""))</f>
        <v/>
      </c>
      <c r="J83" s="131" t="str">
        <f>IF(A83="","",IFERROR(VLOOKUP(A83,'Material Master'!$A$2:$E$201,5,FALSE),""))</f>
        <v/>
      </c>
      <c r="K83" s="132" t="str">
        <f t="shared" si="2"/>
        <v/>
      </c>
    </row>
    <row r="84" ht="24.0" customHeight="1">
      <c r="A84" s="88"/>
      <c r="B84" s="133" t="str">
        <f>IF(A84="","",IFERROR(VLOOKUP(A84,'Material Master'!$A$2:$E$201,2,FALSE),""))</f>
        <v/>
      </c>
      <c r="C84" s="88" t="str">
        <f>IF(A84="","",IFERROR(VLOOKUP(A84,'Material Master'!$A$2:$E$201,3,FALSE),""))</f>
        <v/>
      </c>
      <c r="D84" s="88" t="str">
        <f t="array" ref="D84">IF(A84="","",IFERROR(INDEX('Location Master'!$E$2:$E$502, IFERROR(MATCH(A84,'Location Master'!$G$2:$G$502,0), IFERROR(MATCH(A84&amp;" (*",'Location Master'!$G$2:$G$502,0), MATCH(A84&amp;"*",'Location Master'!$G$2:$G$502,0)))), ""))</f>
        <v/>
      </c>
      <c r="E84" s="134"/>
      <c r="F84" s="134" t="str">
        <f>IF(OR(A84="",D84=""),"",SUMIFS('Stock Movement'!$F$2:$F$501,'Stock Movement'!$B$2:$B$501,A84,'Stock Movement'!$D$2:$D$501,D84,'Stock Movement'!$E$2:$E$501,"IN"))</f>
        <v/>
      </c>
      <c r="G84" s="134" t="str">
        <f>IF(OR(A84="",D84=""),"",SUMIFS('Stock Movement'!$F$2:$F$501,'Stock Movement'!$B$2:$B$501,A84,'Stock Movement'!$D$2:$D$501,D84,'Stock Movement'!$E$2:$E$501,"OUT"))</f>
        <v/>
      </c>
      <c r="H84" s="134" t="str">
        <f t="shared" si="1"/>
        <v/>
      </c>
      <c r="I84" s="88" t="str">
        <f>IF(A84="","",IFERROR(VLOOKUP(A84,'Material Master'!$A$2:$E$201,4,FALSE),""))</f>
        <v/>
      </c>
      <c r="J84" s="134" t="str">
        <f>IF(A84="","",IFERROR(VLOOKUP(A84,'Material Master'!$A$2:$E$201,5,FALSE),""))</f>
        <v/>
      </c>
      <c r="K84" s="135" t="str">
        <f t="shared" si="2"/>
        <v/>
      </c>
    </row>
    <row r="85" ht="24.0" customHeight="1">
      <c r="A85" s="82"/>
      <c r="B85" s="130" t="str">
        <f>IF(A85="","",IFERROR(VLOOKUP(A85,'Material Master'!$A$2:$E$201,2,FALSE),""))</f>
        <v/>
      </c>
      <c r="C85" s="82" t="str">
        <f>IF(A85="","",IFERROR(VLOOKUP(A85,'Material Master'!$A$2:$E$201,3,FALSE),""))</f>
        <v/>
      </c>
      <c r="D85" s="82" t="str">
        <f t="array" ref="D85">IF(A85="","",IFERROR(INDEX('Location Master'!$E$2:$E$502, IFERROR(MATCH(A85,'Location Master'!$G$2:$G$502,0), IFERROR(MATCH(A85&amp;" (*",'Location Master'!$G$2:$G$502,0), MATCH(A85&amp;"*",'Location Master'!$G$2:$G$502,0)))), ""))</f>
        <v/>
      </c>
      <c r="E85" s="131"/>
      <c r="F85" s="131" t="str">
        <f>IF(OR(A85="",D85=""),"",SUMIFS('Stock Movement'!$F$2:$F$501,'Stock Movement'!$B$2:$B$501,A85,'Stock Movement'!$D$2:$D$501,D85,'Stock Movement'!$E$2:$E$501,"IN"))</f>
        <v/>
      </c>
      <c r="G85" s="131" t="str">
        <f>IF(OR(A85="",D85=""),"",SUMIFS('Stock Movement'!$F$2:$F$501,'Stock Movement'!$B$2:$B$501,A85,'Stock Movement'!$D$2:$D$501,D85,'Stock Movement'!$E$2:$E$501,"OUT"))</f>
        <v/>
      </c>
      <c r="H85" s="131" t="str">
        <f t="shared" si="1"/>
        <v/>
      </c>
      <c r="I85" s="82" t="str">
        <f>IF(A85="","",IFERROR(VLOOKUP(A85,'Material Master'!$A$2:$E$201,4,FALSE),""))</f>
        <v/>
      </c>
      <c r="J85" s="131" t="str">
        <f>IF(A85="","",IFERROR(VLOOKUP(A85,'Material Master'!$A$2:$E$201,5,FALSE),""))</f>
        <v/>
      </c>
      <c r="K85" s="132" t="str">
        <f t="shared" si="2"/>
        <v/>
      </c>
    </row>
    <row r="86" ht="24.0" customHeight="1">
      <c r="A86" s="88"/>
      <c r="B86" s="133" t="str">
        <f>IF(A86="","",IFERROR(VLOOKUP(A86,'Material Master'!$A$2:$E$201,2,FALSE),""))</f>
        <v/>
      </c>
      <c r="C86" s="88" t="str">
        <f>IF(A86="","",IFERROR(VLOOKUP(A86,'Material Master'!$A$2:$E$201,3,FALSE),""))</f>
        <v/>
      </c>
      <c r="D86" s="88" t="str">
        <f t="array" ref="D86">IF(A86="","",IFERROR(INDEX('Location Master'!$E$2:$E$502, IFERROR(MATCH(A86,'Location Master'!$G$2:$G$502,0), IFERROR(MATCH(A86&amp;" (*",'Location Master'!$G$2:$G$502,0), MATCH(A86&amp;"*",'Location Master'!$G$2:$G$502,0)))), ""))</f>
        <v/>
      </c>
      <c r="E86" s="134"/>
      <c r="F86" s="134" t="str">
        <f>IF(OR(A86="",D86=""),"",SUMIFS('Stock Movement'!$F$2:$F$501,'Stock Movement'!$B$2:$B$501,A86,'Stock Movement'!$D$2:$D$501,D86,'Stock Movement'!$E$2:$E$501,"IN"))</f>
        <v/>
      </c>
      <c r="G86" s="134" t="str">
        <f>IF(OR(A86="",D86=""),"",SUMIFS('Stock Movement'!$F$2:$F$501,'Stock Movement'!$B$2:$B$501,A86,'Stock Movement'!$D$2:$D$501,D86,'Stock Movement'!$E$2:$E$501,"OUT"))</f>
        <v/>
      </c>
      <c r="H86" s="134" t="str">
        <f t="shared" si="1"/>
        <v/>
      </c>
      <c r="I86" s="88" t="str">
        <f>IF(A86="","",IFERROR(VLOOKUP(A86,'Material Master'!$A$2:$E$201,4,FALSE),""))</f>
        <v/>
      </c>
      <c r="J86" s="134" t="str">
        <f>IF(A86="","",IFERROR(VLOOKUP(A86,'Material Master'!$A$2:$E$201,5,FALSE),""))</f>
        <v/>
      </c>
      <c r="K86" s="135" t="str">
        <f t="shared" si="2"/>
        <v/>
      </c>
    </row>
    <row r="87" ht="24.0" customHeight="1">
      <c r="A87" s="82"/>
      <c r="B87" s="130" t="str">
        <f>IF(A87="","",IFERROR(VLOOKUP(A87,'Material Master'!$A$2:$E$201,2,FALSE),""))</f>
        <v/>
      </c>
      <c r="C87" s="82" t="str">
        <f>IF(A87="","",IFERROR(VLOOKUP(A87,'Material Master'!$A$2:$E$201,3,FALSE),""))</f>
        <v/>
      </c>
      <c r="D87" s="82" t="str">
        <f t="array" ref="D87">IF(A87="","",IFERROR(INDEX('Location Master'!$E$2:$E$502, IFERROR(MATCH(A87,'Location Master'!$G$2:$G$502,0), IFERROR(MATCH(A87&amp;" (*",'Location Master'!$G$2:$G$502,0), MATCH(A87&amp;"*",'Location Master'!$G$2:$G$502,0)))), ""))</f>
        <v/>
      </c>
      <c r="E87" s="131"/>
      <c r="F87" s="131" t="str">
        <f>IF(OR(A87="",D87=""),"",SUMIFS('Stock Movement'!$F$2:$F$501,'Stock Movement'!$B$2:$B$501,A87,'Stock Movement'!$D$2:$D$501,D87,'Stock Movement'!$E$2:$E$501,"IN"))</f>
        <v/>
      </c>
      <c r="G87" s="131" t="str">
        <f>IF(OR(A87="",D87=""),"",SUMIFS('Stock Movement'!$F$2:$F$501,'Stock Movement'!$B$2:$B$501,A87,'Stock Movement'!$D$2:$D$501,D87,'Stock Movement'!$E$2:$E$501,"OUT"))</f>
        <v/>
      </c>
      <c r="H87" s="131" t="str">
        <f t="shared" si="1"/>
        <v/>
      </c>
      <c r="I87" s="82" t="str">
        <f>IF(A87="","",IFERROR(VLOOKUP(A87,'Material Master'!$A$2:$E$201,4,FALSE),""))</f>
        <v/>
      </c>
      <c r="J87" s="131" t="str">
        <f>IF(A87="","",IFERROR(VLOOKUP(A87,'Material Master'!$A$2:$E$201,5,FALSE),""))</f>
        <v/>
      </c>
      <c r="K87" s="132" t="str">
        <f t="shared" si="2"/>
        <v/>
      </c>
    </row>
    <row r="88" ht="24.0" customHeight="1">
      <c r="A88" s="88"/>
      <c r="B88" s="133" t="str">
        <f>IF(A88="","",IFERROR(VLOOKUP(A88,'Material Master'!$A$2:$E$201,2,FALSE),""))</f>
        <v/>
      </c>
      <c r="C88" s="88" t="str">
        <f>IF(A88="","",IFERROR(VLOOKUP(A88,'Material Master'!$A$2:$E$201,3,FALSE),""))</f>
        <v/>
      </c>
      <c r="D88" s="88" t="str">
        <f t="array" ref="D88">IF(A88="","",IFERROR(INDEX('Location Master'!$E$2:$E$502, IFERROR(MATCH(A88,'Location Master'!$G$2:$G$502,0), IFERROR(MATCH(A88&amp;" (*",'Location Master'!$G$2:$G$502,0), MATCH(A88&amp;"*",'Location Master'!$G$2:$G$502,0)))), ""))</f>
        <v/>
      </c>
      <c r="E88" s="134"/>
      <c r="F88" s="134" t="str">
        <f>IF(OR(A88="",D88=""),"",SUMIFS('Stock Movement'!$F$2:$F$501,'Stock Movement'!$B$2:$B$501,A88,'Stock Movement'!$D$2:$D$501,D88,'Stock Movement'!$E$2:$E$501,"IN"))</f>
        <v/>
      </c>
      <c r="G88" s="134" t="str">
        <f>IF(OR(A88="",D88=""),"",SUMIFS('Stock Movement'!$F$2:$F$501,'Stock Movement'!$B$2:$B$501,A88,'Stock Movement'!$D$2:$D$501,D88,'Stock Movement'!$E$2:$E$501,"OUT"))</f>
        <v/>
      </c>
      <c r="H88" s="134" t="str">
        <f t="shared" si="1"/>
        <v/>
      </c>
      <c r="I88" s="88" t="str">
        <f>IF(A88="","",IFERROR(VLOOKUP(A88,'Material Master'!$A$2:$E$201,4,FALSE),""))</f>
        <v/>
      </c>
      <c r="J88" s="134" t="str">
        <f>IF(A88="","",IFERROR(VLOOKUP(A88,'Material Master'!$A$2:$E$201,5,FALSE),""))</f>
        <v/>
      </c>
      <c r="K88" s="135" t="str">
        <f t="shared" si="2"/>
        <v/>
      </c>
    </row>
    <row r="89" ht="24.0" customHeight="1">
      <c r="A89" s="82"/>
      <c r="B89" s="130" t="str">
        <f>IF(A89="","",IFERROR(VLOOKUP(A89,'Material Master'!$A$2:$E$201,2,FALSE),""))</f>
        <v/>
      </c>
      <c r="C89" s="82" t="str">
        <f>IF(A89="","",IFERROR(VLOOKUP(A89,'Material Master'!$A$2:$E$201,3,FALSE),""))</f>
        <v/>
      </c>
      <c r="D89" s="82" t="str">
        <f t="array" ref="D89">IF(A89="","",IFERROR(INDEX('Location Master'!$E$2:$E$502, IFERROR(MATCH(A89,'Location Master'!$G$2:$G$502,0), IFERROR(MATCH(A89&amp;" (*",'Location Master'!$G$2:$G$502,0), MATCH(A89&amp;"*",'Location Master'!$G$2:$G$502,0)))), ""))</f>
        <v/>
      </c>
      <c r="E89" s="131"/>
      <c r="F89" s="131" t="str">
        <f>IF(OR(A89="",D89=""),"",SUMIFS('Stock Movement'!$F$2:$F$501,'Stock Movement'!$B$2:$B$501,A89,'Stock Movement'!$D$2:$D$501,D89,'Stock Movement'!$E$2:$E$501,"IN"))</f>
        <v/>
      </c>
      <c r="G89" s="131" t="str">
        <f>IF(OR(A89="",D89=""),"",SUMIFS('Stock Movement'!$F$2:$F$501,'Stock Movement'!$B$2:$B$501,A89,'Stock Movement'!$D$2:$D$501,D89,'Stock Movement'!$E$2:$E$501,"OUT"))</f>
        <v/>
      </c>
      <c r="H89" s="131" t="str">
        <f t="shared" si="1"/>
        <v/>
      </c>
      <c r="I89" s="82" t="str">
        <f>IF(A89="","",IFERROR(VLOOKUP(A89,'Material Master'!$A$2:$E$201,4,FALSE),""))</f>
        <v/>
      </c>
      <c r="J89" s="131" t="str">
        <f>IF(A89="","",IFERROR(VLOOKUP(A89,'Material Master'!$A$2:$E$201,5,FALSE),""))</f>
        <v/>
      </c>
      <c r="K89" s="132" t="str">
        <f t="shared" si="2"/>
        <v/>
      </c>
    </row>
    <row r="90" ht="24.0" customHeight="1">
      <c r="A90" s="88"/>
      <c r="B90" s="133" t="str">
        <f>IF(A90="","",IFERROR(VLOOKUP(A90,'Material Master'!$A$2:$E$201,2,FALSE),""))</f>
        <v/>
      </c>
      <c r="C90" s="88" t="str">
        <f>IF(A90="","",IFERROR(VLOOKUP(A90,'Material Master'!$A$2:$E$201,3,FALSE),""))</f>
        <v/>
      </c>
      <c r="D90" s="88" t="str">
        <f t="array" ref="D90">IF(A90="","",IFERROR(INDEX('Location Master'!$E$2:$E$502, IFERROR(MATCH(A90,'Location Master'!$G$2:$G$502,0), IFERROR(MATCH(A90&amp;" (*",'Location Master'!$G$2:$G$502,0), MATCH(A90&amp;"*",'Location Master'!$G$2:$G$502,0)))), ""))</f>
        <v/>
      </c>
      <c r="E90" s="134"/>
      <c r="F90" s="134" t="str">
        <f>IF(OR(A90="",D90=""),"",SUMIFS('Stock Movement'!$F$2:$F$501,'Stock Movement'!$B$2:$B$501,A90,'Stock Movement'!$D$2:$D$501,D90,'Stock Movement'!$E$2:$E$501,"IN"))</f>
        <v/>
      </c>
      <c r="G90" s="134" t="str">
        <f>IF(OR(A90="",D90=""),"",SUMIFS('Stock Movement'!$F$2:$F$501,'Stock Movement'!$B$2:$B$501,A90,'Stock Movement'!$D$2:$D$501,D90,'Stock Movement'!$E$2:$E$501,"OUT"))</f>
        <v/>
      </c>
      <c r="H90" s="134" t="str">
        <f t="shared" si="1"/>
        <v/>
      </c>
      <c r="I90" s="88" t="str">
        <f>IF(A90="","",IFERROR(VLOOKUP(A90,'Material Master'!$A$2:$E$201,4,FALSE),""))</f>
        <v/>
      </c>
      <c r="J90" s="134" t="str">
        <f>IF(A90="","",IFERROR(VLOOKUP(A90,'Material Master'!$A$2:$E$201,5,FALSE),""))</f>
        <v/>
      </c>
      <c r="K90" s="135" t="str">
        <f t="shared" si="2"/>
        <v/>
      </c>
    </row>
    <row r="91" ht="24.0" customHeight="1">
      <c r="A91" s="82"/>
      <c r="B91" s="130" t="str">
        <f>IF(A91="","",IFERROR(VLOOKUP(A91,'Material Master'!$A$2:$E$201,2,FALSE),""))</f>
        <v/>
      </c>
      <c r="C91" s="82" t="str">
        <f>IF(A91="","",IFERROR(VLOOKUP(A91,'Material Master'!$A$2:$E$201,3,FALSE),""))</f>
        <v/>
      </c>
      <c r="D91" s="82" t="str">
        <f t="array" ref="D91">IF(A91="","",IFERROR(INDEX('Location Master'!$E$2:$E$502, IFERROR(MATCH(A91,'Location Master'!$G$2:$G$502,0), IFERROR(MATCH(A91&amp;" (*",'Location Master'!$G$2:$G$502,0), MATCH(A91&amp;"*",'Location Master'!$G$2:$G$502,0)))), ""))</f>
        <v/>
      </c>
      <c r="E91" s="131"/>
      <c r="F91" s="131" t="str">
        <f>IF(OR(A91="",D91=""),"",SUMIFS('Stock Movement'!$F$2:$F$501,'Stock Movement'!$B$2:$B$501,A91,'Stock Movement'!$D$2:$D$501,D91,'Stock Movement'!$E$2:$E$501,"IN"))</f>
        <v/>
      </c>
      <c r="G91" s="131" t="str">
        <f>IF(OR(A91="",D91=""),"",SUMIFS('Stock Movement'!$F$2:$F$501,'Stock Movement'!$B$2:$B$501,A91,'Stock Movement'!$D$2:$D$501,D91,'Stock Movement'!$E$2:$E$501,"OUT"))</f>
        <v/>
      </c>
      <c r="H91" s="131" t="str">
        <f t="shared" si="1"/>
        <v/>
      </c>
      <c r="I91" s="82" t="str">
        <f>IF(A91="","",IFERROR(VLOOKUP(A91,'Material Master'!$A$2:$E$201,4,FALSE),""))</f>
        <v/>
      </c>
      <c r="J91" s="131" t="str">
        <f>IF(A91="","",IFERROR(VLOOKUP(A91,'Material Master'!$A$2:$E$201,5,FALSE),""))</f>
        <v/>
      </c>
      <c r="K91" s="132" t="str">
        <f t="shared" si="2"/>
        <v/>
      </c>
    </row>
    <row r="92" ht="24.0" customHeight="1">
      <c r="A92" s="88"/>
      <c r="B92" s="133" t="str">
        <f>IF(A92="","",IFERROR(VLOOKUP(A92,'Material Master'!$A$2:$E$201,2,FALSE),""))</f>
        <v/>
      </c>
      <c r="C92" s="88" t="str">
        <f>IF(A92="","",IFERROR(VLOOKUP(A92,'Material Master'!$A$2:$E$201,3,FALSE),""))</f>
        <v/>
      </c>
      <c r="D92" s="88" t="str">
        <f t="array" ref="D92">IF(A92="","",IFERROR(INDEX('Location Master'!$E$2:$E$502, IFERROR(MATCH(A92,'Location Master'!$G$2:$G$502,0), IFERROR(MATCH(A92&amp;" (*",'Location Master'!$G$2:$G$502,0), MATCH(A92&amp;"*",'Location Master'!$G$2:$G$502,0)))), ""))</f>
        <v/>
      </c>
      <c r="E92" s="134"/>
      <c r="F92" s="134" t="str">
        <f>IF(OR(A92="",D92=""),"",SUMIFS('Stock Movement'!$F$2:$F$501,'Stock Movement'!$B$2:$B$501,A92,'Stock Movement'!$D$2:$D$501,D92,'Stock Movement'!$E$2:$E$501,"IN"))</f>
        <v/>
      </c>
      <c r="G92" s="134" t="str">
        <f>IF(OR(A92="",D92=""),"",SUMIFS('Stock Movement'!$F$2:$F$501,'Stock Movement'!$B$2:$B$501,A92,'Stock Movement'!$D$2:$D$501,D92,'Stock Movement'!$E$2:$E$501,"OUT"))</f>
        <v/>
      </c>
      <c r="H92" s="134" t="str">
        <f t="shared" si="1"/>
        <v/>
      </c>
      <c r="I92" s="88" t="str">
        <f>IF(A92="","",IFERROR(VLOOKUP(A92,'Material Master'!$A$2:$E$201,4,FALSE),""))</f>
        <v/>
      </c>
      <c r="J92" s="134" t="str">
        <f>IF(A92="","",IFERROR(VLOOKUP(A92,'Material Master'!$A$2:$E$201,5,FALSE),""))</f>
        <v/>
      </c>
      <c r="K92" s="135" t="str">
        <f t="shared" si="2"/>
        <v/>
      </c>
    </row>
    <row r="93" ht="24.0" customHeight="1">
      <c r="A93" s="82"/>
      <c r="B93" s="130" t="str">
        <f>IF(A93="","",IFERROR(VLOOKUP(A93,'Material Master'!$A$2:$E$201,2,FALSE),""))</f>
        <v/>
      </c>
      <c r="C93" s="82" t="str">
        <f>IF(A93="","",IFERROR(VLOOKUP(A93,'Material Master'!$A$2:$E$201,3,FALSE),""))</f>
        <v/>
      </c>
      <c r="D93" s="82" t="str">
        <f t="array" ref="D93">IF(A93="","",IFERROR(INDEX('Location Master'!$E$2:$E$502, IFERROR(MATCH(A93,'Location Master'!$G$2:$G$502,0), IFERROR(MATCH(A93&amp;" (*",'Location Master'!$G$2:$G$502,0), MATCH(A93&amp;"*",'Location Master'!$G$2:$G$502,0)))), ""))</f>
        <v/>
      </c>
      <c r="E93" s="131"/>
      <c r="F93" s="131" t="str">
        <f>IF(OR(A93="",D93=""),"",SUMIFS('Stock Movement'!$F$2:$F$501,'Stock Movement'!$B$2:$B$501,A93,'Stock Movement'!$D$2:$D$501,D93,'Stock Movement'!$E$2:$E$501,"IN"))</f>
        <v/>
      </c>
      <c r="G93" s="131" t="str">
        <f>IF(OR(A93="",D93=""),"",SUMIFS('Stock Movement'!$F$2:$F$501,'Stock Movement'!$B$2:$B$501,A93,'Stock Movement'!$D$2:$D$501,D93,'Stock Movement'!$E$2:$E$501,"OUT"))</f>
        <v/>
      </c>
      <c r="H93" s="131" t="str">
        <f t="shared" si="1"/>
        <v/>
      </c>
      <c r="I93" s="82" t="str">
        <f>IF(A93="","",IFERROR(VLOOKUP(A93,'Material Master'!$A$2:$E$201,4,FALSE),""))</f>
        <v/>
      </c>
      <c r="J93" s="131" t="str">
        <f>IF(A93="","",IFERROR(VLOOKUP(A93,'Material Master'!$A$2:$E$201,5,FALSE),""))</f>
        <v/>
      </c>
      <c r="K93" s="132" t="str">
        <f t="shared" si="2"/>
        <v/>
      </c>
    </row>
    <row r="94" ht="24.0" customHeight="1">
      <c r="A94" s="88"/>
      <c r="B94" s="133" t="str">
        <f>IF(A94="","",IFERROR(VLOOKUP(A94,'Material Master'!$A$2:$E$201,2,FALSE),""))</f>
        <v/>
      </c>
      <c r="C94" s="88" t="str">
        <f>IF(A94="","",IFERROR(VLOOKUP(A94,'Material Master'!$A$2:$E$201,3,FALSE),""))</f>
        <v/>
      </c>
      <c r="D94" s="88" t="str">
        <f t="array" ref="D94">IF(A94="","",IFERROR(INDEX('Location Master'!$E$2:$E$502, IFERROR(MATCH(A94,'Location Master'!$G$2:$G$502,0), IFERROR(MATCH(A94&amp;" (*",'Location Master'!$G$2:$G$502,0), MATCH(A94&amp;"*",'Location Master'!$G$2:$G$502,0)))), ""))</f>
        <v/>
      </c>
      <c r="E94" s="134"/>
      <c r="F94" s="134" t="str">
        <f>IF(OR(A94="",D94=""),"",SUMIFS('Stock Movement'!$F$2:$F$501,'Stock Movement'!$B$2:$B$501,A94,'Stock Movement'!$D$2:$D$501,D94,'Stock Movement'!$E$2:$E$501,"IN"))</f>
        <v/>
      </c>
      <c r="G94" s="134" t="str">
        <f>IF(OR(A94="",D94=""),"",SUMIFS('Stock Movement'!$F$2:$F$501,'Stock Movement'!$B$2:$B$501,A94,'Stock Movement'!$D$2:$D$501,D94,'Stock Movement'!$E$2:$E$501,"OUT"))</f>
        <v/>
      </c>
      <c r="H94" s="134" t="str">
        <f t="shared" si="1"/>
        <v/>
      </c>
      <c r="I94" s="88" t="str">
        <f>IF(A94="","",IFERROR(VLOOKUP(A94,'Material Master'!$A$2:$E$201,4,FALSE),""))</f>
        <v/>
      </c>
      <c r="J94" s="134" t="str">
        <f>IF(A94="","",IFERROR(VLOOKUP(A94,'Material Master'!$A$2:$E$201,5,FALSE),""))</f>
        <v/>
      </c>
      <c r="K94" s="135" t="str">
        <f t="shared" si="2"/>
        <v/>
      </c>
    </row>
    <row r="95" ht="24.0" customHeight="1">
      <c r="A95" s="82"/>
      <c r="B95" s="130" t="str">
        <f>IF(A95="","",IFERROR(VLOOKUP(A95,'Material Master'!$A$2:$E$201,2,FALSE),""))</f>
        <v/>
      </c>
      <c r="C95" s="82" t="str">
        <f>IF(A95="","",IFERROR(VLOOKUP(A95,'Material Master'!$A$2:$E$201,3,FALSE),""))</f>
        <v/>
      </c>
      <c r="D95" s="82" t="str">
        <f t="array" ref="D95">IF(A95="","",IFERROR(INDEX('Location Master'!$E$2:$E$502, IFERROR(MATCH(A95,'Location Master'!$G$2:$G$502,0), IFERROR(MATCH(A95&amp;" (*",'Location Master'!$G$2:$G$502,0), MATCH(A95&amp;"*",'Location Master'!$G$2:$G$502,0)))), ""))</f>
        <v/>
      </c>
      <c r="E95" s="131"/>
      <c r="F95" s="131" t="str">
        <f>IF(OR(A95="",D95=""),"",SUMIFS('Stock Movement'!$F$2:$F$501,'Stock Movement'!$B$2:$B$501,A95,'Stock Movement'!$D$2:$D$501,D95,'Stock Movement'!$E$2:$E$501,"IN"))</f>
        <v/>
      </c>
      <c r="G95" s="131" t="str">
        <f>IF(OR(A95="",D95=""),"",SUMIFS('Stock Movement'!$F$2:$F$501,'Stock Movement'!$B$2:$B$501,A95,'Stock Movement'!$D$2:$D$501,D95,'Stock Movement'!$E$2:$E$501,"OUT"))</f>
        <v/>
      </c>
      <c r="H95" s="131" t="str">
        <f t="shared" si="1"/>
        <v/>
      </c>
      <c r="I95" s="82" t="str">
        <f>IF(A95="","",IFERROR(VLOOKUP(A95,'Material Master'!$A$2:$E$201,4,FALSE),""))</f>
        <v/>
      </c>
      <c r="J95" s="131" t="str">
        <f>IF(A95="","",IFERROR(VLOOKUP(A95,'Material Master'!$A$2:$E$201,5,FALSE),""))</f>
        <v/>
      </c>
      <c r="K95" s="132" t="str">
        <f t="shared" si="2"/>
        <v/>
      </c>
    </row>
    <row r="96" ht="24.0" customHeight="1">
      <c r="A96" s="88"/>
      <c r="B96" s="133" t="str">
        <f>IF(A96="","",IFERROR(VLOOKUP(A96,'Material Master'!$A$2:$E$201,2,FALSE),""))</f>
        <v/>
      </c>
      <c r="C96" s="88" t="str">
        <f>IF(A96="","",IFERROR(VLOOKUP(A96,'Material Master'!$A$2:$E$201,3,FALSE),""))</f>
        <v/>
      </c>
      <c r="D96" s="88" t="str">
        <f t="array" ref="D96">IF(A96="","",IFERROR(INDEX('Location Master'!$E$2:$E$502, IFERROR(MATCH(A96,'Location Master'!$G$2:$G$502,0), IFERROR(MATCH(A96&amp;" (*",'Location Master'!$G$2:$G$502,0), MATCH(A96&amp;"*",'Location Master'!$G$2:$G$502,0)))), ""))</f>
        <v/>
      </c>
      <c r="E96" s="134"/>
      <c r="F96" s="134" t="str">
        <f>IF(OR(A96="",D96=""),"",SUMIFS('Stock Movement'!$F$2:$F$501,'Stock Movement'!$B$2:$B$501,A96,'Stock Movement'!$D$2:$D$501,D96,'Stock Movement'!$E$2:$E$501,"IN"))</f>
        <v/>
      </c>
      <c r="G96" s="134" t="str">
        <f>IF(OR(A96="",D96=""),"",SUMIFS('Stock Movement'!$F$2:$F$501,'Stock Movement'!$B$2:$B$501,A96,'Stock Movement'!$D$2:$D$501,D96,'Stock Movement'!$E$2:$E$501,"OUT"))</f>
        <v/>
      </c>
      <c r="H96" s="134" t="str">
        <f t="shared" si="1"/>
        <v/>
      </c>
      <c r="I96" s="88" t="str">
        <f>IF(A96="","",IFERROR(VLOOKUP(A96,'Material Master'!$A$2:$E$201,4,FALSE),""))</f>
        <v/>
      </c>
      <c r="J96" s="134" t="str">
        <f>IF(A96="","",IFERROR(VLOOKUP(A96,'Material Master'!$A$2:$E$201,5,FALSE),""))</f>
        <v/>
      </c>
      <c r="K96" s="135" t="str">
        <f t="shared" si="2"/>
        <v/>
      </c>
    </row>
    <row r="97" ht="24.0" customHeight="1">
      <c r="A97" s="82"/>
      <c r="B97" s="130" t="str">
        <f>IF(A97="","",IFERROR(VLOOKUP(A97,'Material Master'!$A$2:$E$201,2,FALSE),""))</f>
        <v/>
      </c>
      <c r="C97" s="82" t="str">
        <f>IF(A97="","",IFERROR(VLOOKUP(A97,'Material Master'!$A$2:$E$201,3,FALSE),""))</f>
        <v/>
      </c>
      <c r="D97" s="82" t="str">
        <f t="array" ref="D97">IF(A97="","",IFERROR(INDEX('Location Master'!$E$2:$E$502, IFERROR(MATCH(A97,'Location Master'!$G$2:$G$502,0), IFERROR(MATCH(A97&amp;" (*",'Location Master'!$G$2:$G$502,0), MATCH(A97&amp;"*",'Location Master'!$G$2:$G$502,0)))), ""))</f>
        <v/>
      </c>
      <c r="E97" s="131"/>
      <c r="F97" s="131" t="str">
        <f>IF(OR(A97="",D97=""),"",SUMIFS('Stock Movement'!$F$2:$F$501,'Stock Movement'!$B$2:$B$501,A97,'Stock Movement'!$D$2:$D$501,D97,'Stock Movement'!$E$2:$E$501,"IN"))</f>
        <v/>
      </c>
      <c r="G97" s="131" t="str">
        <f>IF(OR(A97="",D97=""),"",SUMIFS('Stock Movement'!$F$2:$F$501,'Stock Movement'!$B$2:$B$501,A97,'Stock Movement'!$D$2:$D$501,D97,'Stock Movement'!$E$2:$E$501,"OUT"))</f>
        <v/>
      </c>
      <c r="H97" s="131" t="str">
        <f t="shared" si="1"/>
        <v/>
      </c>
      <c r="I97" s="82" t="str">
        <f>IF(A97="","",IFERROR(VLOOKUP(A97,'Material Master'!$A$2:$E$201,4,FALSE),""))</f>
        <v/>
      </c>
      <c r="J97" s="131" t="str">
        <f>IF(A97="","",IFERROR(VLOOKUP(A97,'Material Master'!$A$2:$E$201,5,FALSE),""))</f>
        <v/>
      </c>
      <c r="K97" s="132" t="str">
        <f t="shared" si="2"/>
        <v/>
      </c>
    </row>
    <row r="98" ht="24.0" customHeight="1">
      <c r="A98" s="88"/>
      <c r="B98" s="133" t="str">
        <f>IF(A98="","",IFERROR(VLOOKUP(A98,'Material Master'!$A$2:$E$201,2,FALSE),""))</f>
        <v/>
      </c>
      <c r="C98" s="88" t="str">
        <f>IF(A98="","",IFERROR(VLOOKUP(A98,'Material Master'!$A$2:$E$201,3,FALSE),""))</f>
        <v/>
      </c>
      <c r="D98" s="88" t="str">
        <f t="array" ref="D98">IF(A98="","",IFERROR(INDEX('Location Master'!$E$2:$E$502, IFERROR(MATCH(A98,'Location Master'!$G$2:$G$502,0), IFERROR(MATCH(A98&amp;" (*",'Location Master'!$G$2:$G$502,0), MATCH(A98&amp;"*",'Location Master'!$G$2:$G$502,0)))), ""))</f>
        <v/>
      </c>
      <c r="E98" s="134"/>
      <c r="F98" s="134" t="str">
        <f>IF(OR(A98="",D98=""),"",SUMIFS('Stock Movement'!$F$2:$F$501,'Stock Movement'!$B$2:$B$501,A98,'Stock Movement'!$D$2:$D$501,D98,'Stock Movement'!$E$2:$E$501,"IN"))</f>
        <v/>
      </c>
      <c r="G98" s="134" t="str">
        <f>IF(OR(A98="",D98=""),"",SUMIFS('Stock Movement'!$F$2:$F$501,'Stock Movement'!$B$2:$B$501,A98,'Stock Movement'!$D$2:$D$501,D98,'Stock Movement'!$E$2:$E$501,"OUT"))</f>
        <v/>
      </c>
      <c r="H98" s="134" t="str">
        <f t="shared" si="1"/>
        <v/>
      </c>
      <c r="I98" s="88" t="str">
        <f>IF(A98="","",IFERROR(VLOOKUP(A98,'Material Master'!$A$2:$E$201,4,FALSE),""))</f>
        <v/>
      </c>
      <c r="J98" s="134" t="str">
        <f>IF(A98="","",IFERROR(VLOOKUP(A98,'Material Master'!$A$2:$E$201,5,FALSE),""))</f>
        <v/>
      </c>
      <c r="K98" s="135" t="str">
        <f t="shared" si="2"/>
        <v/>
      </c>
    </row>
    <row r="99" ht="24.0" customHeight="1">
      <c r="A99" s="82"/>
      <c r="B99" s="130" t="str">
        <f>IF(A99="","",IFERROR(VLOOKUP(A99,'Material Master'!$A$2:$E$201,2,FALSE),""))</f>
        <v/>
      </c>
      <c r="C99" s="82" t="str">
        <f>IF(A99="","",IFERROR(VLOOKUP(A99,'Material Master'!$A$2:$E$201,3,FALSE),""))</f>
        <v/>
      </c>
      <c r="D99" s="82" t="str">
        <f t="array" ref="D99">IF(A99="","",IFERROR(INDEX('Location Master'!$E$2:$E$502, IFERROR(MATCH(A99,'Location Master'!$G$2:$G$502,0), IFERROR(MATCH(A99&amp;" (*",'Location Master'!$G$2:$G$502,0), MATCH(A99&amp;"*",'Location Master'!$G$2:$G$502,0)))), ""))</f>
        <v/>
      </c>
      <c r="E99" s="131"/>
      <c r="F99" s="131" t="str">
        <f>IF(OR(A99="",D99=""),"",SUMIFS('Stock Movement'!$F$2:$F$501,'Stock Movement'!$B$2:$B$501,A99,'Stock Movement'!$D$2:$D$501,D99,'Stock Movement'!$E$2:$E$501,"IN"))</f>
        <v/>
      </c>
      <c r="G99" s="131" t="str">
        <f>IF(OR(A99="",D99=""),"",SUMIFS('Stock Movement'!$F$2:$F$501,'Stock Movement'!$B$2:$B$501,A99,'Stock Movement'!$D$2:$D$501,D99,'Stock Movement'!$E$2:$E$501,"OUT"))</f>
        <v/>
      </c>
      <c r="H99" s="131" t="str">
        <f t="shared" si="1"/>
        <v/>
      </c>
      <c r="I99" s="82" t="str">
        <f>IF(A99="","",IFERROR(VLOOKUP(A99,'Material Master'!$A$2:$E$201,4,FALSE),""))</f>
        <v/>
      </c>
      <c r="J99" s="131" t="str">
        <f>IF(A99="","",IFERROR(VLOOKUP(A99,'Material Master'!$A$2:$E$201,5,FALSE),""))</f>
        <v/>
      </c>
      <c r="K99" s="132" t="str">
        <f t="shared" si="2"/>
        <v/>
      </c>
    </row>
    <row r="100" ht="24.0" customHeight="1">
      <c r="A100" s="88"/>
      <c r="B100" s="133" t="str">
        <f>IF(A100="","",IFERROR(VLOOKUP(A100,'Material Master'!$A$2:$E$201,2,FALSE),""))</f>
        <v/>
      </c>
      <c r="C100" s="88" t="str">
        <f>IF(A100="","",IFERROR(VLOOKUP(A100,'Material Master'!$A$2:$E$201,3,FALSE),""))</f>
        <v/>
      </c>
      <c r="D100" s="88" t="str">
        <f t="array" ref="D100">IF(A100="","",IFERROR(INDEX('Location Master'!$E$2:$E$502, IFERROR(MATCH(A100,'Location Master'!$G$2:$G$502,0), IFERROR(MATCH(A100&amp;" (*",'Location Master'!$G$2:$G$502,0), MATCH(A100&amp;"*",'Location Master'!$G$2:$G$502,0)))), ""))</f>
        <v/>
      </c>
      <c r="E100" s="134"/>
      <c r="F100" s="134" t="str">
        <f>IF(OR(A100="",D100=""),"",SUMIFS('Stock Movement'!$F$2:$F$501,'Stock Movement'!$B$2:$B$501,A100,'Stock Movement'!$D$2:$D$501,D100,'Stock Movement'!$E$2:$E$501,"IN"))</f>
        <v/>
      </c>
      <c r="G100" s="134" t="str">
        <f>IF(OR(A100="",D100=""),"",SUMIFS('Stock Movement'!$F$2:$F$501,'Stock Movement'!$B$2:$B$501,A100,'Stock Movement'!$D$2:$D$501,D100,'Stock Movement'!$E$2:$E$501,"OUT"))</f>
        <v/>
      </c>
      <c r="H100" s="134" t="str">
        <f t="shared" si="1"/>
        <v/>
      </c>
      <c r="I100" s="88" t="str">
        <f>IF(A100="","",IFERROR(VLOOKUP(A100,'Material Master'!$A$2:$E$201,4,FALSE),""))</f>
        <v/>
      </c>
      <c r="J100" s="134" t="str">
        <f>IF(A100="","",IFERROR(VLOOKUP(A100,'Material Master'!$A$2:$E$201,5,FALSE),""))</f>
        <v/>
      </c>
      <c r="K100" s="135" t="str">
        <f t="shared" si="2"/>
        <v/>
      </c>
    </row>
    <row r="101" ht="24.0" customHeight="1">
      <c r="A101" s="82"/>
      <c r="B101" s="130" t="str">
        <f>IF(A101="","",IFERROR(VLOOKUP(A101,'Material Master'!$A$2:$E$201,2,FALSE),""))</f>
        <v/>
      </c>
      <c r="C101" s="82" t="str">
        <f>IF(A101="","",IFERROR(VLOOKUP(A101,'Material Master'!$A$2:$E$201,3,FALSE),""))</f>
        <v/>
      </c>
      <c r="D101" s="82" t="str">
        <f t="array" ref="D101">IF(A101="","",IFERROR(INDEX('Location Master'!$E$2:$E$502, IFERROR(MATCH(A101,'Location Master'!$G$2:$G$502,0), IFERROR(MATCH(A101&amp;" (*",'Location Master'!$G$2:$G$502,0), MATCH(A101&amp;"*",'Location Master'!$G$2:$G$502,0)))), ""))</f>
        <v/>
      </c>
      <c r="E101" s="131"/>
      <c r="F101" s="131" t="str">
        <f>IF(OR(A101="",D101=""),"",SUMIFS('Stock Movement'!$F$2:$F$501,'Stock Movement'!$B$2:$B$501,A101,'Stock Movement'!$D$2:$D$501,D101,'Stock Movement'!$E$2:$E$501,"IN"))</f>
        <v/>
      </c>
      <c r="G101" s="131" t="str">
        <f>IF(OR(A101="",D101=""),"",SUMIFS('Stock Movement'!$F$2:$F$501,'Stock Movement'!$B$2:$B$501,A101,'Stock Movement'!$D$2:$D$501,D101,'Stock Movement'!$E$2:$E$501,"OUT"))</f>
        <v/>
      </c>
      <c r="H101" s="131" t="str">
        <f t="shared" si="1"/>
        <v/>
      </c>
      <c r="I101" s="82" t="str">
        <f>IF(A101="","",IFERROR(VLOOKUP(A101,'Material Master'!$A$2:$E$201,4,FALSE),""))</f>
        <v/>
      </c>
      <c r="J101" s="131" t="str">
        <f>IF(A101="","",IFERROR(VLOOKUP(A101,'Material Master'!$A$2:$E$201,5,FALSE),""))</f>
        <v/>
      </c>
      <c r="K101" s="132" t="str">
        <f t="shared" si="2"/>
        <v/>
      </c>
    </row>
    <row r="102" ht="24.0" customHeight="1">
      <c r="A102" s="88"/>
      <c r="B102" s="133" t="str">
        <f>IF(A102="","",IFERROR(VLOOKUP(A102,'Material Master'!$A$2:$E$201,2,FALSE),""))</f>
        <v/>
      </c>
      <c r="C102" s="88" t="str">
        <f>IF(A102="","",IFERROR(VLOOKUP(A102,'Material Master'!$A$2:$E$201,3,FALSE),""))</f>
        <v/>
      </c>
      <c r="D102" s="88" t="str">
        <f t="array" ref="D102">IF(A102="","",IFERROR(INDEX('Location Master'!$E$2:$E$502, IFERROR(MATCH(A102,'Location Master'!$G$2:$G$502,0), IFERROR(MATCH(A102&amp;" (*",'Location Master'!$G$2:$G$502,0), MATCH(A102&amp;"*",'Location Master'!$G$2:$G$502,0)))), ""))</f>
        <v/>
      </c>
      <c r="E102" s="134"/>
      <c r="F102" s="134" t="str">
        <f>IF(OR(A102="",D102=""),"",SUMIFS('Stock Movement'!$F$2:$F$501,'Stock Movement'!$B$2:$B$501,A102,'Stock Movement'!$D$2:$D$501,D102,'Stock Movement'!$E$2:$E$501,"IN"))</f>
        <v/>
      </c>
      <c r="G102" s="134" t="str">
        <f>IF(OR(A102="",D102=""),"",SUMIFS('Stock Movement'!$F$2:$F$501,'Stock Movement'!$B$2:$B$501,A102,'Stock Movement'!$D$2:$D$501,D102,'Stock Movement'!$E$2:$E$501,"OUT"))</f>
        <v/>
      </c>
      <c r="H102" s="134" t="str">
        <f t="shared" si="1"/>
        <v/>
      </c>
      <c r="I102" s="88" t="str">
        <f>IF(A102="","",IFERROR(VLOOKUP(A102,'Material Master'!$A$2:$E$201,4,FALSE),""))</f>
        <v/>
      </c>
      <c r="J102" s="134" t="str">
        <f>IF(A102="","",IFERROR(VLOOKUP(A102,'Material Master'!$A$2:$E$201,5,FALSE),""))</f>
        <v/>
      </c>
      <c r="K102" s="135" t="str">
        <f t="shared" si="2"/>
        <v/>
      </c>
    </row>
    <row r="103" ht="24.0" customHeight="1">
      <c r="A103" s="82"/>
      <c r="B103" s="130" t="str">
        <f>IF(A103="","",IFERROR(VLOOKUP(A103,'Material Master'!$A$2:$E$201,2,FALSE),""))</f>
        <v/>
      </c>
      <c r="C103" s="82" t="str">
        <f>IF(A103="","",IFERROR(VLOOKUP(A103,'Material Master'!$A$2:$E$201,3,FALSE),""))</f>
        <v/>
      </c>
      <c r="D103" s="82" t="str">
        <f t="array" ref="D103">IF(A103="","",IFERROR(INDEX('Location Master'!$E$2:$E$502, IFERROR(MATCH(A103,'Location Master'!$G$2:$G$502,0), IFERROR(MATCH(A103&amp;" (*",'Location Master'!$G$2:$G$502,0), MATCH(A103&amp;"*",'Location Master'!$G$2:$G$502,0)))), ""))</f>
        <v/>
      </c>
      <c r="E103" s="131"/>
      <c r="F103" s="131" t="str">
        <f>IF(OR(A103="",D103=""),"",SUMIFS('Stock Movement'!$F$2:$F$501,'Stock Movement'!$B$2:$B$501,A103,'Stock Movement'!$D$2:$D$501,D103,'Stock Movement'!$E$2:$E$501,"IN"))</f>
        <v/>
      </c>
      <c r="G103" s="131" t="str">
        <f>IF(OR(A103="",D103=""),"",SUMIFS('Stock Movement'!$F$2:$F$501,'Stock Movement'!$B$2:$B$501,A103,'Stock Movement'!$D$2:$D$501,D103,'Stock Movement'!$E$2:$E$501,"OUT"))</f>
        <v/>
      </c>
      <c r="H103" s="131" t="str">
        <f t="shared" si="1"/>
        <v/>
      </c>
      <c r="I103" s="82" t="str">
        <f>IF(A103="","",IFERROR(VLOOKUP(A103,'Material Master'!$A$2:$E$201,4,FALSE),""))</f>
        <v/>
      </c>
      <c r="J103" s="131" t="str">
        <f>IF(A103="","",IFERROR(VLOOKUP(A103,'Material Master'!$A$2:$E$201,5,FALSE),""))</f>
        <v/>
      </c>
      <c r="K103" s="132" t="str">
        <f t="shared" si="2"/>
        <v/>
      </c>
    </row>
    <row r="104" ht="24.0" customHeight="1">
      <c r="A104" s="88"/>
      <c r="B104" s="133" t="str">
        <f>IF(A104="","",IFERROR(VLOOKUP(A104,'Material Master'!$A$2:$E$201,2,FALSE),""))</f>
        <v/>
      </c>
      <c r="C104" s="88" t="str">
        <f>IF(A104="","",IFERROR(VLOOKUP(A104,'Material Master'!$A$2:$E$201,3,FALSE),""))</f>
        <v/>
      </c>
      <c r="D104" s="88" t="str">
        <f t="array" ref="D104">IF(A104="","",IFERROR(INDEX('Location Master'!$E$2:$E$502, IFERROR(MATCH(A104,'Location Master'!$G$2:$G$502,0), IFERROR(MATCH(A104&amp;" (*",'Location Master'!$G$2:$G$502,0), MATCH(A104&amp;"*",'Location Master'!$G$2:$G$502,0)))), ""))</f>
        <v/>
      </c>
      <c r="E104" s="134"/>
      <c r="F104" s="134" t="str">
        <f>IF(OR(A104="",D104=""),"",SUMIFS('Stock Movement'!$F$2:$F$501,'Stock Movement'!$B$2:$B$501,A104,'Stock Movement'!$D$2:$D$501,D104,'Stock Movement'!$E$2:$E$501,"IN"))</f>
        <v/>
      </c>
      <c r="G104" s="134" t="str">
        <f>IF(OR(A104="",D104=""),"",SUMIFS('Stock Movement'!$F$2:$F$501,'Stock Movement'!$B$2:$B$501,A104,'Stock Movement'!$D$2:$D$501,D104,'Stock Movement'!$E$2:$E$501,"OUT"))</f>
        <v/>
      </c>
      <c r="H104" s="134" t="str">
        <f t="shared" si="1"/>
        <v/>
      </c>
      <c r="I104" s="88" t="str">
        <f>IF(A104="","",IFERROR(VLOOKUP(A104,'Material Master'!$A$2:$E$201,4,FALSE),""))</f>
        <v/>
      </c>
      <c r="J104" s="134" t="str">
        <f>IF(A104="","",IFERROR(VLOOKUP(A104,'Material Master'!$A$2:$E$201,5,FALSE),""))</f>
        <v/>
      </c>
      <c r="K104" s="135" t="str">
        <f t="shared" si="2"/>
        <v/>
      </c>
    </row>
    <row r="105" ht="24.0" customHeight="1">
      <c r="A105" s="82"/>
      <c r="B105" s="130" t="str">
        <f>IF(A105="","",IFERROR(VLOOKUP(A105,'Material Master'!$A$2:$E$201,2,FALSE),""))</f>
        <v/>
      </c>
      <c r="C105" s="82" t="str">
        <f>IF(A105="","",IFERROR(VLOOKUP(A105,'Material Master'!$A$2:$E$201,3,FALSE),""))</f>
        <v/>
      </c>
      <c r="D105" s="82" t="str">
        <f t="array" ref="D105">IF(A105="","",IFERROR(INDEX('Location Master'!$E$2:$E$502, IFERROR(MATCH(A105,'Location Master'!$G$2:$G$502,0), IFERROR(MATCH(A105&amp;" (*",'Location Master'!$G$2:$G$502,0), MATCH(A105&amp;"*",'Location Master'!$G$2:$G$502,0)))), ""))</f>
        <v/>
      </c>
      <c r="E105" s="131"/>
      <c r="F105" s="131" t="str">
        <f>IF(OR(A105="",D105=""),"",SUMIFS('Stock Movement'!$F$2:$F$501,'Stock Movement'!$B$2:$B$501,A105,'Stock Movement'!$D$2:$D$501,D105,'Stock Movement'!$E$2:$E$501,"IN"))</f>
        <v/>
      </c>
      <c r="G105" s="131" t="str">
        <f>IF(OR(A105="",D105=""),"",SUMIFS('Stock Movement'!$F$2:$F$501,'Stock Movement'!$B$2:$B$501,A105,'Stock Movement'!$D$2:$D$501,D105,'Stock Movement'!$E$2:$E$501,"OUT"))</f>
        <v/>
      </c>
      <c r="H105" s="131" t="str">
        <f t="shared" si="1"/>
        <v/>
      </c>
      <c r="I105" s="82" t="str">
        <f>IF(A105="","",IFERROR(VLOOKUP(A105,'Material Master'!$A$2:$E$201,4,FALSE),""))</f>
        <v/>
      </c>
      <c r="J105" s="131" t="str">
        <f>IF(A105="","",IFERROR(VLOOKUP(A105,'Material Master'!$A$2:$E$201,5,FALSE),""))</f>
        <v/>
      </c>
      <c r="K105" s="132" t="str">
        <f t="shared" si="2"/>
        <v/>
      </c>
    </row>
    <row r="106" ht="24.0" customHeight="1">
      <c r="A106" s="88"/>
      <c r="B106" s="133" t="str">
        <f>IF(A106="","",IFERROR(VLOOKUP(A106,'Material Master'!$A$2:$E$201,2,FALSE),""))</f>
        <v/>
      </c>
      <c r="C106" s="88" t="str">
        <f>IF(A106="","",IFERROR(VLOOKUP(A106,'Material Master'!$A$2:$E$201,3,FALSE),""))</f>
        <v/>
      </c>
      <c r="D106" s="88" t="str">
        <f t="array" ref="D106">IF(A106="","",IFERROR(INDEX('Location Master'!$E$2:$E$502, IFERROR(MATCH(A106,'Location Master'!$G$2:$G$502,0), IFERROR(MATCH(A106&amp;" (*",'Location Master'!$G$2:$G$502,0), MATCH(A106&amp;"*",'Location Master'!$G$2:$G$502,0)))), ""))</f>
        <v/>
      </c>
      <c r="E106" s="134"/>
      <c r="F106" s="134" t="str">
        <f>IF(OR(A106="",D106=""),"",SUMIFS('Stock Movement'!$F$2:$F$501,'Stock Movement'!$B$2:$B$501,A106,'Stock Movement'!$D$2:$D$501,D106,'Stock Movement'!$E$2:$E$501,"IN"))</f>
        <v/>
      </c>
      <c r="G106" s="134" t="str">
        <f>IF(OR(A106="",D106=""),"",SUMIFS('Stock Movement'!$F$2:$F$501,'Stock Movement'!$B$2:$B$501,A106,'Stock Movement'!$D$2:$D$501,D106,'Stock Movement'!$E$2:$E$501,"OUT"))</f>
        <v/>
      </c>
      <c r="H106" s="134" t="str">
        <f t="shared" si="1"/>
        <v/>
      </c>
      <c r="I106" s="88" t="str">
        <f>IF(A106="","",IFERROR(VLOOKUP(A106,'Material Master'!$A$2:$E$201,4,FALSE),""))</f>
        <v/>
      </c>
      <c r="J106" s="134" t="str">
        <f>IF(A106="","",IFERROR(VLOOKUP(A106,'Material Master'!$A$2:$E$201,5,FALSE),""))</f>
        <v/>
      </c>
      <c r="K106" s="135" t="str">
        <f t="shared" si="2"/>
        <v/>
      </c>
    </row>
    <row r="107" ht="24.0" customHeight="1">
      <c r="A107" s="82"/>
      <c r="B107" s="130" t="str">
        <f>IF(A107="","",IFERROR(VLOOKUP(A107,'Material Master'!$A$2:$E$201,2,FALSE),""))</f>
        <v/>
      </c>
      <c r="C107" s="82" t="str">
        <f>IF(A107="","",IFERROR(VLOOKUP(A107,'Material Master'!$A$2:$E$201,3,FALSE),""))</f>
        <v/>
      </c>
      <c r="D107" s="82" t="str">
        <f t="array" ref="D107">IF(A107="","",IFERROR(INDEX('Location Master'!$E$2:$E$502, IFERROR(MATCH(A107,'Location Master'!$G$2:$G$502,0), IFERROR(MATCH(A107&amp;" (*",'Location Master'!$G$2:$G$502,0), MATCH(A107&amp;"*",'Location Master'!$G$2:$G$502,0)))), ""))</f>
        <v/>
      </c>
      <c r="E107" s="131"/>
      <c r="F107" s="131" t="str">
        <f>IF(OR(A107="",D107=""),"",SUMIFS('Stock Movement'!$F$2:$F$501,'Stock Movement'!$B$2:$B$501,A107,'Stock Movement'!$D$2:$D$501,D107,'Stock Movement'!$E$2:$E$501,"IN"))</f>
        <v/>
      </c>
      <c r="G107" s="131" t="str">
        <f>IF(OR(A107="",D107=""),"",SUMIFS('Stock Movement'!$F$2:$F$501,'Stock Movement'!$B$2:$B$501,A107,'Stock Movement'!$D$2:$D$501,D107,'Stock Movement'!$E$2:$E$501,"OUT"))</f>
        <v/>
      </c>
      <c r="H107" s="131" t="str">
        <f t="shared" si="1"/>
        <v/>
      </c>
      <c r="I107" s="82" t="str">
        <f>IF(A107="","",IFERROR(VLOOKUP(A107,'Material Master'!$A$2:$E$201,4,FALSE),""))</f>
        <v/>
      </c>
      <c r="J107" s="131" t="str">
        <f>IF(A107="","",IFERROR(VLOOKUP(A107,'Material Master'!$A$2:$E$201,5,FALSE),""))</f>
        <v/>
      </c>
      <c r="K107" s="132" t="str">
        <f t="shared" si="2"/>
        <v/>
      </c>
    </row>
    <row r="108" ht="24.0" customHeight="1">
      <c r="A108" s="88"/>
      <c r="B108" s="133" t="str">
        <f>IF(A108="","",IFERROR(VLOOKUP(A108,'Material Master'!$A$2:$E$201,2,FALSE),""))</f>
        <v/>
      </c>
      <c r="C108" s="88" t="str">
        <f>IF(A108="","",IFERROR(VLOOKUP(A108,'Material Master'!$A$2:$E$201,3,FALSE),""))</f>
        <v/>
      </c>
      <c r="D108" s="88" t="str">
        <f t="array" ref="D108">IF(A108="","",IFERROR(INDEX('Location Master'!$E$2:$E$502, IFERROR(MATCH(A108,'Location Master'!$G$2:$G$502,0), IFERROR(MATCH(A108&amp;" (*",'Location Master'!$G$2:$G$502,0), MATCH(A108&amp;"*",'Location Master'!$G$2:$G$502,0)))), ""))</f>
        <v/>
      </c>
      <c r="E108" s="134"/>
      <c r="F108" s="134" t="str">
        <f>IF(OR(A108="",D108=""),"",SUMIFS('Stock Movement'!$F$2:$F$501,'Stock Movement'!$B$2:$B$501,A108,'Stock Movement'!$D$2:$D$501,D108,'Stock Movement'!$E$2:$E$501,"IN"))</f>
        <v/>
      </c>
      <c r="G108" s="134" t="str">
        <f>IF(OR(A108="",D108=""),"",SUMIFS('Stock Movement'!$F$2:$F$501,'Stock Movement'!$B$2:$B$501,A108,'Stock Movement'!$D$2:$D$501,D108,'Stock Movement'!$E$2:$E$501,"OUT"))</f>
        <v/>
      </c>
      <c r="H108" s="134" t="str">
        <f t="shared" si="1"/>
        <v/>
      </c>
      <c r="I108" s="88" t="str">
        <f>IF(A108="","",IFERROR(VLOOKUP(A108,'Material Master'!$A$2:$E$201,4,FALSE),""))</f>
        <v/>
      </c>
      <c r="J108" s="134" t="str">
        <f>IF(A108="","",IFERROR(VLOOKUP(A108,'Material Master'!$A$2:$E$201,5,FALSE),""))</f>
        <v/>
      </c>
      <c r="K108" s="135" t="str">
        <f t="shared" si="2"/>
        <v/>
      </c>
    </row>
    <row r="109" ht="24.0" customHeight="1">
      <c r="A109" s="82"/>
      <c r="B109" s="130" t="str">
        <f>IF(A109="","",IFERROR(VLOOKUP(A109,'Material Master'!$A$2:$E$201,2,FALSE),""))</f>
        <v/>
      </c>
      <c r="C109" s="82" t="str">
        <f>IF(A109="","",IFERROR(VLOOKUP(A109,'Material Master'!$A$2:$E$201,3,FALSE),""))</f>
        <v/>
      </c>
      <c r="D109" s="82" t="str">
        <f t="array" ref="D109">IF(A109="","",IFERROR(INDEX('Location Master'!$E$2:$E$502, IFERROR(MATCH(A109,'Location Master'!$G$2:$G$502,0), IFERROR(MATCH(A109&amp;" (*",'Location Master'!$G$2:$G$502,0), MATCH(A109&amp;"*",'Location Master'!$G$2:$G$502,0)))), ""))</f>
        <v/>
      </c>
      <c r="E109" s="131"/>
      <c r="F109" s="131" t="str">
        <f>IF(OR(A109="",D109=""),"",SUMIFS('Stock Movement'!$F$2:$F$501,'Stock Movement'!$B$2:$B$501,A109,'Stock Movement'!$D$2:$D$501,D109,'Stock Movement'!$E$2:$E$501,"IN"))</f>
        <v/>
      </c>
      <c r="G109" s="131" t="str">
        <f>IF(OR(A109="",D109=""),"",SUMIFS('Stock Movement'!$F$2:$F$501,'Stock Movement'!$B$2:$B$501,A109,'Stock Movement'!$D$2:$D$501,D109,'Stock Movement'!$E$2:$E$501,"OUT"))</f>
        <v/>
      </c>
      <c r="H109" s="131" t="str">
        <f t="shared" si="1"/>
        <v/>
      </c>
      <c r="I109" s="82" t="str">
        <f>IF(A109="","",IFERROR(VLOOKUP(A109,'Material Master'!$A$2:$E$201,4,FALSE),""))</f>
        <v/>
      </c>
      <c r="J109" s="131" t="str">
        <f>IF(A109="","",IFERROR(VLOOKUP(A109,'Material Master'!$A$2:$E$201,5,FALSE),""))</f>
        <v/>
      </c>
      <c r="K109" s="132" t="str">
        <f t="shared" si="2"/>
        <v/>
      </c>
    </row>
    <row r="110" ht="24.0" customHeight="1">
      <c r="A110" s="88"/>
      <c r="B110" s="133" t="str">
        <f>IF(A110="","",IFERROR(VLOOKUP(A110,'Material Master'!$A$2:$E$201,2,FALSE),""))</f>
        <v/>
      </c>
      <c r="C110" s="88" t="str">
        <f>IF(A110="","",IFERROR(VLOOKUP(A110,'Material Master'!$A$2:$E$201,3,FALSE),""))</f>
        <v/>
      </c>
      <c r="D110" s="88" t="str">
        <f t="array" ref="D110">IF(A110="","",IFERROR(INDEX('Location Master'!$E$2:$E$502, IFERROR(MATCH(A110,'Location Master'!$G$2:$G$502,0), IFERROR(MATCH(A110&amp;" (*",'Location Master'!$G$2:$G$502,0), MATCH(A110&amp;"*",'Location Master'!$G$2:$G$502,0)))), ""))</f>
        <v/>
      </c>
      <c r="E110" s="134"/>
      <c r="F110" s="134" t="str">
        <f>IF(OR(A110="",D110=""),"",SUMIFS('Stock Movement'!$F$2:$F$501,'Stock Movement'!$B$2:$B$501,A110,'Stock Movement'!$D$2:$D$501,D110,'Stock Movement'!$E$2:$E$501,"IN"))</f>
        <v/>
      </c>
      <c r="G110" s="134" t="str">
        <f>IF(OR(A110="",D110=""),"",SUMIFS('Stock Movement'!$F$2:$F$501,'Stock Movement'!$B$2:$B$501,A110,'Stock Movement'!$D$2:$D$501,D110,'Stock Movement'!$E$2:$E$501,"OUT"))</f>
        <v/>
      </c>
      <c r="H110" s="134" t="str">
        <f t="shared" si="1"/>
        <v/>
      </c>
      <c r="I110" s="88" t="str">
        <f>IF(A110="","",IFERROR(VLOOKUP(A110,'Material Master'!$A$2:$E$201,4,FALSE),""))</f>
        <v/>
      </c>
      <c r="J110" s="134" t="str">
        <f>IF(A110="","",IFERROR(VLOOKUP(A110,'Material Master'!$A$2:$E$201,5,FALSE),""))</f>
        <v/>
      </c>
      <c r="K110" s="135" t="str">
        <f t="shared" si="2"/>
        <v/>
      </c>
    </row>
    <row r="111" ht="24.0" customHeight="1">
      <c r="A111" s="82"/>
      <c r="B111" s="130" t="str">
        <f>IF(A111="","",IFERROR(VLOOKUP(A111,'Material Master'!$A$2:$E$201,2,FALSE),""))</f>
        <v/>
      </c>
      <c r="C111" s="82" t="str">
        <f>IF(A111="","",IFERROR(VLOOKUP(A111,'Material Master'!$A$2:$E$201,3,FALSE),""))</f>
        <v/>
      </c>
      <c r="D111" s="82" t="str">
        <f t="array" ref="D111">IF(A111="","",IFERROR(INDEX('Location Master'!$E$2:$E$502, IFERROR(MATCH(A111,'Location Master'!$G$2:$G$502,0), IFERROR(MATCH(A111&amp;" (*",'Location Master'!$G$2:$G$502,0), MATCH(A111&amp;"*",'Location Master'!$G$2:$G$502,0)))), ""))</f>
        <v/>
      </c>
      <c r="E111" s="131"/>
      <c r="F111" s="131" t="str">
        <f>IF(OR(A111="",D111=""),"",SUMIFS('Stock Movement'!$F$2:$F$501,'Stock Movement'!$B$2:$B$501,A111,'Stock Movement'!$D$2:$D$501,D111,'Stock Movement'!$E$2:$E$501,"IN"))</f>
        <v/>
      </c>
      <c r="G111" s="131" t="str">
        <f>IF(OR(A111="",D111=""),"",SUMIFS('Stock Movement'!$F$2:$F$501,'Stock Movement'!$B$2:$B$501,A111,'Stock Movement'!$D$2:$D$501,D111,'Stock Movement'!$E$2:$E$501,"OUT"))</f>
        <v/>
      </c>
      <c r="H111" s="131" t="str">
        <f t="shared" si="1"/>
        <v/>
      </c>
      <c r="I111" s="82" t="str">
        <f>IF(A111="","",IFERROR(VLOOKUP(A111,'Material Master'!$A$2:$E$201,4,FALSE),""))</f>
        <v/>
      </c>
      <c r="J111" s="131" t="str">
        <f>IF(A111="","",IFERROR(VLOOKUP(A111,'Material Master'!$A$2:$E$201,5,FALSE),""))</f>
        <v/>
      </c>
      <c r="K111" s="132" t="str">
        <f t="shared" si="2"/>
        <v/>
      </c>
    </row>
    <row r="112" ht="24.0" customHeight="1">
      <c r="A112" s="88"/>
      <c r="B112" s="133" t="str">
        <f>IF(A112="","",IFERROR(VLOOKUP(A112,'Material Master'!$A$2:$E$201,2,FALSE),""))</f>
        <v/>
      </c>
      <c r="C112" s="88" t="str">
        <f>IF(A112="","",IFERROR(VLOOKUP(A112,'Material Master'!$A$2:$E$201,3,FALSE),""))</f>
        <v/>
      </c>
      <c r="D112" s="88" t="str">
        <f t="array" ref="D112">IF(A112="","",IFERROR(INDEX('Location Master'!$E$2:$E$502, IFERROR(MATCH(A112,'Location Master'!$G$2:$G$502,0), IFERROR(MATCH(A112&amp;" (*",'Location Master'!$G$2:$G$502,0), MATCH(A112&amp;"*",'Location Master'!$G$2:$G$502,0)))), ""))</f>
        <v/>
      </c>
      <c r="E112" s="134"/>
      <c r="F112" s="134" t="str">
        <f>IF(OR(A112="",D112=""),"",SUMIFS('Stock Movement'!$F$2:$F$501,'Stock Movement'!$B$2:$B$501,A112,'Stock Movement'!$D$2:$D$501,D112,'Stock Movement'!$E$2:$E$501,"IN"))</f>
        <v/>
      </c>
      <c r="G112" s="134" t="str">
        <f>IF(OR(A112="",D112=""),"",SUMIFS('Stock Movement'!$F$2:$F$501,'Stock Movement'!$B$2:$B$501,A112,'Stock Movement'!$D$2:$D$501,D112,'Stock Movement'!$E$2:$E$501,"OUT"))</f>
        <v/>
      </c>
      <c r="H112" s="134" t="str">
        <f t="shared" si="1"/>
        <v/>
      </c>
      <c r="I112" s="88" t="str">
        <f>IF(A112="","",IFERROR(VLOOKUP(A112,'Material Master'!$A$2:$E$201,4,FALSE),""))</f>
        <v/>
      </c>
      <c r="J112" s="134" t="str">
        <f>IF(A112="","",IFERROR(VLOOKUP(A112,'Material Master'!$A$2:$E$201,5,FALSE),""))</f>
        <v/>
      </c>
      <c r="K112" s="135" t="str">
        <f t="shared" si="2"/>
        <v/>
      </c>
    </row>
    <row r="113" ht="24.0" customHeight="1">
      <c r="A113" s="82"/>
      <c r="B113" s="130" t="str">
        <f>IF(A113="","",IFERROR(VLOOKUP(A113,'Material Master'!$A$2:$E$201,2,FALSE),""))</f>
        <v/>
      </c>
      <c r="C113" s="82" t="str">
        <f>IF(A113="","",IFERROR(VLOOKUP(A113,'Material Master'!$A$2:$E$201,3,FALSE),""))</f>
        <v/>
      </c>
      <c r="D113" s="82" t="str">
        <f t="array" ref="D113">IF(A113="","",IFERROR(INDEX('Location Master'!$E$2:$E$502, IFERROR(MATCH(A113,'Location Master'!$G$2:$G$502,0), IFERROR(MATCH(A113&amp;" (*",'Location Master'!$G$2:$G$502,0), MATCH(A113&amp;"*",'Location Master'!$G$2:$G$502,0)))), ""))</f>
        <v/>
      </c>
      <c r="E113" s="131"/>
      <c r="F113" s="131" t="str">
        <f>IF(OR(A113="",D113=""),"",SUMIFS('Stock Movement'!$F$2:$F$501,'Stock Movement'!$B$2:$B$501,A113,'Stock Movement'!$D$2:$D$501,D113,'Stock Movement'!$E$2:$E$501,"IN"))</f>
        <v/>
      </c>
      <c r="G113" s="131" t="str">
        <f>IF(OR(A113="",D113=""),"",SUMIFS('Stock Movement'!$F$2:$F$501,'Stock Movement'!$B$2:$B$501,A113,'Stock Movement'!$D$2:$D$501,D113,'Stock Movement'!$E$2:$E$501,"OUT"))</f>
        <v/>
      </c>
      <c r="H113" s="131" t="str">
        <f t="shared" si="1"/>
        <v/>
      </c>
      <c r="I113" s="82" t="str">
        <f>IF(A113="","",IFERROR(VLOOKUP(A113,'Material Master'!$A$2:$E$201,4,FALSE),""))</f>
        <v/>
      </c>
      <c r="J113" s="131" t="str">
        <f>IF(A113="","",IFERROR(VLOOKUP(A113,'Material Master'!$A$2:$E$201,5,FALSE),""))</f>
        <v/>
      </c>
      <c r="K113" s="132" t="str">
        <f t="shared" si="2"/>
        <v/>
      </c>
    </row>
    <row r="114" ht="24.0" customHeight="1">
      <c r="A114" s="88"/>
      <c r="B114" s="133" t="str">
        <f>IF(A114="","",IFERROR(VLOOKUP(A114,'Material Master'!$A$2:$E$201,2,FALSE),""))</f>
        <v/>
      </c>
      <c r="C114" s="88" t="str">
        <f>IF(A114="","",IFERROR(VLOOKUP(A114,'Material Master'!$A$2:$E$201,3,FALSE),""))</f>
        <v/>
      </c>
      <c r="D114" s="88" t="str">
        <f t="array" ref="D114">IF(A114="","",IFERROR(INDEX('Location Master'!$E$2:$E$502, IFERROR(MATCH(A114,'Location Master'!$G$2:$G$502,0), IFERROR(MATCH(A114&amp;" (*",'Location Master'!$G$2:$G$502,0), MATCH(A114&amp;"*",'Location Master'!$G$2:$G$502,0)))), ""))</f>
        <v/>
      </c>
      <c r="E114" s="134"/>
      <c r="F114" s="134" t="str">
        <f>IF(OR(A114="",D114=""),"",SUMIFS('Stock Movement'!$F$2:$F$501,'Stock Movement'!$B$2:$B$501,A114,'Stock Movement'!$D$2:$D$501,D114,'Stock Movement'!$E$2:$E$501,"IN"))</f>
        <v/>
      </c>
      <c r="G114" s="134" t="str">
        <f>IF(OR(A114="",D114=""),"",SUMIFS('Stock Movement'!$F$2:$F$501,'Stock Movement'!$B$2:$B$501,A114,'Stock Movement'!$D$2:$D$501,D114,'Stock Movement'!$E$2:$E$501,"OUT"))</f>
        <v/>
      </c>
      <c r="H114" s="134" t="str">
        <f t="shared" si="1"/>
        <v/>
      </c>
      <c r="I114" s="88" t="str">
        <f>IF(A114="","",IFERROR(VLOOKUP(A114,'Material Master'!$A$2:$E$201,4,FALSE),""))</f>
        <v/>
      </c>
      <c r="J114" s="134" t="str">
        <f>IF(A114="","",IFERROR(VLOOKUP(A114,'Material Master'!$A$2:$E$201,5,FALSE),""))</f>
        <v/>
      </c>
      <c r="K114" s="135" t="str">
        <f t="shared" si="2"/>
        <v/>
      </c>
    </row>
    <row r="115" ht="24.0" customHeight="1">
      <c r="A115" s="82"/>
      <c r="B115" s="130" t="str">
        <f>IF(A115="","",IFERROR(VLOOKUP(A115,'Material Master'!$A$2:$E$201,2,FALSE),""))</f>
        <v/>
      </c>
      <c r="C115" s="82" t="str">
        <f>IF(A115="","",IFERROR(VLOOKUP(A115,'Material Master'!$A$2:$E$201,3,FALSE),""))</f>
        <v/>
      </c>
      <c r="D115" s="82" t="str">
        <f t="array" ref="D115">IF(A115="","",IFERROR(INDEX('Location Master'!$E$2:$E$502, IFERROR(MATCH(A115,'Location Master'!$G$2:$G$502,0), IFERROR(MATCH(A115&amp;" (*",'Location Master'!$G$2:$G$502,0), MATCH(A115&amp;"*",'Location Master'!$G$2:$G$502,0)))), ""))</f>
        <v/>
      </c>
      <c r="E115" s="131"/>
      <c r="F115" s="131" t="str">
        <f>IF(OR(A115="",D115=""),"",SUMIFS('Stock Movement'!$F$2:$F$501,'Stock Movement'!$B$2:$B$501,A115,'Stock Movement'!$D$2:$D$501,D115,'Stock Movement'!$E$2:$E$501,"IN"))</f>
        <v/>
      </c>
      <c r="G115" s="131" t="str">
        <f>IF(OR(A115="",D115=""),"",SUMIFS('Stock Movement'!$F$2:$F$501,'Stock Movement'!$B$2:$B$501,A115,'Stock Movement'!$D$2:$D$501,D115,'Stock Movement'!$E$2:$E$501,"OUT"))</f>
        <v/>
      </c>
      <c r="H115" s="131" t="str">
        <f t="shared" si="1"/>
        <v/>
      </c>
      <c r="I115" s="82" t="str">
        <f>IF(A115="","",IFERROR(VLOOKUP(A115,'Material Master'!$A$2:$E$201,4,FALSE),""))</f>
        <v/>
      </c>
      <c r="J115" s="131" t="str">
        <f>IF(A115="","",IFERROR(VLOOKUP(A115,'Material Master'!$A$2:$E$201,5,FALSE),""))</f>
        <v/>
      </c>
      <c r="K115" s="132" t="str">
        <f t="shared" si="2"/>
        <v/>
      </c>
    </row>
    <row r="116" ht="24.0" customHeight="1">
      <c r="A116" s="88"/>
      <c r="B116" s="133" t="str">
        <f>IF(A116="","",IFERROR(VLOOKUP(A116,'Material Master'!$A$2:$E$201,2,FALSE),""))</f>
        <v/>
      </c>
      <c r="C116" s="88" t="str">
        <f>IF(A116="","",IFERROR(VLOOKUP(A116,'Material Master'!$A$2:$E$201,3,FALSE),""))</f>
        <v/>
      </c>
      <c r="D116" s="88" t="str">
        <f t="array" ref="D116">IF(A116="","",IFERROR(INDEX('Location Master'!$E$2:$E$502, IFERROR(MATCH(A116,'Location Master'!$G$2:$G$502,0), IFERROR(MATCH(A116&amp;" (*",'Location Master'!$G$2:$G$502,0), MATCH(A116&amp;"*",'Location Master'!$G$2:$G$502,0)))), ""))</f>
        <v/>
      </c>
      <c r="E116" s="134"/>
      <c r="F116" s="134" t="str">
        <f>IF(OR(A116="",D116=""),"",SUMIFS('Stock Movement'!$F$2:$F$501,'Stock Movement'!$B$2:$B$501,A116,'Stock Movement'!$D$2:$D$501,D116,'Stock Movement'!$E$2:$E$501,"IN"))</f>
        <v/>
      </c>
      <c r="G116" s="134" t="str">
        <f>IF(OR(A116="",D116=""),"",SUMIFS('Stock Movement'!$F$2:$F$501,'Stock Movement'!$B$2:$B$501,A116,'Stock Movement'!$D$2:$D$501,D116,'Stock Movement'!$E$2:$E$501,"OUT"))</f>
        <v/>
      </c>
      <c r="H116" s="134" t="str">
        <f t="shared" si="1"/>
        <v/>
      </c>
      <c r="I116" s="88" t="str">
        <f>IF(A116="","",IFERROR(VLOOKUP(A116,'Material Master'!$A$2:$E$201,4,FALSE),""))</f>
        <v/>
      </c>
      <c r="J116" s="134" t="str">
        <f>IF(A116="","",IFERROR(VLOOKUP(A116,'Material Master'!$A$2:$E$201,5,FALSE),""))</f>
        <v/>
      </c>
      <c r="K116" s="135" t="str">
        <f t="shared" si="2"/>
        <v/>
      </c>
    </row>
    <row r="117" ht="24.0" customHeight="1">
      <c r="A117" s="82"/>
      <c r="B117" s="130" t="str">
        <f>IF(A117="","",IFERROR(VLOOKUP(A117,'Material Master'!$A$2:$E$201,2,FALSE),""))</f>
        <v/>
      </c>
      <c r="C117" s="82" t="str">
        <f>IF(A117="","",IFERROR(VLOOKUP(A117,'Material Master'!$A$2:$E$201,3,FALSE),""))</f>
        <v/>
      </c>
      <c r="D117" s="82" t="str">
        <f t="array" ref="D117">IF(A117="","",IFERROR(INDEX('Location Master'!$E$2:$E$502, IFERROR(MATCH(A117,'Location Master'!$G$2:$G$502,0), IFERROR(MATCH(A117&amp;" (*",'Location Master'!$G$2:$G$502,0), MATCH(A117&amp;"*",'Location Master'!$G$2:$G$502,0)))), ""))</f>
        <v/>
      </c>
      <c r="E117" s="131"/>
      <c r="F117" s="131" t="str">
        <f>IF(OR(A117="",D117=""),"",SUMIFS('Stock Movement'!$F$2:$F$501,'Stock Movement'!$B$2:$B$501,A117,'Stock Movement'!$D$2:$D$501,D117,'Stock Movement'!$E$2:$E$501,"IN"))</f>
        <v/>
      </c>
      <c r="G117" s="131" t="str">
        <f>IF(OR(A117="",D117=""),"",SUMIFS('Stock Movement'!$F$2:$F$501,'Stock Movement'!$B$2:$B$501,A117,'Stock Movement'!$D$2:$D$501,D117,'Stock Movement'!$E$2:$E$501,"OUT"))</f>
        <v/>
      </c>
      <c r="H117" s="131" t="str">
        <f t="shared" si="1"/>
        <v/>
      </c>
      <c r="I117" s="82" t="str">
        <f>IF(A117="","",IFERROR(VLOOKUP(A117,'Material Master'!$A$2:$E$201,4,FALSE),""))</f>
        <v/>
      </c>
      <c r="J117" s="131" t="str">
        <f>IF(A117="","",IFERROR(VLOOKUP(A117,'Material Master'!$A$2:$E$201,5,FALSE),""))</f>
        <v/>
      </c>
      <c r="K117" s="132" t="str">
        <f t="shared" si="2"/>
        <v/>
      </c>
    </row>
    <row r="118" ht="24.0" customHeight="1">
      <c r="A118" s="88"/>
      <c r="B118" s="133" t="str">
        <f>IF(A118="","",IFERROR(VLOOKUP(A118,'Material Master'!$A$2:$E$201,2,FALSE),""))</f>
        <v/>
      </c>
      <c r="C118" s="88" t="str">
        <f>IF(A118="","",IFERROR(VLOOKUP(A118,'Material Master'!$A$2:$E$201,3,FALSE),""))</f>
        <v/>
      </c>
      <c r="D118" s="88" t="str">
        <f t="array" ref="D118">IF(A118="","",IFERROR(INDEX('Location Master'!$E$2:$E$502, IFERROR(MATCH(A118,'Location Master'!$G$2:$G$502,0), IFERROR(MATCH(A118&amp;" (*",'Location Master'!$G$2:$G$502,0), MATCH(A118&amp;"*",'Location Master'!$G$2:$G$502,0)))), ""))</f>
        <v/>
      </c>
      <c r="E118" s="134"/>
      <c r="F118" s="134" t="str">
        <f>IF(OR(A118="",D118=""),"",SUMIFS('Stock Movement'!$F$2:$F$501,'Stock Movement'!$B$2:$B$501,A118,'Stock Movement'!$D$2:$D$501,D118,'Stock Movement'!$E$2:$E$501,"IN"))</f>
        <v/>
      </c>
      <c r="G118" s="134" t="str">
        <f>IF(OR(A118="",D118=""),"",SUMIFS('Stock Movement'!$F$2:$F$501,'Stock Movement'!$B$2:$B$501,A118,'Stock Movement'!$D$2:$D$501,D118,'Stock Movement'!$E$2:$E$501,"OUT"))</f>
        <v/>
      </c>
      <c r="H118" s="134" t="str">
        <f t="shared" si="1"/>
        <v/>
      </c>
      <c r="I118" s="88" t="str">
        <f>IF(A118="","",IFERROR(VLOOKUP(A118,'Material Master'!$A$2:$E$201,4,FALSE),""))</f>
        <v/>
      </c>
      <c r="J118" s="134" t="str">
        <f>IF(A118="","",IFERROR(VLOOKUP(A118,'Material Master'!$A$2:$E$201,5,FALSE),""))</f>
        <v/>
      </c>
      <c r="K118" s="135" t="str">
        <f t="shared" si="2"/>
        <v/>
      </c>
    </row>
    <row r="119" ht="24.0" customHeight="1">
      <c r="A119" s="82"/>
      <c r="B119" s="130" t="str">
        <f>IF(A119="","",IFERROR(VLOOKUP(A119,'Material Master'!$A$2:$E$201,2,FALSE),""))</f>
        <v/>
      </c>
      <c r="C119" s="82" t="str">
        <f>IF(A119="","",IFERROR(VLOOKUP(A119,'Material Master'!$A$2:$E$201,3,FALSE),""))</f>
        <v/>
      </c>
      <c r="D119" s="82" t="str">
        <f t="array" ref="D119">IF(A119="","",IFERROR(INDEX('Location Master'!$E$2:$E$502, IFERROR(MATCH(A119,'Location Master'!$G$2:$G$502,0), IFERROR(MATCH(A119&amp;" (*",'Location Master'!$G$2:$G$502,0), MATCH(A119&amp;"*",'Location Master'!$G$2:$G$502,0)))), ""))</f>
        <v/>
      </c>
      <c r="E119" s="131"/>
      <c r="F119" s="131" t="str">
        <f>IF(OR(A119="",D119=""),"",SUMIFS('Stock Movement'!$F$2:$F$501,'Stock Movement'!$B$2:$B$501,A119,'Stock Movement'!$D$2:$D$501,D119,'Stock Movement'!$E$2:$E$501,"IN"))</f>
        <v/>
      </c>
      <c r="G119" s="131" t="str">
        <f>IF(OR(A119="",D119=""),"",SUMIFS('Stock Movement'!$F$2:$F$501,'Stock Movement'!$B$2:$B$501,A119,'Stock Movement'!$D$2:$D$501,D119,'Stock Movement'!$E$2:$E$501,"OUT"))</f>
        <v/>
      </c>
      <c r="H119" s="131" t="str">
        <f t="shared" si="1"/>
        <v/>
      </c>
      <c r="I119" s="82" t="str">
        <f>IF(A119="","",IFERROR(VLOOKUP(A119,'Material Master'!$A$2:$E$201,4,FALSE),""))</f>
        <v/>
      </c>
      <c r="J119" s="131" t="str">
        <f>IF(A119="","",IFERROR(VLOOKUP(A119,'Material Master'!$A$2:$E$201,5,FALSE),""))</f>
        <v/>
      </c>
      <c r="K119" s="132" t="str">
        <f t="shared" si="2"/>
        <v/>
      </c>
    </row>
    <row r="120" ht="24.0" customHeight="1">
      <c r="A120" s="88"/>
      <c r="B120" s="133" t="str">
        <f>IF(A120="","",IFERROR(VLOOKUP(A120,'Material Master'!$A$2:$E$201,2,FALSE),""))</f>
        <v/>
      </c>
      <c r="C120" s="88" t="str">
        <f>IF(A120="","",IFERROR(VLOOKUP(A120,'Material Master'!$A$2:$E$201,3,FALSE),""))</f>
        <v/>
      </c>
      <c r="D120" s="88" t="str">
        <f t="array" ref="D120">IF(A120="","",IFERROR(INDEX('Location Master'!$E$2:$E$502, IFERROR(MATCH(A120,'Location Master'!$G$2:$G$502,0), IFERROR(MATCH(A120&amp;" (*",'Location Master'!$G$2:$G$502,0), MATCH(A120&amp;"*",'Location Master'!$G$2:$G$502,0)))), ""))</f>
        <v/>
      </c>
      <c r="E120" s="134"/>
      <c r="F120" s="134" t="str">
        <f>IF(OR(A120="",D120=""),"",SUMIFS('Stock Movement'!$F$2:$F$501,'Stock Movement'!$B$2:$B$501,A120,'Stock Movement'!$D$2:$D$501,D120,'Stock Movement'!$E$2:$E$501,"IN"))</f>
        <v/>
      </c>
      <c r="G120" s="134" t="str">
        <f>IF(OR(A120="",D120=""),"",SUMIFS('Stock Movement'!$F$2:$F$501,'Stock Movement'!$B$2:$B$501,A120,'Stock Movement'!$D$2:$D$501,D120,'Stock Movement'!$E$2:$E$501,"OUT"))</f>
        <v/>
      </c>
      <c r="H120" s="134" t="str">
        <f t="shared" si="1"/>
        <v/>
      </c>
      <c r="I120" s="88" t="str">
        <f>IF(A120="","",IFERROR(VLOOKUP(A120,'Material Master'!$A$2:$E$201,4,FALSE),""))</f>
        <v/>
      </c>
      <c r="J120" s="134" t="str">
        <f>IF(A120="","",IFERROR(VLOOKUP(A120,'Material Master'!$A$2:$E$201,5,FALSE),""))</f>
        <v/>
      </c>
      <c r="K120" s="135" t="str">
        <f t="shared" si="2"/>
        <v/>
      </c>
    </row>
    <row r="121" ht="24.0" customHeight="1">
      <c r="A121" s="82"/>
      <c r="B121" s="130" t="str">
        <f>IF(A121="","",IFERROR(VLOOKUP(A121,'Material Master'!$A$2:$E$201,2,FALSE),""))</f>
        <v/>
      </c>
      <c r="C121" s="82" t="str">
        <f>IF(A121="","",IFERROR(VLOOKUP(A121,'Material Master'!$A$2:$E$201,3,FALSE),""))</f>
        <v/>
      </c>
      <c r="D121" s="82" t="str">
        <f t="array" ref="D121">IF(A121="","",IFERROR(INDEX('Location Master'!$E$2:$E$502, IFERROR(MATCH(A121,'Location Master'!$G$2:$G$502,0), IFERROR(MATCH(A121&amp;" (*",'Location Master'!$G$2:$G$502,0), MATCH(A121&amp;"*",'Location Master'!$G$2:$G$502,0)))), ""))</f>
        <v/>
      </c>
      <c r="E121" s="131"/>
      <c r="F121" s="131" t="str">
        <f>IF(OR(A121="",D121=""),"",SUMIFS('Stock Movement'!$F$2:$F$501,'Stock Movement'!$B$2:$B$501,A121,'Stock Movement'!$D$2:$D$501,D121,'Stock Movement'!$E$2:$E$501,"IN"))</f>
        <v/>
      </c>
      <c r="G121" s="131" t="str">
        <f>IF(OR(A121="",D121=""),"",SUMIFS('Stock Movement'!$F$2:$F$501,'Stock Movement'!$B$2:$B$501,A121,'Stock Movement'!$D$2:$D$501,D121,'Stock Movement'!$E$2:$E$501,"OUT"))</f>
        <v/>
      </c>
      <c r="H121" s="131" t="str">
        <f t="shared" si="1"/>
        <v/>
      </c>
      <c r="I121" s="82" t="str">
        <f>IF(A121="","",IFERROR(VLOOKUP(A121,'Material Master'!$A$2:$E$201,4,FALSE),""))</f>
        <v/>
      </c>
      <c r="J121" s="131" t="str">
        <f>IF(A121="","",IFERROR(VLOOKUP(A121,'Material Master'!$A$2:$E$201,5,FALSE),""))</f>
        <v/>
      </c>
      <c r="K121" s="132" t="str">
        <f t="shared" si="2"/>
        <v/>
      </c>
    </row>
    <row r="122" ht="24.0" customHeight="1">
      <c r="A122" s="88"/>
      <c r="B122" s="133" t="str">
        <f>IF(A122="","",IFERROR(VLOOKUP(A122,'Material Master'!$A$2:$E$201,2,FALSE),""))</f>
        <v/>
      </c>
      <c r="C122" s="88" t="str">
        <f>IF(A122="","",IFERROR(VLOOKUP(A122,'Material Master'!$A$2:$E$201,3,FALSE),""))</f>
        <v/>
      </c>
      <c r="D122" s="88" t="str">
        <f t="array" ref="D122">IF(A122="","",IFERROR(INDEX('Location Master'!$E$2:$E$502, IFERROR(MATCH(A122,'Location Master'!$G$2:$G$502,0), IFERROR(MATCH(A122&amp;" (*",'Location Master'!$G$2:$G$502,0), MATCH(A122&amp;"*",'Location Master'!$G$2:$G$502,0)))), ""))</f>
        <v/>
      </c>
      <c r="E122" s="134"/>
      <c r="F122" s="134" t="str">
        <f>IF(OR(A122="",D122=""),"",SUMIFS('Stock Movement'!$F$2:$F$501,'Stock Movement'!$B$2:$B$501,A122,'Stock Movement'!$D$2:$D$501,D122,'Stock Movement'!$E$2:$E$501,"IN"))</f>
        <v/>
      </c>
      <c r="G122" s="134" t="str">
        <f>IF(OR(A122="",D122=""),"",SUMIFS('Stock Movement'!$F$2:$F$501,'Stock Movement'!$B$2:$B$501,A122,'Stock Movement'!$D$2:$D$501,D122,'Stock Movement'!$E$2:$E$501,"OUT"))</f>
        <v/>
      </c>
      <c r="H122" s="134" t="str">
        <f t="shared" si="1"/>
        <v/>
      </c>
      <c r="I122" s="88" t="str">
        <f>IF(A122="","",IFERROR(VLOOKUP(A122,'Material Master'!$A$2:$E$201,4,FALSE),""))</f>
        <v/>
      </c>
      <c r="J122" s="134" t="str">
        <f>IF(A122="","",IFERROR(VLOOKUP(A122,'Material Master'!$A$2:$E$201,5,FALSE),""))</f>
        <v/>
      </c>
      <c r="K122" s="135" t="str">
        <f t="shared" si="2"/>
        <v/>
      </c>
    </row>
    <row r="123" ht="24.0" customHeight="1">
      <c r="A123" s="82"/>
      <c r="B123" s="130" t="str">
        <f>IF(A123="","",IFERROR(VLOOKUP(A123,'Material Master'!$A$2:$E$201,2,FALSE),""))</f>
        <v/>
      </c>
      <c r="C123" s="82" t="str">
        <f>IF(A123="","",IFERROR(VLOOKUP(A123,'Material Master'!$A$2:$E$201,3,FALSE),""))</f>
        <v/>
      </c>
      <c r="D123" s="82" t="str">
        <f t="array" ref="D123">IF(A123="","",IFERROR(INDEX('Location Master'!$E$2:$E$502, IFERROR(MATCH(A123,'Location Master'!$G$2:$G$502,0), IFERROR(MATCH(A123&amp;" (*",'Location Master'!$G$2:$G$502,0), MATCH(A123&amp;"*",'Location Master'!$G$2:$G$502,0)))), ""))</f>
        <v/>
      </c>
      <c r="E123" s="131"/>
      <c r="F123" s="131" t="str">
        <f>IF(OR(A123="",D123=""),"",SUMIFS('Stock Movement'!$F$2:$F$501,'Stock Movement'!$B$2:$B$501,A123,'Stock Movement'!$D$2:$D$501,D123,'Stock Movement'!$E$2:$E$501,"IN"))</f>
        <v/>
      </c>
      <c r="G123" s="131" t="str">
        <f>IF(OR(A123="",D123=""),"",SUMIFS('Stock Movement'!$F$2:$F$501,'Stock Movement'!$B$2:$B$501,A123,'Stock Movement'!$D$2:$D$501,D123,'Stock Movement'!$E$2:$E$501,"OUT"))</f>
        <v/>
      </c>
      <c r="H123" s="131" t="str">
        <f t="shared" si="1"/>
        <v/>
      </c>
      <c r="I123" s="82" t="str">
        <f>IF(A123="","",IFERROR(VLOOKUP(A123,'Material Master'!$A$2:$E$201,4,FALSE),""))</f>
        <v/>
      </c>
      <c r="J123" s="131" t="str">
        <f>IF(A123="","",IFERROR(VLOOKUP(A123,'Material Master'!$A$2:$E$201,5,FALSE),""))</f>
        <v/>
      </c>
      <c r="K123" s="132" t="str">
        <f t="shared" si="2"/>
        <v/>
      </c>
    </row>
    <row r="124" ht="24.0" customHeight="1">
      <c r="A124" s="88"/>
      <c r="B124" s="133" t="str">
        <f>IF(A124="","",IFERROR(VLOOKUP(A124,'Material Master'!$A$2:$E$201,2,FALSE),""))</f>
        <v/>
      </c>
      <c r="C124" s="88" t="str">
        <f>IF(A124="","",IFERROR(VLOOKUP(A124,'Material Master'!$A$2:$E$201,3,FALSE),""))</f>
        <v/>
      </c>
      <c r="D124" s="88" t="str">
        <f t="array" ref="D124">IF(A124="","",IFERROR(INDEX('Location Master'!$E$2:$E$502, IFERROR(MATCH(A124,'Location Master'!$G$2:$G$502,0), IFERROR(MATCH(A124&amp;" (*",'Location Master'!$G$2:$G$502,0), MATCH(A124&amp;"*",'Location Master'!$G$2:$G$502,0)))), ""))</f>
        <v/>
      </c>
      <c r="E124" s="134"/>
      <c r="F124" s="134" t="str">
        <f>IF(OR(A124="",D124=""),"",SUMIFS('Stock Movement'!$F$2:$F$501,'Stock Movement'!$B$2:$B$501,A124,'Stock Movement'!$D$2:$D$501,D124,'Stock Movement'!$E$2:$E$501,"IN"))</f>
        <v/>
      </c>
      <c r="G124" s="134" t="str">
        <f>IF(OR(A124="",D124=""),"",SUMIFS('Stock Movement'!$F$2:$F$501,'Stock Movement'!$B$2:$B$501,A124,'Stock Movement'!$D$2:$D$501,D124,'Stock Movement'!$E$2:$E$501,"OUT"))</f>
        <v/>
      </c>
      <c r="H124" s="134" t="str">
        <f t="shared" si="1"/>
        <v/>
      </c>
      <c r="I124" s="88" t="str">
        <f>IF(A124="","",IFERROR(VLOOKUP(A124,'Material Master'!$A$2:$E$201,4,FALSE),""))</f>
        <v/>
      </c>
      <c r="J124" s="134" t="str">
        <f>IF(A124="","",IFERROR(VLOOKUP(A124,'Material Master'!$A$2:$E$201,5,FALSE),""))</f>
        <v/>
      </c>
      <c r="K124" s="135" t="str">
        <f t="shared" si="2"/>
        <v/>
      </c>
    </row>
    <row r="125" ht="24.0" customHeight="1">
      <c r="A125" s="82"/>
      <c r="B125" s="130" t="str">
        <f>IF(A125="","",IFERROR(VLOOKUP(A125,'Material Master'!$A$2:$E$201,2,FALSE),""))</f>
        <v/>
      </c>
      <c r="C125" s="82" t="str">
        <f>IF(A125="","",IFERROR(VLOOKUP(A125,'Material Master'!$A$2:$E$201,3,FALSE),""))</f>
        <v/>
      </c>
      <c r="D125" s="82" t="str">
        <f t="array" ref="D125">IF(A125="","",IFERROR(INDEX('Location Master'!$E$2:$E$502, IFERROR(MATCH(A125,'Location Master'!$G$2:$G$502,0), IFERROR(MATCH(A125&amp;" (*",'Location Master'!$G$2:$G$502,0), MATCH(A125&amp;"*",'Location Master'!$G$2:$G$502,0)))), ""))</f>
        <v/>
      </c>
      <c r="E125" s="131"/>
      <c r="F125" s="131" t="str">
        <f>IF(OR(A125="",D125=""),"",SUMIFS('Stock Movement'!$F$2:$F$501,'Stock Movement'!$B$2:$B$501,A125,'Stock Movement'!$D$2:$D$501,D125,'Stock Movement'!$E$2:$E$501,"IN"))</f>
        <v/>
      </c>
      <c r="G125" s="131" t="str">
        <f>IF(OR(A125="",D125=""),"",SUMIFS('Stock Movement'!$F$2:$F$501,'Stock Movement'!$B$2:$B$501,A125,'Stock Movement'!$D$2:$D$501,D125,'Stock Movement'!$E$2:$E$501,"OUT"))</f>
        <v/>
      </c>
      <c r="H125" s="131" t="str">
        <f t="shared" si="1"/>
        <v/>
      </c>
      <c r="I125" s="82" t="str">
        <f>IF(A125="","",IFERROR(VLOOKUP(A125,'Material Master'!$A$2:$E$201,4,FALSE),""))</f>
        <v/>
      </c>
      <c r="J125" s="131" t="str">
        <f>IF(A125="","",IFERROR(VLOOKUP(A125,'Material Master'!$A$2:$E$201,5,FALSE),""))</f>
        <v/>
      </c>
      <c r="K125" s="132" t="str">
        <f t="shared" si="2"/>
        <v/>
      </c>
    </row>
    <row r="126" ht="24.0" customHeight="1">
      <c r="A126" s="88"/>
      <c r="B126" s="133" t="str">
        <f>IF(A126="","",IFERROR(VLOOKUP(A126,'Material Master'!$A$2:$E$201,2,FALSE),""))</f>
        <v/>
      </c>
      <c r="C126" s="88" t="str">
        <f>IF(A126="","",IFERROR(VLOOKUP(A126,'Material Master'!$A$2:$E$201,3,FALSE),""))</f>
        <v/>
      </c>
      <c r="D126" s="88" t="str">
        <f t="array" ref="D126">IF(A126="","",IFERROR(INDEX('Location Master'!$E$2:$E$502, IFERROR(MATCH(A126,'Location Master'!$G$2:$G$502,0), IFERROR(MATCH(A126&amp;" (*",'Location Master'!$G$2:$G$502,0), MATCH(A126&amp;"*",'Location Master'!$G$2:$G$502,0)))), ""))</f>
        <v/>
      </c>
      <c r="E126" s="134"/>
      <c r="F126" s="134" t="str">
        <f>IF(OR(A126="",D126=""),"",SUMIFS('Stock Movement'!$F$2:$F$501,'Stock Movement'!$B$2:$B$501,A126,'Stock Movement'!$D$2:$D$501,D126,'Stock Movement'!$E$2:$E$501,"IN"))</f>
        <v/>
      </c>
      <c r="G126" s="134" t="str">
        <f>IF(OR(A126="",D126=""),"",SUMIFS('Stock Movement'!$F$2:$F$501,'Stock Movement'!$B$2:$B$501,A126,'Stock Movement'!$D$2:$D$501,D126,'Stock Movement'!$E$2:$E$501,"OUT"))</f>
        <v/>
      </c>
      <c r="H126" s="134" t="str">
        <f t="shared" si="1"/>
        <v/>
      </c>
      <c r="I126" s="88" t="str">
        <f>IF(A126="","",IFERROR(VLOOKUP(A126,'Material Master'!$A$2:$E$201,4,FALSE),""))</f>
        <v/>
      </c>
      <c r="J126" s="134" t="str">
        <f>IF(A126="","",IFERROR(VLOOKUP(A126,'Material Master'!$A$2:$E$201,5,FALSE),""))</f>
        <v/>
      </c>
      <c r="K126" s="135" t="str">
        <f t="shared" si="2"/>
        <v/>
      </c>
    </row>
    <row r="127" ht="24.0" customHeight="1">
      <c r="A127" s="82"/>
      <c r="B127" s="130" t="str">
        <f>IF(A127="","",IFERROR(VLOOKUP(A127,'Material Master'!$A$2:$E$201,2,FALSE),""))</f>
        <v/>
      </c>
      <c r="C127" s="82" t="str">
        <f>IF(A127="","",IFERROR(VLOOKUP(A127,'Material Master'!$A$2:$E$201,3,FALSE),""))</f>
        <v/>
      </c>
      <c r="D127" s="82" t="str">
        <f t="array" ref="D127">IF(A127="","",IFERROR(INDEX('Location Master'!$E$2:$E$502, IFERROR(MATCH(A127,'Location Master'!$G$2:$G$502,0), IFERROR(MATCH(A127&amp;" (*",'Location Master'!$G$2:$G$502,0), MATCH(A127&amp;"*",'Location Master'!$G$2:$G$502,0)))), ""))</f>
        <v/>
      </c>
      <c r="E127" s="131"/>
      <c r="F127" s="131" t="str">
        <f>IF(OR(A127="",D127=""),"",SUMIFS('Stock Movement'!$F$2:$F$501,'Stock Movement'!$B$2:$B$501,A127,'Stock Movement'!$D$2:$D$501,D127,'Stock Movement'!$E$2:$E$501,"IN"))</f>
        <v/>
      </c>
      <c r="G127" s="131" t="str">
        <f>IF(OR(A127="",D127=""),"",SUMIFS('Stock Movement'!$F$2:$F$501,'Stock Movement'!$B$2:$B$501,A127,'Stock Movement'!$D$2:$D$501,D127,'Stock Movement'!$E$2:$E$501,"OUT"))</f>
        <v/>
      </c>
      <c r="H127" s="131" t="str">
        <f t="shared" si="1"/>
        <v/>
      </c>
      <c r="I127" s="82" t="str">
        <f>IF(A127="","",IFERROR(VLOOKUP(A127,'Material Master'!$A$2:$E$201,4,FALSE),""))</f>
        <v/>
      </c>
      <c r="J127" s="131" t="str">
        <f>IF(A127="","",IFERROR(VLOOKUP(A127,'Material Master'!$A$2:$E$201,5,FALSE),""))</f>
        <v/>
      </c>
      <c r="K127" s="132" t="str">
        <f t="shared" si="2"/>
        <v/>
      </c>
    </row>
    <row r="128" ht="24.0" customHeight="1">
      <c r="A128" s="88"/>
      <c r="B128" s="133" t="str">
        <f>IF(A128="","",IFERROR(VLOOKUP(A128,'Material Master'!$A$2:$E$201,2,FALSE),""))</f>
        <v/>
      </c>
      <c r="C128" s="88" t="str">
        <f>IF(A128="","",IFERROR(VLOOKUP(A128,'Material Master'!$A$2:$E$201,3,FALSE),""))</f>
        <v/>
      </c>
      <c r="D128" s="88" t="str">
        <f t="array" ref="D128">IF(A128="","",IFERROR(INDEX('Location Master'!$E$2:$E$502, IFERROR(MATCH(A128,'Location Master'!$G$2:$G$502,0), IFERROR(MATCH(A128&amp;" (*",'Location Master'!$G$2:$G$502,0), MATCH(A128&amp;"*",'Location Master'!$G$2:$G$502,0)))), ""))</f>
        <v/>
      </c>
      <c r="E128" s="134"/>
      <c r="F128" s="134" t="str">
        <f>IF(OR(A128="",D128=""),"",SUMIFS('Stock Movement'!$F$2:$F$501,'Stock Movement'!$B$2:$B$501,A128,'Stock Movement'!$D$2:$D$501,D128,'Stock Movement'!$E$2:$E$501,"IN"))</f>
        <v/>
      </c>
      <c r="G128" s="134" t="str">
        <f>IF(OR(A128="",D128=""),"",SUMIFS('Stock Movement'!$F$2:$F$501,'Stock Movement'!$B$2:$B$501,A128,'Stock Movement'!$D$2:$D$501,D128,'Stock Movement'!$E$2:$E$501,"OUT"))</f>
        <v/>
      </c>
      <c r="H128" s="134" t="str">
        <f t="shared" si="1"/>
        <v/>
      </c>
      <c r="I128" s="88" t="str">
        <f>IF(A128="","",IFERROR(VLOOKUP(A128,'Material Master'!$A$2:$E$201,4,FALSE),""))</f>
        <v/>
      </c>
      <c r="J128" s="134" t="str">
        <f>IF(A128="","",IFERROR(VLOOKUP(A128,'Material Master'!$A$2:$E$201,5,FALSE),""))</f>
        <v/>
      </c>
      <c r="K128" s="135" t="str">
        <f t="shared" si="2"/>
        <v/>
      </c>
    </row>
    <row r="129" ht="24.0" customHeight="1">
      <c r="A129" s="82"/>
      <c r="B129" s="130" t="str">
        <f>IF(A129="","",IFERROR(VLOOKUP(A129,'Material Master'!$A$2:$E$201,2,FALSE),""))</f>
        <v/>
      </c>
      <c r="C129" s="82" t="str">
        <f>IF(A129="","",IFERROR(VLOOKUP(A129,'Material Master'!$A$2:$E$201,3,FALSE),""))</f>
        <v/>
      </c>
      <c r="D129" s="82" t="str">
        <f t="array" ref="D129">IF(A129="","",IFERROR(INDEX('Location Master'!$E$2:$E$502, IFERROR(MATCH(A129,'Location Master'!$G$2:$G$502,0), IFERROR(MATCH(A129&amp;" (*",'Location Master'!$G$2:$G$502,0), MATCH(A129&amp;"*",'Location Master'!$G$2:$G$502,0)))), ""))</f>
        <v/>
      </c>
      <c r="E129" s="131"/>
      <c r="F129" s="131" t="str">
        <f>IF(OR(A129="",D129=""),"",SUMIFS('Stock Movement'!$F$2:$F$501,'Stock Movement'!$B$2:$B$501,A129,'Stock Movement'!$D$2:$D$501,D129,'Stock Movement'!$E$2:$E$501,"IN"))</f>
        <v/>
      </c>
      <c r="G129" s="131" t="str">
        <f>IF(OR(A129="",D129=""),"",SUMIFS('Stock Movement'!$F$2:$F$501,'Stock Movement'!$B$2:$B$501,A129,'Stock Movement'!$D$2:$D$501,D129,'Stock Movement'!$E$2:$E$501,"OUT"))</f>
        <v/>
      </c>
      <c r="H129" s="131" t="str">
        <f t="shared" si="1"/>
        <v/>
      </c>
      <c r="I129" s="82" t="str">
        <f>IF(A129="","",IFERROR(VLOOKUP(A129,'Material Master'!$A$2:$E$201,4,FALSE),""))</f>
        <v/>
      </c>
      <c r="J129" s="131" t="str">
        <f>IF(A129="","",IFERROR(VLOOKUP(A129,'Material Master'!$A$2:$E$201,5,FALSE),""))</f>
        <v/>
      </c>
      <c r="K129" s="132" t="str">
        <f t="shared" si="2"/>
        <v/>
      </c>
    </row>
    <row r="130" ht="24.0" customHeight="1">
      <c r="A130" s="88"/>
      <c r="B130" s="133" t="str">
        <f>IF(A130="","",IFERROR(VLOOKUP(A130,'Material Master'!$A$2:$E$201,2,FALSE),""))</f>
        <v/>
      </c>
      <c r="C130" s="88" t="str">
        <f>IF(A130="","",IFERROR(VLOOKUP(A130,'Material Master'!$A$2:$E$201,3,FALSE),""))</f>
        <v/>
      </c>
      <c r="D130" s="88" t="str">
        <f t="array" ref="D130">IF(A130="","",IFERROR(INDEX('Location Master'!$E$2:$E$502, IFERROR(MATCH(A130,'Location Master'!$G$2:$G$502,0), IFERROR(MATCH(A130&amp;" (*",'Location Master'!$G$2:$G$502,0), MATCH(A130&amp;"*",'Location Master'!$G$2:$G$502,0)))), ""))</f>
        <v/>
      </c>
      <c r="E130" s="134"/>
      <c r="F130" s="134" t="str">
        <f>IF(OR(A130="",D130=""),"",SUMIFS('Stock Movement'!$F$2:$F$501,'Stock Movement'!$B$2:$B$501,A130,'Stock Movement'!$D$2:$D$501,D130,'Stock Movement'!$E$2:$E$501,"IN"))</f>
        <v/>
      </c>
      <c r="G130" s="134" t="str">
        <f>IF(OR(A130="",D130=""),"",SUMIFS('Stock Movement'!$F$2:$F$501,'Stock Movement'!$B$2:$B$501,A130,'Stock Movement'!$D$2:$D$501,D130,'Stock Movement'!$E$2:$E$501,"OUT"))</f>
        <v/>
      </c>
      <c r="H130" s="134" t="str">
        <f t="shared" si="1"/>
        <v/>
      </c>
      <c r="I130" s="88" t="str">
        <f>IF(A130="","",IFERROR(VLOOKUP(A130,'Material Master'!$A$2:$E$201,4,FALSE),""))</f>
        <v/>
      </c>
      <c r="J130" s="134" t="str">
        <f>IF(A130="","",IFERROR(VLOOKUP(A130,'Material Master'!$A$2:$E$201,5,FALSE),""))</f>
        <v/>
      </c>
      <c r="K130" s="135" t="str">
        <f t="shared" si="2"/>
        <v/>
      </c>
    </row>
    <row r="131" ht="24.0" customHeight="1">
      <c r="A131" s="82"/>
      <c r="B131" s="130" t="str">
        <f>IF(A131="","",IFERROR(VLOOKUP(A131,'Material Master'!$A$2:$E$201,2,FALSE),""))</f>
        <v/>
      </c>
      <c r="C131" s="82" t="str">
        <f>IF(A131="","",IFERROR(VLOOKUP(A131,'Material Master'!$A$2:$E$201,3,FALSE),""))</f>
        <v/>
      </c>
      <c r="D131" s="82" t="str">
        <f t="array" ref="D131">IF(A131="","",IFERROR(INDEX('Location Master'!$E$2:$E$502, IFERROR(MATCH(A131,'Location Master'!$G$2:$G$502,0), IFERROR(MATCH(A131&amp;" (*",'Location Master'!$G$2:$G$502,0), MATCH(A131&amp;"*",'Location Master'!$G$2:$G$502,0)))), ""))</f>
        <v/>
      </c>
      <c r="E131" s="131"/>
      <c r="F131" s="131" t="str">
        <f>IF(OR(A131="",D131=""),"",SUMIFS('Stock Movement'!$F$2:$F$501,'Stock Movement'!$B$2:$B$501,A131,'Stock Movement'!$D$2:$D$501,D131,'Stock Movement'!$E$2:$E$501,"IN"))</f>
        <v/>
      </c>
      <c r="G131" s="131" t="str">
        <f>IF(OR(A131="",D131=""),"",SUMIFS('Stock Movement'!$F$2:$F$501,'Stock Movement'!$B$2:$B$501,A131,'Stock Movement'!$D$2:$D$501,D131,'Stock Movement'!$E$2:$E$501,"OUT"))</f>
        <v/>
      </c>
      <c r="H131" s="131" t="str">
        <f t="shared" si="1"/>
        <v/>
      </c>
      <c r="I131" s="82" t="str">
        <f>IF(A131="","",IFERROR(VLOOKUP(A131,'Material Master'!$A$2:$E$201,4,FALSE),""))</f>
        <v/>
      </c>
      <c r="J131" s="131" t="str">
        <f>IF(A131="","",IFERROR(VLOOKUP(A131,'Material Master'!$A$2:$E$201,5,FALSE),""))</f>
        <v/>
      </c>
      <c r="K131" s="132" t="str">
        <f t="shared" si="2"/>
        <v/>
      </c>
    </row>
    <row r="132" ht="24.0" customHeight="1">
      <c r="A132" s="88"/>
      <c r="B132" s="133" t="str">
        <f>IF(A132="","",IFERROR(VLOOKUP(A132,'Material Master'!$A$2:$E$201,2,FALSE),""))</f>
        <v/>
      </c>
      <c r="C132" s="88" t="str">
        <f>IF(A132="","",IFERROR(VLOOKUP(A132,'Material Master'!$A$2:$E$201,3,FALSE),""))</f>
        <v/>
      </c>
      <c r="D132" s="88" t="str">
        <f t="array" ref="D132">IF(A132="","",IFERROR(INDEX('Location Master'!$E$2:$E$502, IFERROR(MATCH(A132,'Location Master'!$G$2:$G$502,0), IFERROR(MATCH(A132&amp;" (*",'Location Master'!$G$2:$G$502,0), MATCH(A132&amp;"*",'Location Master'!$G$2:$G$502,0)))), ""))</f>
        <v/>
      </c>
      <c r="E132" s="134"/>
      <c r="F132" s="134" t="str">
        <f>IF(OR(A132="",D132=""),"",SUMIFS('Stock Movement'!$F$2:$F$501,'Stock Movement'!$B$2:$B$501,A132,'Stock Movement'!$D$2:$D$501,D132,'Stock Movement'!$E$2:$E$501,"IN"))</f>
        <v/>
      </c>
      <c r="G132" s="134" t="str">
        <f>IF(OR(A132="",D132=""),"",SUMIFS('Stock Movement'!$F$2:$F$501,'Stock Movement'!$B$2:$B$501,A132,'Stock Movement'!$D$2:$D$501,D132,'Stock Movement'!$E$2:$E$501,"OUT"))</f>
        <v/>
      </c>
      <c r="H132" s="134" t="str">
        <f t="shared" si="1"/>
        <v/>
      </c>
      <c r="I132" s="88" t="str">
        <f>IF(A132="","",IFERROR(VLOOKUP(A132,'Material Master'!$A$2:$E$201,4,FALSE),""))</f>
        <v/>
      </c>
      <c r="J132" s="134" t="str">
        <f>IF(A132="","",IFERROR(VLOOKUP(A132,'Material Master'!$A$2:$E$201,5,FALSE),""))</f>
        <v/>
      </c>
      <c r="K132" s="135" t="str">
        <f t="shared" si="2"/>
        <v/>
      </c>
    </row>
    <row r="133" ht="24.0" customHeight="1">
      <c r="A133" s="82"/>
      <c r="B133" s="130" t="str">
        <f>IF(A133="","",IFERROR(VLOOKUP(A133,'Material Master'!$A$2:$E$201,2,FALSE),""))</f>
        <v/>
      </c>
      <c r="C133" s="82" t="str">
        <f>IF(A133="","",IFERROR(VLOOKUP(A133,'Material Master'!$A$2:$E$201,3,FALSE),""))</f>
        <v/>
      </c>
      <c r="D133" s="82" t="str">
        <f t="array" ref="D133">IF(A133="","",IFERROR(INDEX('Location Master'!$E$2:$E$502, IFERROR(MATCH(A133,'Location Master'!$G$2:$G$502,0), IFERROR(MATCH(A133&amp;" (*",'Location Master'!$G$2:$G$502,0), MATCH(A133&amp;"*",'Location Master'!$G$2:$G$502,0)))), ""))</f>
        <v/>
      </c>
      <c r="E133" s="131"/>
      <c r="F133" s="131" t="str">
        <f>IF(OR(A133="",D133=""),"",SUMIFS('Stock Movement'!$F$2:$F$501,'Stock Movement'!$B$2:$B$501,A133,'Stock Movement'!$D$2:$D$501,D133,'Stock Movement'!$E$2:$E$501,"IN"))</f>
        <v/>
      </c>
      <c r="G133" s="131" t="str">
        <f>IF(OR(A133="",D133=""),"",SUMIFS('Stock Movement'!$F$2:$F$501,'Stock Movement'!$B$2:$B$501,A133,'Stock Movement'!$D$2:$D$501,D133,'Stock Movement'!$E$2:$E$501,"OUT"))</f>
        <v/>
      </c>
      <c r="H133" s="131" t="str">
        <f t="shared" si="1"/>
        <v/>
      </c>
      <c r="I133" s="82" t="str">
        <f>IF(A133="","",IFERROR(VLOOKUP(A133,'Material Master'!$A$2:$E$201,4,FALSE),""))</f>
        <v/>
      </c>
      <c r="J133" s="131" t="str">
        <f>IF(A133="","",IFERROR(VLOOKUP(A133,'Material Master'!$A$2:$E$201,5,FALSE),""))</f>
        <v/>
      </c>
      <c r="K133" s="132" t="str">
        <f t="shared" si="2"/>
        <v/>
      </c>
    </row>
    <row r="134" ht="24.0" customHeight="1">
      <c r="A134" s="88"/>
      <c r="B134" s="133" t="str">
        <f>IF(A134="","",IFERROR(VLOOKUP(A134,'Material Master'!$A$2:$E$201,2,FALSE),""))</f>
        <v/>
      </c>
      <c r="C134" s="88" t="str">
        <f>IF(A134="","",IFERROR(VLOOKUP(A134,'Material Master'!$A$2:$E$201,3,FALSE),""))</f>
        <v/>
      </c>
      <c r="D134" s="88" t="str">
        <f t="array" ref="D134">IF(A134="","",IFERROR(INDEX('Location Master'!$E$2:$E$502, IFERROR(MATCH(A134,'Location Master'!$G$2:$G$502,0), IFERROR(MATCH(A134&amp;" (*",'Location Master'!$G$2:$G$502,0), MATCH(A134&amp;"*",'Location Master'!$G$2:$G$502,0)))), ""))</f>
        <v/>
      </c>
      <c r="E134" s="134"/>
      <c r="F134" s="134" t="str">
        <f>IF(OR(A134="",D134=""),"",SUMIFS('Stock Movement'!$F$2:$F$501,'Stock Movement'!$B$2:$B$501,A134,'Stock Movement'!$D$2:$D$501,D134,'Stock Movement'!$E$2:$E$501,"IN"))</f>
        <v/>
      </c>
      <c r="G134" s="134" t="str">
        <f>IF(OR(A134="",D134=""),"",SUMIFS('Stock Movement'!$F$2:$F$501,'Stock Movement'!$B$2:$B$501,A134,'Stock Movement'!$D$2:$D$501,D134,'Stock Movement'!$E$2:$E$501,"OUT"))</f>
        <v/>
      </c>
      <c r="H134" s="134" t="str">
        <f t="shared" si="1"/>
        <v/>
      </c>
      <c r="I134" s="88" t="str">
        <f>IF(A134="","",IFERROR(VLOOKUP(A134,'Material Master'!$A$2:$E$201,4,FALSE),""))</f>
        <v/>
      </c>
      <c r="J134" s="134" t="str">
        <f>IF(A134="","",IFERROR(VLOOKUP(A134,'Material Master'!$A$2:$E$201,5,FALSE),""))</f>
        <v/>
      </c>
      <c r="K134" s="135" t="str">
        <f t="shared" si="2"/>
        <v/>
      </c>
    </row>
    <row r="135" ht="24.0" customHeight="1">
      <c r="A135" s="82"/>
      <c r="B135" s="130" t="str">
        <f>IF(A135="","",IFERROR(VLOOKUP(A135,'Material Master'!$A$2:$E$201,2,FALSE),""))</f>
        <v/>
      </c>
      <c r="C135" s="82" t="str">
        <f>IF(A135="","",IFERROR(VLOOKUP(A135,'Material Master'!$A$2:$E$201,3,FALSE),""))</f>
        <v/>
      </c>
      <c r="D135" s="82" t="str">
        <f t="array" ref="D135">IF(A135="","",IFERROR(INDEX('Location Master'!$E$2:$E$502, IFERROR(MATCH(A135,'Location Master'!$G$2:$G$502,0), IFERROR(MATCH(A135&amp;" (*",'Location Master'!$G$2:$G$502,0), MATCH(A135&amp;"*",'Location Master'!$G$2:$G$502,0)))), ""))</f>
        <v/>
      </c>
      <c r="E135" s="131"/>
      <c r="F135" s="131" t="str">
        <f>IF(OR(A135="",D135=""),"",SUMIFS('Stock Movement'!$F$2:$F$501,'Stock Movement'!$B$2:$B$501,A135,'Stock Movement'!$D$2:$D$501,D135,'Stock Movement'!$E$2:$E$501,"IN"))</f>
        <v/>
      </c>
      <c r="G135" s="131" t="str">
        <f>IF(OR(A135="",D135=""),"",SUMIFS('Stock Movement'!$F$2:$F$501,'Stock Movement'!$B$2:$B$501,A135,'Stock Movement'!$D$2:$D$501,D135,'Stock Movement'!$E$2:$E$501,"OUT"))</f>
        <v/>
      </c>
      <c r="H135" s="131" t="str">
        <f t="shared" si="1"/>
        <v/>
      </c>
      <c r="I135" s="82" t="str">
        <f>IF(A135="","",IFERROR(VLOOKUP(A135,'Material Master'!$A$2:$E$201,4,FALSE),""))</f>
        <v/>
      </c>
      <c r="J135" s="131" t="str">
        <f>IF(A135="","",IFERROR(VLOOKUP(A135,'Material Master'!$A$2:$E$201,5,FALSE),""))</f>
        <v/>
      </c>
      <c r="K135" s="132" t="str">
        <f t="shared" si="2"/>
        <v/>
      </c>
    </row>
    <row r="136" ht="24.0" customHeight="1">
      <c r="A136" s="88"/>
      <c r="B136" s="133" t="str">
        <f>IF(A136="","",IFERROR(VLOOKUP(A136,'Material Master'!$A$2:$E$201,2,FALSE),""))</f>
        <v/>
      </c>
      <c r="C136" s="88" t="str">
        <f>IF(A136="","",IFERROR(VLOOKUP(A136,'Material Master'!$A$2:$E$201,3,FALSE),""))</f>
        <v/>
      </c>
      <c r="D136" s="88" t="str">
        <f t="array" ref="D136">IF(A136="","",IFERROR(INDEX('Location Master'!$E$2:$E$502, IFERROR(MATCH(A136,'Location Master'!$G$2:$G$502,0), IFERROR(MATCH(A136&amp;" (*",'Location Master'!$G$2:$G$502,0), MATCH(A136&amp;"*",'Location Master'!$G$2:$G$502,0)))), ""))</f>
        <v/>
      </c>
      <c r="E136" s="134"/>
      <c r="F136" s="134" t="str">
        <f>IF(OR(A136="",D136=""),"",SUMIFS('Stock Movement'!$F$2:$F$501,'Stock Movement'!$B$2:$B$501,A136,'Stock Movement'!$D$2:$D$501,D136,'Stock Movement'!$E$2:$E$501,"IN"))</f>
        <v/>
      </c>
      <c r="G136" s="134" t="str">
        <f>IF(OR(A136="",D136=""),"",SUMIFS('Stock Movement'!$F$2:$F$501,'Stock Movement'!$B$2:$B$501,A136,'Stock Movement'!$D$2:$D$501,D136,'Stock Movement'!$E$2:$E$501,"OUT"))</f>
        <v/>
      </c>
      <c r="H136" s="134" t="str">
        <f t="shared" si="1"/>
        <v/>
      </c>
      <c r="I136" s="88" t="str">
        <f>IF(A136="","",IFERROR(VLOOKUP(A136,'Material Master'!$A$2:$E$201,4,FALSE),""))</f>
        <v/>
      </c>
      <c r="J136" s="134" t="str">
        <f>IF(A136="","",IFERROR(VLOOKUP(A136,'Material Master'!$A$2:$E$201,5,FALSE),""))</f>
        <v/>
      </c>
      <c r="K136" s="135" t="str">
        <f t="shared" si="2"/>
        <v/>
      </c>
    </row>
    <row r="137" ht="24.0" customHeight="1">
      <c r="A137" s="82"/>
      <c r="B137" s="130" t="str">
        <f>IF(A137="","",IFERROR(VLOOKUP(A137,'Material Master'!$A$2:$E$201,2,FALSE),""))</f>
        <v/>
      </c>
      <c r="C137" s="82" t="str">
        <f>IF(A137="","",IFERROR(VLOOKUP(A137,'Material Master'!$A$2:$E$201,3,FALSE),""))</f>
        <v/>
      </c>
      <c r="D137" s="82" t="str">
        <f t="array" ref="D137">IF(A137="","",IFERROR(INDEX('Location Master'!$E$2:$E$502, IFERROR(MATCH(A137,'Location Master'!$G$2:$G$502,0), IFERROR(MATCH(A137&amp;" (*",'Location Master'!$G$2:$G$502,0), MATCH(A137&amp;"*",'Location Master'!$G$2:$G$502,0)))), ""))</f>
        <v/>
      </c>
      <c r="E137" s="131"/>
      <c r="F137" s="131" t="str">
        <f>IF(OR(A137="",D137=""),"",SUMIFS('Stock Movement'!$F$2:$F$501,'Stock Movement'!$B$2:$B$501,A137,'Stock Movement'!$D$2:$D$501,D137,'Stock Movement'!$E$2:$E$501,"IN"))</f>
        <v/>
      </c>
      <c r="G137" s="131" t="str">
        <f>IF(OR(A137="",D137=""),"",SUMIFS('Stock Movement'!$F$2:$F$501,'Stock Movement'!$B$2:$B$501,A137,'Stock Movement'!$D$2:$D$501,D137,'Stock Movement'!$E$2:$E$501,"OUT"))</f>
        <v/>
      </c>
      <c r="H137" s="131" t="str">
        <f t="shared" si="1"/>
        <v/>
      </c>
      <c r="I137" s="82" t="str">
        <f>IF(A137="","",IFERROR(VLOOKUP(A137,'Material Master'!$A$2:$E$201,4,FALSE),""))</f>
        <v/>
      </c>
      <c r="J137" s="131" t="str">
        <f>IF(A137="","",IFERROR(VLOOKUP(A137,'Material Master'!$A$2:$E$201,5,FALSE),""))</f>
        <v/>
      </c>
      <c r="K137" s="132" t="str">
        <f t="shared" si="2"/>
        <v/>
      </c>
    </row>
    <row r="138" ht="24.0" customHeight="1">
      <c r="A138" s="88"/>
      <c r="B138" s="133" t="str">
        <f>IF(A138="","",IFERROR(VLOOKUP(A138,'Material Master'!$A$2:$E$201,2,FALSE),""))</f>
        <v/>
      </c>
      <c r="C138" s="88" t="str">
        <f>IF(A138="","",IFERROR(VLOOKUP(A138,'Material Master'!$A$2:$E$201,3,FALSE),""))</f>
        <v/>
      </c>
      <c r="D138" s="88" t="str">
        <f t="array" ref="D138">IF(A138="","",IFERROR(INDEX('Location Master'!$E$2:$E$502, IFERROR(MATCH(A138,'Location Master'!$G$2:$G$502,0), IFERROR(MATCH(A138&amp;" (*",'Location Master'!$G$2:$G$502,0), MATCH(A138&amp;"*",'Location Master'!$G$2:$G$502,0)))), ""))</f>
        <v/>
      </c>
      <c r="E138" s="134"/>
      <c r="F138" s="134" t="str">
        <f>IF(OR(A138="",D138=""),"",SUMIFS('Stock Movement'!$F$2:$F$501,'Stock Movement'!$B$2:$B$501,A138,'Stock Movement'!$D$2:$D$501,D138,'Stock Movement'!$E$2:$E$501,"IN"))</f>
        <v/>
      </c>
      <c r="G138" s="134" t="str">
        <f>IF(OR(A138="",D138=""),"",SUMIFS('Stock Movement'!$F$2:$F$501,'Stock Movement'!$B$2:$B$501,A138,'Stock Movement'!$D$2:$D$501,D138,'Stock Movement'!$E$2:$E$501,"OUT"))</f>
        <v/>
      </c>
      <c r="H138" s="134" t="str">
        <f t="shared" si="1"/>
        <v/>
      </c>
      <c r="I138" s="88" t="str">
        <f>IF(A138="","",IFERROR(VLOOKUP(A138,'Material Master'!$A$2:$E$201,4,FALSE),""))</f>
        <v/>
      </c>
      <c r="J138" s="134" t="str">
        <f>IF(A138="","",IFERROR(VLOOKUP(A138,'Material Master'!$A$2:$E$201,5,FALSE),""))</f>
        <v/>
      </c>
      <c r="K138" s="135" t="str">
        <f t="shared" si="2"/>
        <v/>
      </c>
    </row>
    <row r="139" ht="24.0" customHeight="1">
      <c r="A139" s="82"/>
      <c r="B139" s="130" t="str">
        <f>IF(A139="","",IFERROR(VLOOKUP(A139,'Material Master'!$A$2:$E$201,2,FALSE),""))</f>
        <v/>
      </c>
      <c r="C139" s="82" t="str">
        <f>IF(A139="","",IFERROR(VLOOKUP(A139,'Material Master'!$A$2:$E$201,3,FALSE),""))</f>
        <v/>
      </c>
      <c r="D139" s="82" t="str">
        <f t="array" ref="D139">IF(A139="","",IFERROR(INDEX('Location Master'!$E$2:$E$502, IFERROR(MATCH(A139,'Location Master'!$G$2:$G$502,0), IFERROR(MATCH(A139&amp;" (*",'Location Master'!$G$2:$G$502,0), MATCH(A139&amp;"*",'Location Master'!$G$2:$G$502,0)))), ""))</f>
        <v/>
      </c>
      <c r="E139" s="131"/>
      <c r="F139" s="131" t="str">
        <f>IF(OR(A139="",D139=""),"",SUMIFS('Stock Movement'!$F$2:$F$501,'Stock Movement'!$B$2:$B$501,A139,'Stock Movement'!$D$2:$D$501,D139,'Stock Movement'!$E$2:$E$501,"IN"))</f>
        <v/>
      </c>
      <c r="G139" s="131" t="str">
        <f>IF(OR(A139="",D139=""),"",SUMIFS('Stock Movement'!$F$2:$F$501,'Stock Movement'!$B$2:$B$501,A139,'Stock Movement'!$D$2:$D$501,D139,'Stock Movement'!$E$2:$E$501,"OUT"))</f>
        <v/>
      </c>
      <c r="H139" s="131" t="str">
        <f t="shared" si="1"/>
        <v/>
      </c>
      <c r="I139" s="82" t="str">
        <f>IF(A139="","",IFERROR(VLOOKUP(A139,'Material Master'!$A$2:$E$201,4,FALSE),""))</f>
        <v/>
      </c>
      <c r="J139" s="131" t="str">
        <f>IF(A139="","",IFERROR(VLOOKUP(A139,'Material Master'!$A$2:$E$201,5,FALSE),""))</f>
        <v/>
      </c>
      <c r="K139" s="132" t="str">
        <f t="shared" si="2"/>
        <v/>
      </c>
    </row>
    <row r="140" ht="24.0" customHeight="1">
      <c r="A140" s="88"/>
      <c r="B140" s="133" t="str">
        <f>IF(A140="","",IFERROR(VLOOKUP(A140,'Material Master'!$A$2:$E$201,2,FALSE),""))</f>
        <v/>
      </c>
      <c r="C140" s="88" t="str">
        <f>IF(A140="","",IFERROR(VLOOKUP(A140,'Material Master'!$A$2:$E$201,3,FALSE),""))</f>
        <v/>
      </c>
      <c r="D140" s="88" t="str">
        <f t="array" ref="D140">IF(A140="","",IFERROR(INDEX('Location Master'!$E$2:$E$502, IFERROR(MATCH(A140,'Location Master'!$G$2:$G$502,0), IFERROR(MATCH(A140&amp;" (*",'Location Master'!$G$2:$G$502,0), MATCH(A140&amp;"*",'Location Master'!$G$2:$G$502,0)))), ""))</f>
        <v/>
      </c>
      <c r="E140" s="134"/>
      <c r="F140" s="134" t="str">
        <f>IF(OR(A140="",D140=""),"",SUMIFS('Stock Movement'!$F$2:$F$501,'Stock Movement'!$B$2:$B$501,A140,'Stock Movement'!$D$2:$D$501,D140,'Stock Movement'!$E$2:$E$501,"IN"))</f>
        <v/>
      </c>
      <c r="G140" s="134" t="str">
        <f>IF(OR(A140="",D140=""),"",SUMIFS('Stock Movement'!$F$2:$F$501,'Stock Movement'!$B$2:$B$501,A140,'Stock Movement'!$D$2:$D$501,D140,'Stock Movement'!$E$2:$E$501,"OUT"))</f>
        <v/>
      </c>
      <c r="H140" s="134" t="str">
        <f t="shared" si="1"/>
        <v/>
      </c>
      <c r="I140" s="88" t="str">
        <f>IF(A140="","",IFERROR(VLOOKUP(A140,'Material Master'!$A$2:$E$201,4,FALSE),""))</f>
        <v/>
      </c>
      <c r="J140" s="134" t="str">
        <f>IF(A140="","",IFERROR(VLOOKUP(A140,'Material Master'!$A$2:$E$201,5,FALSE),""))</f>
        <v/>
      </c>
      <c r="K140" s="135" t="str">
        <f t="shared" si="2"/>
        <v/>
      </c>
    </row>
    <row r="141" ht="24.0" customHeight="1">
      <c r="A141" s="82"/>
      <c r="B141" s="130" t="str">
        <f>IF(A141="","",IFERROR(VLOOKUP(A141,'Material Master'!$A$2:$E$201,2,FALSE),""))</f>
        <v/>
      </c>
      <c r="C141" s="82" t="str">
        <f>IF(A141="","",IFERROR(VLOOKUP(A141,'Material Master'!$A$2:$E$201,3,FALSE),""))</f>
        <v/>
      </c>
      <c r="D141" s="82" t="str">
        <f t="array" ref="D141">IF(A141="","",IFERROR(INDEX('Location Master'!$E$2:$E$502, IFERROR(MATCH(A141,'Location Master'!$G$2:$G$502,0), IFERROR(MATCH(A141&amp;" (*",'Location Master'!$G$2:$G$502,0), MATCH(A141&amp;"*",'Location Master'!$G$2:$G$502,0)))), ""))</f>
        <v/>
      </c>
      <c r="E141" s="131"/>
      <c r="F141" s="131" t="str">
        <f>IF(OR(A141="",D141=""),"",SUMIFS('Stock Movement'!$F$2:$F$501,'Stock Movement'!$B$2:$B$501,A141,'Stock Movement'!$D$2:$D$501,D141,'Stock Movement'!$E$2:$E$501,"IN"))</f>
        <v/>
      </c>
      <c r="G141" s="131" t="str">
        <f>IF(OR(A141="",D141=""),"",SUMIFS('Stock Movement'!$F$2:$F$501,'Stock Movement'!$B$2:$B$501,A141,'Stock Movement'!$D$2:$D$501,D141,'Stock Movement'!$E$2:$E$501,"OUT"))</f>
        <v/>
      </c>
      <c r="H141" s="131" t="str">
        <f t="shared" si="1"/>
        <v/>
      </c>
      <c r="I141" s="82" t="str">
        <f>IF(A141="","",IFERROR(VLOOKUP(A141,'Material Master'!$A$2:$E$201,4,FALSE),""))</f>
        <v/>
      </c>
      <c r="J141" s="131" t="str">
        <f>IF(A141="","",IFERROR(VLOOKUP(A141,'Material Master'!$A$2:$E$201,5,FALSE),""))</f>
        <v/>
      </c>
      <c r="K141" s="132" t="str">
        <f t="shared" si="2"/>
        <v/>
      </c>
    </row>
    <row r="142" ht="24.0" customHeight="1">
      <c r="A142" s="88"/>
      <c r="B142" s="133" t="str">
        <f>IF(A142="","",IFERROR(VLOOKUP(A142,'Material Master'!$A$2:$E$201,2,FALSE),""))</f>
        <v/>
      </c>
      <c r="C142" s="88" t="str">
        <f>IF(A142="","",IFERROR(VLOOKUP(A142,'Material Master'!$A$2:$E$201,3,FALSE),""))</f>
        <v/>
      </c>
      <c r="D142" s="88" t="str">
        <f t="array" ref="D142">IF(A142="","",IFERROR(INDEX('Location Master'!$E$2:$E$502, IFERROR(MATCH(A142,'Location Master'!$G$2:$G$502,0), IFERROR(MATCH(A142&amp;" (*",'Location Master'!$G$2:$G$502,0), MATCH(A142&amp;"*",'Location Master'!$G$2:$G$502,0)))), ""))</f>
        <v/>
      </c>
      <c r="E142" s="134"/>
      <c r="F142" s="134" t="str">
        <f>IF(OR(A142="",D142=""),"",SUMIFS('Stock Movement'!$F$2:$F$501,'Stock Movement'!$B$2:$B$501,A142,'Stock Movement'!$D$2:$D$501,D142,'Stock Movement'!$E$2:$E$501,"IN"))</f>
        <v/>
      </c>
      <c r="G142" s="134" t="str">
        <f>IF(OR(A142="",D142=""),"",SUMIFS('Stock Movement'!$F$2:$F$501,'Stock Movement'!$B$2:$B$501,A142,'Stock Movement'!$D$2:$D$501,D142,'Stock Movement'!$E$2:$E$501,"OUT"))</f>
        <v/>
      </c>
      <c r="H142" s="134" t="str">
        <f t="shared" si="1"/>
        <v/>
      </c>
      <c r="I142" s="88" t="str">
        <f>IF(A142="","",IFERROR(VLOOKUP(A142,'Material Master'!$A$2:$E$201,4,FALSE),""))</f>
        <v/>
      </c>
      <c r="J142" s="134" t="str">
        <f>IF(A142="","",IFERROR(VLOOKUP(A142,'Material Master'!$A$2:$E$201,5,FALSE),""))</f>
        <v/>
      </c>
      <c r="K142" s="135" t="str">
        <f t="shared" si="2"/>
        <v/>
      </c>
    </row>
    <row r="143" ht="24.0" customHeight="1">
      <c r="A143" s="82"/>
      <c r="B143" s="130" t="str">
        <f>IF(A143="","",IFERROR(VLOOKUP(A143,'Material Master'!$A$2:$E$201,2,FALSE),""))</f>
        <v/>
      </c>
      <c r="C143" s="82" t="str">
        <f>IF(A143="","",IFERROR(VLOOKUP(A143,'Material Master'!$A$2:$E$201,3,FALSE),""))</f>
        <v/>
      </c>
      <c r="D143" s="82" t="str">
        <f t="array" ref="D143">IF(A143="","",IFERROR(INDEX('Location Master'!$E$2:$E$502, IFERROR(MATCH(A143,'Location Master'!$G$2:$G$502,0), IFERROR(MATCH(A143&amp;" (*",'Location Master'!$G$2:$G$502,0), MATCH(A143&amp;"*",'Location Master'!$G$2:$G$502,0)))), ""))</f>
        <v/>
      </c>
      <c r="E143" s="131"/>
      <c r="F143" s="131" t="str">
        <f>IF(OR(A143="",D143=""),"",SUMIFS('Stock Movement'!$F$2:$F$501,'Stock Movement'!$B$2:$B$501,A143,'Stock Movement'!$D$2:$D$501,D143,'Stock Movement'!$E$2:$E$501,"IN"))</f>
        <v/>
      </c>
      <c r="G143" s="131" t="str">
        <f>IF(OR(A143="",D143=""),"",SUMIFS('Stock Movement'!$F$2:$F$501,'Stock Movement'!$B$2:$B$501,A143,'Stock Movement'!$D$2:$D$501,D143,'Stock Movement'!$E$2:$E$501,"OUT"))</f>
        <v/>
      </c>
      <c r="H143" s="131" t="str">
        <f t="shared" si="1"/>
        <v/>
      </c>
      <c r="I143" s="82" t="str">
        <f>IF(A143="","",IFERROR(VLOOKUP(A143,'Material Master'!$A$2:$E$201,4,FALSE),""))</f>
        <v/>
      </c>
      <c r="J143" s="131" t="str">
        <f>IF(A143="","",IFERROR(VLOOKUP(A143,'Material Master'!$A$2:$E$201,5,FALSE),""))</f>
        <v/>
      </c>
      <c r="K143" s="132" t="str">
        <f t="shared" si="2"/>
        <v/>
      </c>
    </row>
    <row r="144" ht="24.0" customHeight="1">
      <c r="A144" s="88"/>
      <c r="B144" s="133" t="str">
        <f>IF(A144="","",IFERROR(VLOOKUP(A144,'Material Master'!$A$2:$E$201,2,FALSE),""))</f>
        <v/>
      </c>
      <c r="C144" s="88" t="str">
        <f>IF(A144="","",IFERROR(VLOOKUP(A144,'Material Master'!$A$2:$E$201,3,FALSE),""))</f>
        <v/>
      </c>
      <c r="D144" s="88" t="str">
        <f t="array" ref="D144">IF(A144="","",IFERROR(INDEX('Location Master'!$E$2:$E$502, IFERROR(MATCH(A144,'Location Master'!$G$2:$G$502,0), IFERROR(MATCH(A144&amp;" (*",'Location Master'!$G$2:$G$502,0), MATCH(A144&amp;"*",'Location Master'!$G$2:$G$502,0)))), ""))</f>
        <v/>
      </c>
      <c r="E144" s="134"/>
      <c r="F144" s="134" t="str">
        <f>IF(OR(A144="",D144=""),"",SUMIFS('Stock Movement'!$F$2:$F$501,'Stock Movement'!$B$2:$B$501,A144,'Stock Movement'!$D$2:$D$501,D144,'Stock Movement'!$E$2:$E$501,"IN"))</f>
        <v/>
      </c>
      <c r="G144" s="134" t="str">
        <f>IF(OR(A144="",D144=""),"",SUMIFS('Stock Movement'!$F$2:$F$501,'Stock Movement'!$B$2:$B$501,A144,'Stock Movement'!$D$2:$D$501,D144,'Stock Movement'!$E$2:$E$501,"OUT"))</f>
        <v/>
      </c>
      <c r="H144" s="134" t="str">
        <f t="shared" si="1"/>
        <v/>
      </c>
      <c r="I144" s="88" t="str">
        <f>IF(A144="","",IFERROR(VLOOKUP(A144,'Material Master'!$A$2:$E$201,4,FALSE),""))</f>
        <v/>
      </c>
      <c r="J144" s="134" t="str">
        <f>IF(A144="","",IFERROR(VLOOKUP(A144,'Material Master'!$A$2:$E$201,5,FALSE),""))</f>
        <v/>
      </c>
      <c r="K144" s="135" t="str">
        <f t="shared" si="2"/>
        <v/>
      </c>
    </row>
    <row r="145" ht="24.0" customHeight="1">
      <c r="A145" s="82"/>
      <c r="B145" s="130" t="str">
        <f>IF(A145="","",IFERROR(VLOOKUP(A145,'Material Master'!$A$2:$E$201,2,FALSE),""))</f>
        <v/>
      </c>
      <c r="C145" s="82" t="str">
        <f>IF(A145="","",IFERROR(VLOOKUP(A145,'Material Master'!$A$2:$E$201,3,FALSE),""))</f>
        <v/>
      </c>
      <c r="D145" s="82" t="str">
        <f t="array" ref="D145">IF(A145="","",IFERROR(INDEX('Location Master'!$E$2:$E$502, IFERROR(MATCH(A145,'Location Master'!$G$2:$G$502,0), IFERROR(MATCH(A145&amp;" (*",'Location Master'!$G$2:$G$502,0), MATCH(A145&amp;"*",'Location Master'!$G$2:$G$502,0)))), ""))</f>
        <v/>
      </c>
      <c r="E145" s="131"/>
      <c r="F145" s="131" t="str">
        <f>IF(OR(A145="",D145=""),"",SUMIFS('Stock Movement'!$F$2:$F$501,'Stock Movement'!$B$2:$B$501,A145,'Stock Movement'!$D$2:$D$501,D145,'Stock Movement'!$E$2:$E$501,"IN"))</f>
        <v/>
      </c>
      <c r="G145" s="131" t="str">
        <f>IF(OR(A145="",D145=""),"",SUMIFS('Stock Movement'!$F$2:$F$501,'Stock Movement'!$B$2:$B$501,A145,'Stock Movement'!$D$2:$D$501,D145,'Stock Movement'!$E$2:$E$501,"OUT"))</f>
        <v/>
      </c>
      <c r="H145" s="131" t="str">
        <f t="shared" si="1"/>
        <v/>
      </c>
      <c r="I145" s="82" t="str">
        <f>IF(A145="","",IFERROR(VLOOKUP(A145,'Material Master'!$A$2:$E$201,4,FALSE),""))</f>
        <v/>
      </c>
      <c r="J145" s="131" t="str">
        <f>IF(A145="","",IFERROR(VLOOKUP(A145,'Material Master'!$A$2:$E$201,5,FALSE),""))</f>
        <v/>
      </c>
      <c r="K145" s="132" t="str">
        <f t="shared" si="2"/>
        <v/>
      </c>
    </row>
    <row r="146" ht="24.0" customHeight="1">
      <c r="A146" s="88"/>
      <c r="B146" s="133" t="str">
        <f>IF(A146="","",IFERROR(VLOOKUP(A146,'Material Master'!$A$2:$E$201,2,FALSE),""))</f>
        <v/>
      </c>
      <c r="C146" s="88" t="str">
        <f>IF(A146="","",IFERROR(VLOOKUP(A146,'Material Master'!$A$2:$E$201,3,FALSE),""))</f>
        <v/>
      </c>
      <c r="D146" s="88" t="str">
        <f t="array" ref="D146">IF(A146="","",IFERROR(INDEX('Location Master'!$E$2:$E$502, IFERROR(MATCH(A146,'Location Master'!$G$2:$G$502,0), IFERROR(MATCH(A146&amp;" (*",'Location Master'!$G$2:$G$502,0), MATCH(A146&amp;"*",'Location Master'!$G$2:$G$502,0)))), ""))</f>
        <v/>
      </c>
      <c r="E146" s="134"/>
      <c r="F146" s="134" t="str">
        <f>IF(OR(A146="",D146=""),"",SUMIFS('Stock Movement'!$F$2:$F$501,'Stock Movement'!$B$2:$B$501,A146,'Stock Movement'!$D$2:$D$501,D146,'Stock Movement'!$E$2:$E$501,"IN"))</f>
        <v/>
      </c>
      <c r="G146" s="134" t="str">
        <f>IF(OR(A146="",D146=""),"",SUMIFS('Stock Movement'!$F$2:$F$501,'Stock Movement'!$B$2:$B$501,A146,'Stock Movement'!$D$2:$D$501,D146,'Stock Movement'!$E$2:$E$501,"OUT"))</f>
        <v/>
      </c>
      <c r="H146" s="134" t="str">
        <f t="shared" si="1"/>
        <v/>
      </c>
      <c r="I146" s="88" t="str">
        <f>IF(A146="","",IFERROR(VLOOKUP(A146,'Material Master'!$A$2:$E$201,4,FALSE),""))</f>
        <v/>
      </c>
      <c r="J146" s="134" t="str">
        <f>IF(A146="","",IFERROR(VLOOKUP(A146,'Material Master'!$A$2:$E$201,5,FALSE),""))</f>
        <v/>
      </c>
      <c r="K146" s="135" t="str">
        <f t="shared" si="2"/>
        <v/>
      </c>
    </row>
    <row r="147" ht="24.0" customHeight="1">
      <c r="A147" s="82"/>
      <c r="B147" s="130" t="str">
        <f>IF(A147="","",IFERROR(VLOOKUP(A147,'Material Master'!$A$2:$E$201,2,FALSE),""))</f>
        <v/>
      </c>
      <c r="C147" s="82" t="str">
        <f>IF(A147="","",IFERROR(VLOOKUP(A147,'Material Master'!$A$2:$E$201,3,FALSE),""))</f>
        <v/>
      </c>
      <c r="D147" s="82" t="str">
        <f t="array" ref="D147">IF(A147="","",IFERROR(INDEX('Location Master'!$E$2:$E$502, IFERROR(MATCH(A147,'Location Master'!$G$2:$G$502,0), IFERROR(MATCH(A147&amp;" (*",'Location Master'!$G$2:$G$502,0), MATCH(A147&amp;"*",'Location Master'!$G$2:$G$502,0)))), ""))</f>
        <v/>
      </c>
      <c r="E147" s="131"/>
      <c r="F147" s="131" t="str">
        <f>IF(OR(A147="",D147=""),"",SUMIFS('Stock Movement'!$F$2:$F$501,'Stock Movement'!$B$2:$B$501,A147,'Stock Movement'!$D$2:$D$501,D147,'Stock Movement'!$E$2:$E$501,"IN"))</f>
        <v/>
      </c>
      <c r="G147" s="131" t="str">
        <f>IF(OR(A147="",D147=""),"",SUMIFS('Stock Movement'!$F$2:$F$501,'Stock Movement'!$B$2:$B$501,A147,'Stock Movement'!$D$2:$D$501,D147,'Stock Movement'!$E$2:$E$501,"OUT"))</f>
        <v/>
      </c>
      <c r="H147" s="131" t="str">
        <f t="shared" si="1"/>
        <v/>
      </c>
      <c r="I147" s="82" t="str">
        <f>IF(A147="","",IFERROR(VLOOKUP(A147,'Material Master'!$A$2:$E$201,4,FALSE),""))</f>
        <v/>
      </c>
      <c r="J147" s="131" t="str">
        <f>IF(A147="","",IFERROR(VLOOKUP(A147,'Material Master'!$A$2:$E$201,5,FALSE),""))</f>
        <v/>
      </c>
      <c r="K147" s="132" t="str">
        <f t="shared" si="2"/>
        <v/>
      </c>
    </row>
    <row r="148" ht="24.0" customHeight="1">
      <c r="A148" s="88"/>
      <c r="B148" s="133" t="str">
        <f>IF(A148="","",IFERROR(VLOOKUP(A148,'Material Master'!$A$2:$E$201,2,FALSE),""))</f>
        <v/>
      </c>
      <c r="C148" s="88" t="str">
        <f>IF(A148="","",IFERROR(VLOOKUP(A148,'Material Master'!$A$2:$E$201,3,FALSE),""))</f>
        <v/>
      </c>
      <c r="D148" s="88" t="str">
        <f t="array" ref="D148">IF(A148="","",IFERROR(INDEX('Location Master'!$E$2:$E$502, IFERROR(MATCH(A148,'Location Master'!$G$2:$G$502,0), IFERROR(MATCH(A148&amp;" (*",'Location Master'!$G$2:$G$502,0), MATCH(A148&amp;"*",'Location Master'!$G$2:$G$502,0)))), ""))</f>
        <v/>
      </c>
      <c r="E148" s="134"/>
      <c r="F148" s="134" t="str">
        <f>IF(OR(A148="",D148=""),"",SUMIFS('Stock Movement'!$F$2:$F$501,'Stock Movement'!$B$2:$B$501,A148,'Stock Movement'!$D$2:$D$501,D148,'Stock Movement'!$E$2:$E$501,"IN"))</f>
        <v/>
      </c>
      <c r="G148" s="134" t="str">
        <f>IF(OR(A148="",D148=""),"",SUMIFS('Stock Movement'!$F$2:$F$501,'Stock Movement'!$B$2:$B$501,A148,'Stock Movement'!$D$2:$D$501,D148,'Stock Movement'!$E$2:$E$501,"OUT"))</f>
        <v/>
      </c>
      <c r="H148" s="134" t="str">
        <f t="shared" si="1"/>
        <v/>
      </c>
      <c r="I148" s="88" t="str">
        <f>IF(A148="","",IFERROR(VLOOKUP(A148,'Material Master'!$A$2:$E$201,4,FALSE),""))</f>
        <v/>
      </c>
      <c r="J148" s="134" t="str">
        <f>IF(A148="","",IFERROR(VLOOKUP(A148,'Material Master'!$A$2:$E$201,5,FALSE),""))</f>
        <v/>
      </c>
      <c r="K148" s="135" t="str">
        <f t="shared" si="2"/>
        <v/>
      </c>
    </row>
    <row r="149" ht="24.0" customHeight="1">
      <c r="A149" s="82"/>
      <c r="B149" s="130" t="str">
        <f>IF(A149="","",IFERROR(VLOOKUP(A149,'Material Master'!$A$2:$E$201,2,FALSE),""))</f>
        <v/>
      </c>
      <c r="C149" s="82" t="str">
        <f>IF(A149="","",IFERROR(VLOOKUP(A149,'Material Master'!$A$2:$E$201,3,FALSE),""))</f>
        <v/>
      </c>
      <c r="D149" s="82" t="str">
        <f t="array" ref="D149">IF(A149="","",IFERROR(INDEX('Location Master'!$E$2:$E$502, IFERROR(MATCH(A149,'Location Master'!$G$2:$G$502,0), IFERROR(MATCH(A149&amp;" (*",'Location Master'!$G$2:$G$502,0), MATCH(A149&amp;"*",'Location Master'!$G$2:$G$502,0)))), ""))</f>
        <v/>
      </c>
      <c r="E149" s="131"/>
      <c r="F149" s="131" t="str">
        <f>IF(OR(A149="",D149=""),"",SUMIFS('Stock Movement'!$F$2:$F$501,'Stock Movement'!$B$2:$B$501,A149,'Stock Movement'!$D$2:$D$501,D149,'Stock Movement'!$E$2:$E$501,"IN"))</f>
        <v/>
      </c>
      <c r="G149" s="131" t="str">
        <f>IF(OR(A149="",D149=""),"",SUMIFS('Stock Movement'!$F$2:$F$501,'Stock Movement'!$B$2:$B$501,A149,'Stock Movement'!$D$2:$D$501,D149,'Stock Movement'!$E$2:$E$501,"OUT"))</f>
        <v/>
      </c>
      <c r="H149" s="131" t="str">
        <f t="shared" si="1"/>
        <v/>
      </c>
      <c r="I149" s="82" t="str">
        <f>IF(A149="","",IFERROR(VLOOKUP(A149,'Material Master'!$A$2:$E$201,4,FALSE),""))</f>
        <v/>
      </c>
      <c r="J149" s="131" t="str">
        <f>IF(A149="","",IFERROR(VLOOKUP(A149,'Material Master'!$A$2:$E$201,5,FALSE),""))</f>
        <v/>
      </c>
      <c r="K149" s="132" t="str">
        <f t="shared" si="2"/>
        <v/>
      </c>
    </row>
    <row r="150" ht="24.0" customHeight="1">
      <c r="A150" s="88"/>
      <c r="B150" s="133" t="str">
        <f>IF(A150="","",IFERROR(VLOOKUP(A150,'Material Master'!$A$2:$E$201,2,FALSE),""))</f>
        <v/>
      </c>
      <c r="C150" s="88" t="str">
        <f>IF(A150="","",IFERROR(VLOOKUP(A150,'Material Master'!$A$2:$E$201,3,FALSE),""))</f>
        <v/>
      </c>
      <c r="D150" s="88" t="str">
        <f t="array" ref="D150">IF(A150="","",IFERROR(INDEX('Location Master'!$E$2:$E$502, IFERROR(MATCH(A150,'Location Master'!$G$2:$G$502,0), IFERROR(MATCH(A150&amp;" (*",'Location Master'!$G$2:$G$502,0), MATCH(A150&amp;"*",'Location Master'!$G$2:$G$502,0)))), ""))</f>
        <v/>
      </c>
      <c r="E150" s="134"/>
      <c r="F150" s="134" t="str">
        <f>IF(OR(A150="",D150=""),"",SUMIFS('Stock Movement'!$F$2:$F$501,'Stock Movement'!$B$2:$B$501,A150,'Stock Movement'!$D$2:$D$501,D150,'Stock Movement'!$E$2:$E$501,"IN"))</f>
        <v/>
      </c>
      <c r="G150" s="134" t="str">
        <f>IF(OR(A150="",D150=""),"",SUMIFS('Stock Movement'!$F$2:$F$501,'Stock Movement'!$B$2:$B$501,A150,'Stock Movement'!$D$2:$D$501,D150,'Stock Movement'!$E$2:$E$501,"OUT"))</f>
        <v/>
      </c>
      <c r="H150" s="134" t="str">
        <f t="shared" si="1"/>
        <v/>
      </c>
      <c r="I150" s="88" t="str">
        <f>IF(A150="","",IFERROR(VLOOKUP(A150,'Material Master'!$A$2:$E$201,4,FALSE),""))</f>
        <v/>
      </c>
      <c r="J150" s="134" t="str">
        <f>IF(A150="","",IFERROR(VLOOKUP(A150,'Material Master'!$A$2:$E$201,5,FALSE),""))</f>
        <v/>
      </c>
      <c r="K150" s="135" t="str">
        <f t="shared" si="2"/>
        <v/>
      </c>
    </row>
    <row r="151" ht="24.0" customHeight="1">
      <c r="A151" s="82"/>
      <c r="B151" s="130" t="str">
        <f>IF(A151="","",IFERROR(VLOOKUP(A151,'Material Master'!$A$2:$E$201,2,FALSE),""))</f>
        <v/>
      </c>
      <c r="C151" s="82" t="str">
        <f>IF(A151="","",IFERROR(VLOOKUP(A151,'Material Master'!$A$2:$E$201,3,FALSE),""))</f>
        <v/>
      </c>
      <c r="D151" s="82" t="str">
        <f t="array" ref="D151">IF(A151="","",IFERROR(INDEX('Location Master'!$E$2:$E$502, IFERROR(MATCH(A151,'Location Master'!$G$2:$G$502,0), IFERROR(MATCH(A151&amp;" (*",'Location Master'!$G$2:$G$502,0), MATCH(A151&amp;"*",'Location Master'!$G$2:$G$502,0)))), ""))</f>
        <v/>
      </c>
      <c r="E151" s="131"/>
      <c r="F151" s="131" t="str">
        <f>IF(OR(A151="",D151=""),"",SUMIFS('Stock Movement'!$F$2:$F$501,'Stock Movement'!$B$2:$B$501,A151,'Stock Movement'!$D$2:$D$501,D151,'Stock Movement'!$E$2:$E$501,"IN"))</f>
        <v/>
      </c>
      <c r="G151" s="131" t="str">
        <f>IF(OR(A151="",D151=""),"",SUMIFS('Stock Movement'!$F$2:$F$501,'Stock Movement'!$B$2:$B$501,A151,'Stock Movement'!$D$2:$D$501,D151,'Stock Movement'!$E$2:$E$501,"OUT"))</f>
        <v/>
      </c>
      <c r="H151" s="131" t="str">
        <f t="shared" si="1"/>
        <v/>
      </c>
      <c r="I151" s="82" t="str">
        <f>IF(A151="","",IFERROR(VLOOKUP(A151,'Material Master'!$A$2:$E$201,4,FALSE),""))</f>
        <v/>
      </c>
      <c r="J151" s="131" t="str">
        <f>IF(A151="","",IFERROR(VLOOKUP(A151,'Material Master'!$A$2:$E$201,5,FALSE),""))</f>
        <v/>
      </c>
      <c r="K151" s="132" t="str">
        <f t="shared" si="2"/>
        <v/>
      </c>
    </row>
    <row r="152" ht="24.0" customHeight="1">
      <c r="A152" s="88"/>
      <c r="B152" s="133" t="str">
        <f>IF(A152="","",IFERROR(VLOOKUP(A152,'Material Master'!$A$2:$E$201,2,FALSE),""))</f>
        <v/>
      </c>
      <c r="C152" s="88" t="str">
        <f>IF(A152="","",IFERROR(VLOOKUP(A152,'Material Master'!$A$2:$E$201,3,FALSE),""))</f>
        <v/>
      </c>
      <c r="D152" s="88" t="str">
        <f t="array" ref="D152">IF(A152="","",IFERROR(INDEX('Location Master'!$E$2:$E$502, IFERROR(MATCH(A152,'Location Master'!$G$2:$G$502,0), IFERROR(MATCH(A152&amp;" (*",'Location Master'!$G$2:$G$502,0), MATCH(A152&amp;"*",'Location Master'!$G$2:$G$502,0)))), ""))</f>
        <v/>
      </c>
      <c r="E152" s="134"/>
      <c r="F152" s="134" t="str">
        <f>IF(OR(A152="",D152=""),"",SUMIFS('Stock Movement'!$F$2:$F$501,'Stock Movement'!$B$2:$B$501,A152,'Stock Movement'!$D$2:$D$501,D152,'Stock Movement'!$E$2:$E$501,"IN"))</f>
        <v/>
      </c>
      <c r="G152" s="134" t="str">
        <f>IF(OR(A152="",D152=""),"",SUMIFS('Stock Movement'!$F$2:$F$501,'Stock Movement'!$B$2:$B$501,A152,'Stock Movement'!$D$2:$D$501,D152,'Stock Movement'!$E$2:$E$501,"OUT"))</f>
        <v/>
      </c>
      <c r="H152" s="134" t="str">
        <f t="shared" si="1"/>
        <v/>
      </c>
      <c r="I152" s="88" t="str">
        <f>IF(A152="","",IFERROR(VLOOKUP(A152,'Material Master'!$A$2:$E$201,4,FALSE),""))</f>
        <v/>
      </c>
      <c r="J152" s="134" t="str">
        <f>IF(A152="","",IFERROR(VLOOKUP(A152,'Material Master'!$A$2:$E$201,5,FALSE),""))</f>
        <v/>
      </c>
      <c r="K152" s="135" t="str">
        <f t="shared" si="2"/>
        <v/>
      </c>
    </row>
    <row r="153" ht="24.0" customHeight="1">
      <c r="A153" s="82"/>
      <c r="B153" s="130" t="str">
        <f>IF(A153="","",IFERROR(VLOOKUP(A153,'Material Master'!$A$2:$E$201,2,FALSE),""))</f>
        <v/>
      </c>
      <c r="C153" s="82" t="str">
        <f>IF(A153="","",IFERROR(VLOOKUP(A153,'Material Master'!$A$2:$E$201,3,FALSE),""))</f>
        <v/>
      </c>
      <c r="D153" s="82" t="str">
        <f t="array" ref="D153">IF(A153="","",IFERROR(INDEX('Location Master'!$E$2:$E$502, IFERROR(MATCH(A153,'Location Master'!$G$2:$G$502,0), IFERROR(MATCH(A153&amp;" (*",'Location Master'!$G$2:$G$502,0), MATCH(A153&amp;"*",'Location Master'!$G$2:$G$502,0)))), ""))</f>
        <v/>
      </c>
      <c r="E153" s="131"/>
      <c r="F153" s="131" t="str">
        <f>IF(OR(A153="",D153=""),"",SUMIFS('Stock Movement'!$F$2:$F$501,'Stock Movement'!$B$2:$B$501,A153,'Stock Movement'!$D$2:$D$501,D153,'Stock Movement'!$E$2:$E$501,"IN"))</f>
        <v/>
      </c>
      <c r="G153" s="131" t="str">
        <f>IF(OR(A153="",D153=""),"",SUMIFS('Stock Movement'!$F$2:$F$501,'Stock Movement'!$B$2:$B$501,A153,'Stock Movement'!$D$2:$D$501,D153,'Stock Movement'!$E$2:$E$501,"OUT"))</f>
        <v/>
      </c>
      <c r="H153" s="131" t="str">
        <f t="shared" si="1"/>
        <v/>
      </c>
      <c r="I153" s="82" t="str">
        <f>IF(A153="","",IFERROR(VLOOKUP(A153,'Material Master'!$A$2:$E$201,4,FALSE),""))</f>
        <v/>
      </c>
      <c r="J153" s="131" t="str">
        <f>IF(A153="","",IFERROR(VLOOKUP(A153,'Material Master'!$A$2:$E$201,5,FALSE),""))</f>
        <v/>
      </c>
      <c r="K153" s="132" t="str">
        <f t="shared" si="2"/>
        <v/>
      </c>
    </row>
    <row r="154" ht="24.0" customHeight="1">
      <c r="A154" s="88"/>
      <c r="B154" s="133" t="str">
        <f>IF(A154="","",IFERROR(VLOOKUP(A154,'Material Master'!$A$2:$E$201,2,FALSE),""))</f>
        <v/>
      </c>
      <c r="C154" s="88" t="str">
        <f>IF(A154="","",IFERROR(VLOOKUP(A154,'Material Master'!$A$2:$E$201,3,FALSE),""))</f>
        <v/>
      </c>
      <c r="D154" s="88" t="str">
        <f t="array" ref="D154">IF(A154="","",IFERROR(INDEX('Location Master'!$E$2:$E$502, IFERROR(MATCH(A154,'Location Master'!$G$2:$G$502,0), IFERROR(MATCH(A154&amp;" (*",'Location Master'!$G$2:$G$502,0), MATCH(A154&amp;"*",'Location Master'!$G$2:$G$502,0)))), ""))</f>
        <v/>
      </c>
      <c r="E154" s="134"/>
      <c r="F154" s="134" t="str">
        <f>IF(OR(A154="",D154=""),"",SUMIFS('Stock Movement'!$F$2:$F$501,'Stock Movement'!$B$2:$B$501,A154,'Stock Movement'!$D$2:$D$501,D154,'Stock Movement'!$E$2:$E$501,"IN"))</f>
        <v/>
      </c>
      <c r="G154" s="134" t="str">
        <f>IF(OR(A154="",D154=""),"",SUMIFS('Stock Movement'!$F$2:$F$501,'Stock Movement'!$B$2:$B$501,A154,'Stock Movement'!$D$2:$D$501,D154,'Stock Movement'!$E$2:$E$501,"OUT"))</f>
        <v/>
      </c>
      <c r="H154" s="134" t="str">
        <f t="shared" si="1"/>
        <v/>
      </c>
      <c r="I154" s="88" t="str">
        <f>IF(A154="","",IFERROR(VLOOKUP(A154,'Material Master'!$A$2:$E$201,4,FALSE),""))</f>
        <v/>
      </c>
      <c r="J154" s="134" t="str">
        <f>IF(A154="","",IFERROR(VLOOKUP(A154,'Material Master'!$A$2:$E$201,5,FALSE),""))</f>
        <v/>
      </c>
      <c r="K154" s="135" t="str">
        <f t="shared" si="2"/>
        <v/>
      </c>
    </row>
    <row r="155" ht="24.0" customHeight="1">
      <c r="A155" s="82"/>
      <c r="B155" s="130" t="str">
        <f>IF(A155="","",IFERROR(VLOOKUP(A155,'Material Master'!$A$2:$E$201,2,FALSE),""))</f>
        <v/>
      </c>
      <c r="C155" s="82" t="str">
        <f>IF(A155="","",IFERROR(VLOOKUP(A155,'Material Master'!$A$2:$E$201,3,FALSE),""))</f>
        <v/>
      </c>
      <c r="D155" s="82" t="str">
        <f t="array" ref="D155">IF(A155="","",IFERROR(INDEX('Location Master'!$E$2:$E$502, IFERROR(MATCH(A155,'Location Master'!$G$2:$G$502,0), IFERROR(MATCH(A155&amp;" (*",'Location Master'!$G$2:$G$502,0), MATCH(A155&amp;"*",'Location Master'!$G$2:$G$502,0)))), ""))</f>
        <v/>
      </c>
      <c r="E155" s="131"/>
      <c r="F155" s="131" t="str">
        <f>IF(OR(A155="",D155=""),"",SUMIFS('Stock Movement'!$F$2:$F$501,'Stock Movement'!$B$2:$B$501,A155,'Stock Movement'!$D$2:$D$501,D155,'Stock Movement'!$E$2:$E$501,"IN"))</f>
        <v/>
      </c>
      <c r="G155" s="131" t="str">
        <f>IF(OR(A155="",D155=""),"",SUMIFS('Stock Movement'!$F$2:$F$501,'Stock Movement'!$B$2:$B$501,A155,'Stock Movement'!$D$2:$D$501,D155,'Stock Movement'!$E$2:$E$501,"OUT"))</f>
        <v/>
      </c>
      <c r="H155" s="131" t="str">
        <f t="shared" si="1"/>
        <v/>
      </c>
      <c r="I155" s="82" t="str">
        <f>IF(A155="","",IFERROR(VLOOKUP(A155,'Material Master'!$A$2:$E$201,4,FALSE),""))</f>
        <v/>
      </c>
      <c r="J155" s="131" t="str">
        <f>IF(A155="","",IFERROR(VLOOKUP(A155,'Material Master'!$A$2:$E$201,5,FALSE),""))</f>
        <v/>
      </c>
      <c r="K155" s="132" t="str">
        <f t="shared" si="2"/>
        <v/>
      </c>
    </row>
    <row r="156" ht="24.0" customHeight="1">
      <c r="A156" s="88"/>
      <c r="B156" s="133" t="str">
        <f>IF(A156="","",IFERROR(VLOOKUP(A156,'Material Master'!$A$2:$E$201,2,FALSE),""))</f>
        <v/>
      </c>
      <c r="C156" s="88" t="str">
        <f>IF(A156="","",IFERROR(VLOOKUP(A156,'Material Master'!$A$2:$E$201,3,FALSE),""))</f>
        <v/>
      </c>
      <c r="D156" s="88" t="str">
        <f t="array" ref="D156">IF(A156="","",IFERROR(INDEX('Location Master'!$E$2:$E$502, IFERROR(MATCH(A156,'Location Master'!$G$2:$G$502,0), IFERROR(MATCH(A156&amp;" (*",'Location Master'!$G$2:$G$502,0), MATCH(A156&amp;"*",'Location Master'!$G$2:$G$502,0)))), ""))</f>
        <v/>
      </c>
      <c r="E156" s="134"/>
      <c r="F156" s="134" t="str">
        <f>IF(OR(A156="",D156=""),"",SUMIFS('Stock Movement'!$F$2:$F$501,'Stock Movement'!$B$2:$B$501,A156,'Stock Movement'!$D$2:$D$501,D156,'Stock Movement'!$E$2:$E$501,"IN"))</f>
        <v/>
      </c>
      <c r="G156" s="134" t="str">
        <f>IF(OR(A156="",D156=""),"",SUMIFS('Stock Movement'!$F$2:$F$501,'Stock Movement'!$B$2:$B$501,A156,'Stock Movement'!$D$2:$D$501,D156,'Stock Movement'!$E$2:$E$501,"OUT"))</f>
        <v/>
      </c>
      <c r="H156" s="134" t="str">
        <f t="shared" si="1"/>
        <v/>
      </c>
      <c r="I156" s="88" t="str">
        <f>IF(A156="","",IFERROR(VLOOKUP(A156,'Material Master'!$A$2:$E$201,4,FALSE),""))</f>
        <v/>
      </c>
      <c r="J156" s="134" t="str">
        <f>IF(A156="","",IFERROR(VLOOKUP(A156,'Material Master'!$A$2:$E$201,5,FALSE),""))</f>
        <v/>
      </c>
      <c r="K156" s="135" t="str">
        <f t="shared" si="2"/>
        <v/>
      </c>
    </row>
    <row r="157" ht="24.0" customHeight="1">
      <c r="A157" s="82"/>
      <c r="B157" s="130" t="str">
        <f>IF(A157="","",IFERROR(VLOOKUP(A157,'Material Master'!$A$2:$E$201,2,FALSE),""))</f>
        <v/>
      </c>
      <c r="C157" s="82" t="str">
        <f>IF(A157="","",IFERROR(VLOOKUP(A157,'Material Master'!$A$2:$E$201,3,FALSE),""))</f>
        <v/>
      </c>
      <c r="D157" s="82" t="str">
        <f t="array" ref="D157">IF(A157="","",IFERROR(INDEX('Location Master'!$E$2:$E$502, IFERROR(MATCH(A157,'Location Master'!$G$2:$G$502,0), IFERROR(MATCH(A157&amp;" (*",'Location Master'!$G$2:$G$502,0), MATCH(A157&amp;"*",'Location Master'!$G$2:$G$502,0)))), ""))</f>
        <v/>
      </c>
      <c r="E157" s="131"/>
      <c r="F157" s="131" t="str">
        <f>IF(OR(A157="",D157=""),"",SUMIFS('Stock Movement'!$F$2:$F$501,'Stock Movement'!$B$2:$B$501,A157,'Stock Movement'!$D$2:$D$501,D157,'Stock Movement'!$E$2:$E$501,"IN"))</f>
        <v/>
      </c>
      <c r="G157" s="131" t="str">
        <f>IF(OR(A157="",D157=""),"",SUMIFS('Stock Movement'!$F$2:$F$501,'Stock Movement'!$B$2:$B$501,A157,'Stock Movement'!$D$2:$D$501,D157,'Stock Movement'!$E$2:$E$501,"OUT"))</f>
        <v/>
      </c>
      <c r="H157" s="131" t="str">
        <f t="shared" si="1"/>
        <v/>
      </c>
      <c r="I157" s="82" t="str">
        <f>IF(A157="","",IFERROR(VLOOKUP(A157,'Material Master'!$A$2:$E$201,4,FALSE),""))</f>
        <v/>
      </c>
      <c r="J157" s="131" t="str">
        <f>IF(A157="","",IFERROR(VLOOKUP(A157,'Material Master'!$A$2:$E$201,5,FALSE),""))</f>
        <v/>
      </c>
      <c r="K157" s="132" t="str">
        <f t="shared" si="2"/>
        <v/>
      </c>
    </row>
    <row r="158" ht="24.0" customHeight="1">
      <c r="A158" s="88"/>
      <c r="B158" s="133" t="str">
        <f>IF(A158="","",IFERROR(VLOOKUP(A158,'Material Master'!$A$2:$E$201,2,FALSE),""))</f>
        <v/>
      </c>
      <c r="C158" s="88" t="str">
        <f>IF(A158="","",IFERROR(VLOOKUP(A158,'Material Master'!$A$2:$E$201,3,FALSE),""))</f>
        <v/>
      </c>
      <c r="D158" s="88" t="str">
        <f t="array" ref="D158">IF(A158="","",IFERROR(INDEX('Location Master'!$E$2:$E$502, IFERROR(MATCH(A158,'Location Master'!$G$2:$G$502,0), IFERROR(MATCH(A158&amp;" (*",'Location Master'!$G$2:$G$502,0), MATCH(A158&amp;"*",'Location Master'!$G$2:$G$502,0)))), ""))</f>
        <v/>
      </c>
      <c r="E158" s="134"/>
      <c r="F158" s="134" t="str">
        <f>IF(OR(A158="",D158=""),"",SUMIFS('Stock Movement'!$F$2:$F$501,'Stock Movement'!$B$2:$B$501,A158,'Stock Movement'!$D$2:$D$501,D158,'Stock Movement'!$E$2:$E$501,"IN"))</f>
        <v/>
      </c>
      <c r="G158" s="134" t="str">
        <f>IF(OR(A158="",D158=""),"",SUMIFS('Stock Movement'!$F$2:$F$501,'Stock Movement'!$B$2:$B$501,A158,'Stock Movement'!$D$2:$D$501,D158,'Stock Movement'!$E$2:$E$501,"OUT"))</f>
        <v/>
      </c>
      <c r="H158" s="134" t="str">
        <f t="shared" si="1"/>
        <v/>
      </c>
      <c r="I158" s="88" t="str">
        <f>IF(A158="","",IFERROR(VLOOKUP(A158,'Material Master'!$A$2:$E$201,4,FALSE),""))</f>
        <v/>
      </c>
      <c r="J158" s="134" t="str">
        <f>IF(A158="","",IFERROR(VLOOKUP(A158,'Material Master'!$A$2:$E$201,5,FALSE),""))</f>
        <v/>
      </c>
      <c r="K158" s="135" t="str">
        <f t="shared" si="2"/>
        <v/>
      </c>
    </row>
    <row r="159" ht="24.0" customHeight="1">
      <c r="A159" s="82"/>
      <c r="B159" s="130" t="str">
        <f>IF(A159="","",IFERROR(VLOOKUP(A159,'Material Master'!$A$2:$E$201,2,FALSE),""))</f>
        <v/>
      </c>
      <c r="C159" s="82" t="str">
        <f>IF(A159="","",IFERROR(VLOOKUP(A159,'Material Master'!$A$2:$E$201,3,FALSE),""))</f>
        <v/>
      </c>
      <c r="D159" s="82" t="str">
        <f t="array" ref="D159">IF(A159="","",IFERROR(INDEX('Location Master'!$E$2:$E$502, IFERROR(MATCH(A159,'Location Master'!$G$2:$G$502,0), IFERROR(MATCH(A159&amp;" (*",'Location Master'!$G$2:$G$502,0), MATCH(A159&amp;"*",'Location Master'!$G$2:$G$502,0)))), ""))</f>
        <v/>
      </c>
      <c r="E159" s="131"/>
      <c r="F159" s="131" t="str">
        <f>IF(OR(A159="",D159=""),"",SUMIFS('Stock Movement'!$F$2:$F$501,'Stock Movement'!$B$2:$B$501,A159,'Stock Movement'!$D$2:$D$501,D159,'Stock Movement'!$E$2:$E$501,"IN"))</f>
        <v/>
      </c>
      <c r="G159" s="131" t="str">
        <f>IF(OR(A159="",D159=""),"",SUMIFS('Stock Movement'!$F$2:$F$501,'Stock Movement'!$B$2:$B$501,A159,'Stock Movement'!$D$2:$D$501,D159,'Stock Movement'!$E$2:$E$501,"OUT"))</f>
        <v/>
      </c>
      <c r="H159" s="131" t="str">
        <f t="shared" si="1"/>
        <v/>
      </c>
      <c r="I159" s="82" t="str">
        <f>IF(A159="","",IFERROR(VLOOKUP(A159,'Material Master'!$A$2:$E$201,4,FALSE),""))</f>
        <v/>
      </c>
      <c r="J159" s="131" t="str">
        <f>IF(A159="","",IFERROR(VLOOKUP(A159,'Material Master'!$A$2:$E$201,5,FALSE),""))</f>
        <v/>
      </c>
      <c r="K159" s="132" t="str">
        <f t="shared" si="2"/>
        <v/>
      </c>
    </row>
    <row r="160" ht="24.0" customHeight="1">
      <c r="A160" s="88"/>
      <c r="B160" s="133" t="str">
        <f>IF(A160="","",IFERROR(VLOOKUP(A160,'Material Master'!$A$2:$E$201,2,FALSE),""))</f>
        <v/>
      </c>
      <c r="C160" s="88" t="str">
        <f>IF(A160="","",IFERROR(VLOOKUP(A160,'Material Master'!$A$2:$E$201,3,FALSE),""))</f>
        <v/>
      </c>
      <c r="D160" s="88" t="str">
        <f t="array" ref="D160">IF(A160="","",IFERROR(INDEX('Location Master'!$E$2:$E$502, IFERROR(MATCH(A160,'Location Master'!$G$2:$G$502,0), IFERROR(MATCH(A160&amp;" (*",'Location Master'!$G$2:$G$502,0), MATCH(A160&amp;"*",'Location Master'!$G$2:$G$502,0)))), ""))</f>
        <v/>
      </c>
      <c r="E160" s="134"/>
      <c r="F160" s="134" t="str">
        <f>IF(OR(A160="",D160=""),"",SUMIFS('Stock Movement'!$F$2:$F$501,'Stock Movement'!$B$2:$B$501,A160,'Stock Movement'!$D$2:$D$501,D160,'Stock Movement'!$E$2:$E$501,"IN"))</f>
        <v/>
      </c>
      <c r="G160" s="134" t="str">
        <f>IF(OR(A160="",D160=""),"",SUMIFS('Stock Movement'!$F$2:$F$501,'Stock Movement'!$B$2:$B$501,A160,'Stock Movement'!$D$2:$D$501,D160,'Stock Movement'!$E$2:$E$501,"OUT"))</f>
        <v/>
      </c>
      <c r="H160" s="134" t="str">
        <f t="shared" si="1"/>
        <v/>
      </c>
      <c r="I160" s="88" t="str">
        <f>IF(A160="","",IFERROR(VLOOKUP(A160,'Material Master'!$A$2:$E$201,4,FALSE),""))</f>
        <v/>
      </c>
      <c r="J160" s="134" t="str">
        <f>IF(A160="","",IFERROR(VLOOKUP(A160,'Material Master'!$A$2:$E$201,5,FALSE),""))</f>
        <v/>
      </c>
      <c r="K160" s="135" t="str">
        <f t="shared" si="2"/>
        <v/>
      </c>
    </row>
    <row r="161" ht="24.0" customHeight="1">
      <c r="A161" s="82"/>
      <c r="B161" s="130" t="str">
        <f>IF(A161="","",IFERROR(VLOOKUP(A161,'Material Master'!$A$2:$E$201,2,FALSE),""))</f>
        <v/>
      </c>
      <c r="C161" s="82" t="str">
        <f>IF(A161="","",IFERROR(VLOOKUP(A161,'Material Master'!$A$2:$E$201,3,FALSE),""))</f>
        <v/>
      </c>
      <c r="D161" s="82" t="str">
        <f t="array" ref="D161">IF(A161="","",IFERROR(INDEX('Location Master'!$E$2:$E$502, IFERROR(MATCH(A161,'Location Master'!$G$2:$G$502,0), IFERROR(MATCH(A161&amp;" (*",'Location Master'!$G$2:$G$502,0), MATCH(A161&amp;"*",'Location Master'!$G$2:$G$502,0)))), ""))</f>
        <v/>
      </c>
      <c r="E161" s="131"/>
      <c r="F161" s="131" t="str">
        <f>IF(OR(A161="",D161=""),"",SUMIFS('Stock Movement'!$F$2:$F$501,'Stock Movement'!$B$2:$B$501,A161,'Stock Movement'!$D$2:$D$501,D161,'Stock Movement'!$E$2:$E$501,"IN"))</f>
        <v/>
      </c>
      <c r="G161" s="131" t="str">
        <f>IF(OR(A161="",D161=""),"",SUMIFS('Stock Movement'!$F$2:$F$501,'Stock Movement'!$B$2:$B$501,A161,'Stock Movement'!$D$2:$D$501,D161,'Stock Movement'!$E$2:$E$501,"OUT"))</f>
        <v/>
      </c>
      <c r="H161" s="131" t="str">
        <f t="shared" si="1"/>
        <v/>
      </c>
      <c r="I161" s="82" t="str">
        <f>IF(A161="","",IFERROR(VLOOKUP(A161,'Material Master'!$A$2:$E$201,4,FALSE),""))</f>
        <v/>
      </c>
      <c r="J161" s="131" t="str">
        <f>IF(A161="","",IFERROR(VLOOKUP(A161,'Material Master'!$A$2:$E$201,5,FALSE),""))</f>
        <v/>
      </c>
      <c r="K161" s="132" t="str">
        <f t="shared" si="2"/>
        <v/>
      </c>
    </row>
    <row r="162" ht="24.0" customHeight="1">
      <c r="A162" s="88"/>
      <c r="B162" s="133" t="str">
        <f>IF(A162="","",IFERROR(VLOOKUP(A162,'Material Master'!$A$2:$E$201,2,FALSE),""))</f>
        <v/>
      </c>
      <c r="C162" s="88" t="str">
        <f>IF(A162="","",IFERROR(VLOOKUP(A162,'Material Master'!$A$2:$E$201,3,FALSE),""))</f>
        <v/>
      </c>
      <c r="D162" s="88" t="str">
        <f t="array" ref="D162">IF(A162="","",IFERROR(INDEX('Location Master'!$E$2:$E$502, IFERROR(MATCH(A162,'Location Master'!$G$2:$G$502,0), IFERROR(MATCH(A162&amp;" (*",'Location Master'!$G$2:$G$502,0), MATCH(A162&amp;"*",'Location Master'!$G$2:$G$502,0)))), ""))</f>
        <v/>
      </c>
      <c r="E162" s="134"/>
      <c r="F162" s="134" t="str">
        <f>IF(OR(A162="",D162=""),"",SUMIFS('Stock Movement'!$F$2:$F$501,'Stock Movement'!$B$2:$B$501,A162,'Stock Movement'!$D$2:$D$501,D162,'Stock Movement'!$E$2:$E$501,"IN"))</f>
        <v/>
      </c>
      <c r="G162" s="134" t="str">
        <f>IF(OR(A162="",D162=""),"",SUMIFS('Stock Movement'!$F$2:$F$501,'Stock Movement'!$B$2:$B$501,A162,'Stock Movement'!$D$2:$D$501,D162,'Stock Movement'!$E$2:$E$501,"OUT"))</f>
        <v/>
      </c>
      <c r="H162" s="134" t="str">
        <f t="shared" si="1"/>
        <v/>
      </c>
      <c r="I162" s="88" t="str">
        <f>IF(A162="","",IFERROR(VLOOKUP(A162,'Material Master'!$A$2:$E$201,4,FALSE),""))</f>
        <v/>
      </c>
      <c r="J162" s="134" t="str">
        <f>IF(A162="","",IFERROR(VLOOKUP(A162,'Material Master'!$A$2:$E$201,5,FALSE),""))</f>
        <v/>
      </c>
      <c r="K162" s="135" t="str">
        <f t="shared" si="2"/>
        <v/>
      </c>
    </row>
    <row r="163" ht="24.0" customHeight="1">
      <c r="A163" s="82"/>
      <c r="B163" s="130" t="str">
        <f>IF(A163="","",IFERROR(VLOOKUP(A163,'Material Master'!$A$2:$E$201,2,FALSE),""))</f>
        <v/>
      </c>
      <c r="C163" s="82" t="str">
        <f>IF(A163="","",IFERROR(VLOOKUP(A163,'Material Master'!$A$2:$E$201,3,FALSE),""))</f>
        <v/>
      </c>
      <c r="D163" s="82" t="str">
        <f t="array" ref="D163">IF(A163="","",IFERROR(INDEX('Location Master'!$E$2:$E$502, IFERROR(MATCH(A163,'Location Master'!$G$2:$G$502,0), IFERROR(MATCH(A163&amp;" (*",'Location Master'!$G$2:$G$502,0), MATCH(A163&amp;"*",'Location Master'!$G$2:$G$502,0)))), ""))</f>
        <v/>
      </c>
      <c r="E163" s="131"/>
      <c r="F163" s="131" t="str">
        <f>IF(OR(A163="",D163=""),"",SUMIFS('Stock Movement'!$F$2:$F$501,'Stock Movement'!$B$2:$B$501,A163,'Stock Movement'!$D$2:$D$501,D163,'Stock Movement'!$E$2:$E$501,"IN"))</f>
        <v/>
      </c>
      <c r="G163" s="131" t="str">
        <f>IF(OR(A163="",D163=""),"",SUMIFS('Stock Movement'!$F$2:$F$501,'Stock Movement'!$B$2:$B$501,A163,'Stock Movement'!$D$2:$D$501,D163,'Stock Movement'!$E$2:$E$501,"OUT"))</f>
        <v/>
      </c>
      <c r="H163" s="131" t="str">
        <f t="shared" si="1"/>
        <v/>
      </c>
      <c r="I163" s="82" t="str">
        <f>IF(A163="","",IFERROR(VLOOKUP(A163,'Material Master'!$A$2:$E$201,4,FALSE),""))</f>
        <v/>
      </c>
      <c r="J163" s="131" t="str">
        <f>IF(A163="","",IFERROR(VLOOKUP(A163,'Material Master'!$A$2:$E$201,5,FALSE),""))</f>
        <v/>
      </c>
      <c r="K163" s="132" t="str">
        <f t="shared" si="2"/>
        <v/>
      </c>
    </row>
    <row r="164" ht="24.0" customHeight="1">
      <c r="A164" s="88"/>
      <c r="B164" s="133" t="str">
        <f>IF(A164="","",IFERROR(VLOOKUP(A164,'Material Master'!$A$2:$E$201,2,FALSE),""))</f>
        <v/>
      </c>
      <c r="C164" s="88" t="str">
        <f>IF(A164="","",IFERROR(VLOOKUP(A164,'Material Master'!$A$2:$E$201,3,FALSE),""))</f>
        <v/>
      </c>
      <c r="D164" s="88" t="str">
        <f t="array" ref="D164">IF(A164="","",IFERROR(INDEX('Location Master'!$E$2:$E$502, IFERROR(MATCH(A164,'Location Master'!$G$2:$G$502,0), IFERROR(MATCH(A164&amp;" (*",'Location Master'!$G$2:$G$502,0), MATCH(A164&amp;"*",'Location Master'!$G$2:$G$502,0)))), ""))</f>
        <v/>
      </c>
      <c r="E164" s="134"/>
      <c r="F164" s="134" t="str">
        <f>IF(OR(A164="",D164=""),"",SUMIFS('Stock Movement'!$F$2:$F$501,'Stock Movement'!$B$2:$B$501,A164,'Stock Movement'!$D$2:$D$501,D164,'Stock Movement'!$E$2:$E$501,"IN"))</f>
        <v/>
      </c>
      <c r="G164" s="134" t="str">
        <f>IF(OR(A164="",D164=""),"",SUMIFS('Stock Movement'!$F$2:$F$501,'Stock Movement'!$B$2:$B$501,A164,'Stock Movement'!$D$2:$D$501,D164,'Stock Movement'!$E$2:$E$501,"OUT"))</f>
        <v/>
      </c>
      <c r="H164" s="134" t="str">
        <f t="shared" si="1"/>
        <v/>
      </c>
      <c r="I164" s="88" t="str">
        <f>IF(A164="","",IFERROR(VLOOKUP(A164,'Material Master'!$A$2:$E$201,4,FALSE),""))</f>
        <v/>
      </c>
      <c r="J164" s="134" t="str">
        <f>IF(A164="","",IFERROR(VLOOKUP(A164,'Material Master'!$A$2:$E$201,5,FALSE),""))</f>
        <v/>
      </c>
      <c r="K164" s="135" t="str">
        <f t="shared" si="2"/>
        <v/>
      </c>
    </row>
    <row r="165" ht="24.0" customHeight="1">
      <c r="A165" s="82"/>
      <c r="B165" s="130" t="str">
        <f>IF(A165="","",IFERROR(VLOOKUP(A165,'Material Master'!$A$2:$E$201,2,FALSE),""))</f>
        <v/>
      </c>
      <c r="C165" s="82" t="str">
        <f>IF(A165="","",IFERROR(VLOOKUP(A165,'Material Master'!$A$2:$E$201,3,FALSE),""))</f>
        <v/>
      </c>
      <c r="D165" s="82" t="str">
        <f t="array" ref="D165">IF(A165="","",IFERROR(INDEX('Location Master'!$E$2:$E$502, IFERROR(MATCH(A165,'Location Master'!$G$2:$G$502,0), IFERROR(MATCH(A165&amp;" (*",'Location Master'!$G$2:$G$502,0), MATCH(A165&amp;"*",'Location Master'!$G$2:$G$502,0)))), ""))</f>
        <v/>
      </c>
      <c r="E165" s="131"/>
      <c r="F165" s="131" t="str">
        <f>IF(OR(A165="",D165=""),"",SUMIFS('Stock Movement'!$F$2:$F$501,'Stock Movement'!$B$2:$B$501,A165,'Stock Movement'!$D$2:$D$501,D165,'Stock Movement'!$E$2:$E$501,"IN"))</f>
        <v/>
      </c>
      <c r="G165" s="131" t="str">
        <f>IF(OR(A165="",D165=""),"",SUMIFS('Stock Movement'!$F$2:$F$501,'Stock Movement'!$B$2:$B$501,A165,'Stock Movement'!$D$2:$D$501,D165,'Stock Movement'!$E$2:$E$501,"OUT"))</f>
        <v/>
      </c>
      <c r="H165" s="131" t="str">
        <f t="shared" si="1"/>
        <v/>
      </c>
      <c r="I165" s="82" t="str">
        <f>IF(A165="","",IFERROR(VLOOKUP(A165,'Material Master'!$A$2:$E$201,4,FALSE),""))</f>
        <v/>
      </c>
      <c r="J165" s="131" t="str">
        <f>IF(A165="","",IFERROR(VLOOKUP(A165,'Material Master'!$A$2:$E$201,5,FALSE),""))</f>
        <v/>
      </c>
      <c r="K165" s="132" t="str">
        <f t="shared" si="2"/>
        <v/>
      </c>
    </row>
    <row r="166" ht="24.0" customHeight="1">
      <c r="A166" s="88"/>
      <c r="B166" s="133" t="str">
        <f>IF(A166="","",IFERROR(VLOOKUP(A166,'Material Master'!$A$2:$E$201,2,FALSE),""))</f>
        <v/>
      </c>
      <c r="C166" s="88" t="str">
        <f>IF(A166="","",IFERROR(VLOOKUP(A166,'Material Master'!$A$2:$E$201,3,FALSE),""))</f>
        <v/>
      </c>
      <c r="D166" s="88" t="str">
        <f t="array" ref="D166">IF(A166="","",IFERROR(INDEX('Location Master'!$E$2:$E$502, IFERROR(MATCH(A166,'Location Master'!$G$2:$G$502,0), IFERROR(MATCH(A166&amp;" (*",'Location Master'!$G$2:$G$502,0), MATCH(A166&amp;"*",'Location Master'!$G$2:$G$502,0)))), ""))</f>
        <v/>
      </c>
      <c r="E166" s="134"/>
      <c r="F166" s="134" t="str">
        <f>IF(OR(A166="",D166=""),"",SUMIFS('Stock Movement'!$F$2:$F$501,'Stock Movement'!$B$2:$B$501,A166,'Stock Movement'!$D$2:$D$501,D166,'Stock Movement'!$E$2:$E$501,"IN"))</f>
        <v/>
      </c>
      <c r="G166" s="134" t="str">
        <f>IF(OR(A166="",D166=""),"",SUMIFS('Stock Movement'!$F$2:$F$501,'Stock Movement'!$B$2:$B$501,A166,'Stock Movement'!$D$2:$D$501,D166,'Stock Movement'!$E$2:$E$501,"OUT"))</f>
        <v/>
      </c>
      <c r="H166" s="134" t="str">
        <f t="shared" si="1"/>
        <v/>
      </c>
      <c r="I166" s="88" t="str">
        <f>IF(A166="","",IFERROR(VLOOKUP(A166,'Material Master'!$A$2:$E$201,4,FALSE),""))</f>
        <v/>
      </c>
      <c r="J166" s="134" t="str">
        <f>IF(A166="","",IFERROR(VLOOKUP(A166,'Material Master'!$A$2:$E$201,5,FALSE),""))</f>
        <v/>
      </c>
      <c r="K166" s="135" t="str">
        <f t="shared" si="2"/>
        <v/>
      </c>
    </row>
    <row r="167" ht="24.0" customHeight="1">
      <c r="A167" s="82"/>
      <c r="B167" s="130" t="str">
        <f>IF(A167="","",IFERROR(VLOOKUP(A167,'Material Master'!$A$2:$E$201,2,FALSE),""))</f>
        <v/>
      </c>
      <c r="C167" s="82" t="str">
        <f>IF(A167="","",IFERROR(VLOOKUP(A167,'Material Master'!$A$2:$E$201,3,FALSE),""))</f>
        <v/>
      </c>
      <c r="D167" s="82" t="str">
        <f t="array" ref="D167">IF(A167="","",IFERROR(INDEX('Location Master'!$E$2:$E$502, IFERROR(MATCH(A167,'Location Master'!$G$2:$G$502,0), IFERROR(MATCH(A167&amp;" (*",'Location Master'!$G$2:$G$502,0), MATCH(A167&amp;"*",'Location Master'!$G$2:$G$502,0)))), ""))</f>
        <v/>
      </c>
      <c r="E167" s="131"/>
      <c r="F167" s="131" t="str">
        <f>IF(OR(A167="",D167=""),"",SUMIFS('Stock Movement'!$F$2:$F$501,'Stock Movement'!$B$2:$B$501,A167,'Stock Movement'!$D$2:$D$501,D167,'Stock Movement'!$E$2:$E$501,"IN"))</f>
        <v/>
      </c>
      <c r="G167" s="131" t="str">
        <f>IF(OR(A167="",D167=""),"",SUMIFS('Stock Movement'!$F$2:$F$501,'Stock Movement'!$B$2:$B$501,A167,'Stock Movement'!$D$2:$D$501,D167,'Stock Movement'!$E$2:$E$501,"OUT"))</f>
        <v/>
      </c>
      <c r="H167" s="131" t="str">
        <f t="shared" si="1"/>
        <v/>
      </c>
      <c r="I167" s="82" t="str">
        <f>IF(A167="","",IFERROR(VLOOKUP(A167,'Material Master'!$A$2:$E$201,4,FALSE),""))</f>
        <v/>
      </c>
      <c r="J167" s="131" t="str">
        <f>IF(A167="","",IFERROR(VLOOKUP(A167,'Material Master'!$A$2:$E$201,5,FALSE),""))</f>
        <v/>
      </c>
      <c r="K167" s="132" t="str">
        <f t="shared" si="2"/>
        <v/>
      </c>
    </row>
    <row r="168" ht="24.0" customHeight="1">
      <c r="A168" s="88"/>
      <c r="B168" s="133" t="str">
        <f>IF(A168="","",IFERROR(VLOOKUP(A168,'Material Master'!$A$2:$E$201,2,FALSE),""))</f>
        <v/>
      </c>
      <c r="C168" s="88" t="str">
        <f>IF(A168="","",IFERROR(VLOOKUP(A168,'Material Master'!$A$2:$E$201,3,FALSE),""))</f>
        <v/>
      </c>
      <c r="D168" s="88" t="str">
        <f t="array" ref="D168">IF(A168="","",IFERROR(INDEX('Location Master'!$E$2:$E$502, IFERROR(MATCH(A168,'Location Master'!$G$2:$G$502,0), IFERROR(MATCH(A168&amp;" (*",'Location Master'!$G$2:$G$502,0), MATCH(A168&amp;"*",'Location Master'!$G$2:$G$502,0)))), ""))</f>
        <v/>
      </c>
      <c r="E168" s="134"/>
      <c r="F168" s="134" t="str">
        <f>IF(OR(A168="",D168=""),"",SUMIFS('Stock Movement'!$F$2:$F$501,'Stock Movement'!$B$2:$B$501,A168,'Stock Movement'!$D$2:$D$501,D168,'Stock Movement'!$E$2:$E$501,"IN"))</f>
        <v/>
      </c>
      <c r="G168" s="134" t="str">
        <f>IF(OR(A168="",D168=""),"",SUMIFS('Stock Movement'!$F$2:$F$501,'Stock Movement'!$B$2:$B$501,A168,'Stock Movement'!$D$2:$D$501,D168,'Stock Movement'!$E$2:$E$501,"OUT"))</f>
        <v/>
      </c>
      <c r="H168" s="134" t="str">
        <f t="shared" si="1"/>
        <v/>
      </c>
      <c r="I168" s="88" t="str">
        <f>IF(A168="","",IFERROR(VLOOKUP(A168,'Material Master'!$A$2:$E$201,4,FALSE),""))</f>
        <v/>
      </c>
      <c r="J168" s="134" t="str">
        <f>IF(A168="","",IFERROR(VLOOKUP(A168,'Material Master'!$A$2:$E$201,5,FALSE),""))</f>
        <v/>
      </c>
      <c r="K168" s="135" t="str">
        <f t="shared" si="2"/>
        <v/>
      </c>
    </row>
    <row r="169" ht="24.0" customHeight="1">
      <c r="A169" s="82"/>
      <c r="B169" s="130" t="str">
        <f>IF(A169="","",IFERROR(VLOOKUP(A169,'Material Master'!$A$2:$E$201,2,FALSE),""))</f>
        <v/>
      </c>
      <c r="C169" s="82" t="str">
        <f>IF(A169="","",IFERROR(VLOOKUP(A169,'Material Master'!$A$2:$E$201,3,FALSE),""))</f>
        <v/>
      </c>
      <c r="D169" s="82" t="str">
        <f t="array" ref="D169">IF(A169="","",IFERROR(INDEX('Location Master'!$E$2:$E$502, IFERROR(MATCH(A169,'Location Master'!$G$2:$G$502,0), IFERROR(MATCH(A169&amp;" (*",'Location Master'!$G$2:$G$502,0), MATCH(A169&amp;"*",'Location Master'!$G$2:$G$502,0)))), ""))</f>
        <v/>
      </c>
      <c r="E169" s="131"/>
      <c r="F169" s="131" t="str">
        <f>IF(OR(A169="",D169=""),"",SUMIFS('Stock Movement'!$F$2:$F$501,'Stock Movement'!$B$2:$B$501,A169,'Stock Movement'!$D$2:$D$501,D169,'Stock Movement'!$E$2:$E$501,"IN"))</f>
        <v/>
      </c>
      <c r="G169" s="131" t="str">
        <f>IF(OR(A169="",D169=""),"",SUMIFS('Stock Movement'!$F$2:$F$501,'Stock Movement'!$B$2:$B$501,A169,'Stock Movement'!$D$2:$D$501,D169,'Stock Movement'!$E$2:$E$501,"OUT"))</f>
        <v/>
      </c>
      <c r="H169" s="131" t="str">
        <f t="shared" si="1"/>
        <v/>
      </c>
      <c r="I169" s="82" t="str">
        <f>IF(A169="","",IFERROR(VLOOKUP(A169,'Material Master'!$A$2:$E$201,4,FALSE),""))</f>
        <v/>
      </c>
      <c r="J169" s="131" t="str">
        <f>IF(A169="","",IFERROR(VLOOKUP(A169,'Material Master'!$A$2:$E$201,5,FALSE),""))</f>
        <v/>
      </c>
      <c r="K169" s="132" t="str">
        <f t="shared" si="2"/>
        <v/>
      </c>
    </row>
    <row r="170" ht="24.0" customHeight="1">
      <c r="A170" s="88"/>
      <c r="B170" s="133" t="str">
        <f>IF(A170="","",IFERROR(VLOOKUP(A170,'Material Master'!$A$2:$E$201,2,FALSE),""))</f>
        <v/>
      </c>
      <c r="C170" s="88" t="str">
        <f>IF(A170="","",IFERROR(VLOOKUP(A170,'Material Master'!$A$2:$E$201,3,FALSE),""))</f>
        <v/>
      </c>
      <c r="D170" s="88" t="str">
        <f t="array" ref="D170">IF(A170="","",IFERROR(INDEX('Location Master'!$E$2:$E$502, IFERROR(MATCH(A170,'Location Master'!$G$2:$G$502,0), IFERROR(MATCH(A170&amp;" (*",'Location Master'!$G$2:$G$502,0), MATCH(A170&amp;"*",'Location Master'!$G$2:$G$502,0)))), ""))</f>
        <v/>
      </c>
      <c r="E170" s="134"/>
      <c r="F170" s="134" t="str">
        <f>IF(OR(A170="",D170=""),"",SUMIFS('Stock Movement'!$F$2:$F$501,'Stock Movement'!$B$2:$B$501,A170,'Stock Movement'!$D$2:$D$501,D170,'Stock Movement'!$E$2:$E$501,"IN"))</f>
        <v/>
      </c>
      <c r="G170" s="134" t="str">
        <f>IF(OR(A170="",D170=""),"",SUMIFS('Stock Movement'!$F$2:$F$501,'Stock Movement'!$B$2:$B$501,A170,'Stock Movement'!$D$2:$D$501,D170,'Stock Movement'!$E$2:$E$501,"OUT"))</f>
        <v/>
      </c>
      <c r="H170" s="134" t="str">
        <f t="shared" si="1"/>
        <v/>
      </c>
      <c r="I170" s="88" t="str">
        <f>IF(A170="","",IFERROR(VLOOKUP(A170,'Material Master'!$A$2:$E$201,4,FALSE),""))</f>
        <v/>
      </c>
      <c r="J170" s="134" t="str">
        <f>IF(A170="","",IFERROR(VLOOKUP(A170,'Material Master'!$A$2:$E$201,5,FALSE),""))</f>
        <v/>
      </c>
      <c r="K170" s="135" t="str">
        <f t="shared" si="2"/>
        <v/>
      </c>
    </row>
    <row r="171" ht="24.0" customHeight="1">
      <c r="A171" s="82"/>
      <c r="B171" s="130" t="str">
        <f>IF(A171="","",IFERROR(VLOOKUP(A171,'Material Master'!$A$2:$E$201,2,FALSE),""))</f>
        <v/>
      </c>
      <c r="C171" s="82" t="str">
        <f>IF(A171="","",IFERROR(VLOOKUP(A171,'Material Master'!$A$2:$E$201,3,FALSE),""))</f>
        <v/>
      </c>
      <c r="D171" s="82" t="str">
        <f t="array" ref="D171">IF(A171="","",IFERROR(INDEX('Location Master'!$E$2:$E$502, IFERROR(MATCH(A171,'Location Master'!$G$2:$G$502,0), IFERROR(MATCH(A171&amp;" (*",'Location Master'!$G$2:$G$502,0), MATCH(A171&amp;"*",'Location Master'!$G$2:$G$502,0)))), ""))</f>
        <v/>
      </c>
      <c r="E171" s="131"/>
      <c r="F171" s="131" t="str">
        <f>IF(OR(A171="",D171=""),"",SUMIFS('Stock Movement'!$F$2:$F$501,'Stock Movement'!$B$2:$B$501,A171,'Stock Movement'!$D$2:$D$501,D171,'Stock Movement'!$E$2:$E$501,"IN"))</f>
        <v/>
      </c>
      <c r="G171" s="131" t="str">
        <f>IF(OR(A171="",D171=""),"",SUMIFS('Stock Movement'!$F$2:$F$501,'Stock Movement'!$B$2:$B$501,A171,'Stock Movement'!$D$2:$D$501,D171,'Stock Movement'!$E$2:$E$501,"OUT"))</f>
        <v/>
      </c>
      <c r="H171" s="131" t="str">
        <f t="shared" si="1"/>
        <v/>
      </c>
      <c r="I171" s="82" t="str">
        <f>IF(A171="","",IFERROR(VLOOKUP(A171,'Material Master'!$A$2:$E$201,4,FALSE),""))</f>
        <v/>
      </c>
      <c r="J171" s="131" t="str">
        <f>IF(A171="","",IFERROR(VLOOKUP(A171,'Material Master'!$A$2:$E$201,5,FALSE),""))</f>
        <v/>
      </c>
      <c r="K171" s="132" t="str">
        <f t="shared" si="2"/>
        <v/>
      </c>
    </row>
    <row r="172" ht="24.0" customHeight="1">
      <c r="A172" s="88"/>
      <c r="B172" s="133" t="str">
        <f>IF(A172="","",IFERROR(VLOOKUP(A172,'Material Master'!$A$2:$E$201,2,FALSE),""))</f>
        <v/>
      </c>
      <c r="C172" s="88" t="str">
        <f>IF(A172="","",IFERROR(VLOOKUP(A172,'Material Master'!$A$2:$E$201,3,FALSE),""))</f>
        <v/>
      </c>
      <c r="D172" s="88" t="str">
        <f t="array" ref="D172">IF(A172="","",IFERROR(INDEX('Location Master'!$E$2:$E$502, IFERROR(MATCH(A172,'Location Master'!$G$2:$G$502,0), IFERROR(MATCH(A172&amp;" (*",'Location Master'!$G$2:$G$502,0), MATCH(A172&amp;"*",'Location Master'!$G$2:$G$502,0)))), ""))</f>
        <v/>
      </c>
      <c r="E172" s="134"/>
      <c r="F172" s="134" t="str">
        <f>IF(OR(A172="",D172=""),"",SUMIFS('Stock Movement'!$F$2:$F$501,'Stock Movement'!$B$2:$B$501,A172,'Stock Movement'!$D$2:$D$501,D172,'Stock Movement'!$E$2:$E$501,"IN"))</f>
        <v/>
      </c>
      <c r="G172" s="134" t="str">
        <f>IF(OR(A172="",D172=""),"",SUMIFS('Stock Movement'!$F$2:$F$501,'Stock Movement'!$B$2:$B$501,A172,'Stock Movement'!$D$2:$D$501,D172,'Stock Movement'!$E$2:$E$501,"OUT"))</f>
        <v/>
      </c>
      <c r="H172" s="134" t="str">
        <f t="shared" si="1"/>
        <v/>
      </c>
      <c r="I172" s="88" t="str">
        <f>IF(A172="","",IFERROR(VLOOKUP(A172,'Material Master'!$A$2:$E$201,4,FALSE),""))</f>
        <v/>
      </c>
      <c r="J172" s="134" t="str">
        <f>IF(A172="","",IFERROR(VLOOKUP(A172,'Material Master'!$A$2:$E$201,5,FALSE),""))</f>
        <v/>
      </c>
      <c r="K172" s="135" t="str">
        <f t="shared" si="2"/>
        <v/>
      </c>
    </row>
    <row r="173" ht="24.0" customHeight="1">
      <c r="A173" s="82"/>
      <c r="B173" s="130" t="str">
        <f>IF(A173="","",IFERROR(VLOOKUP(A173,'Material Master'!$A$2:$E$201,2,FALSE),""))</f>
        <v/>
      </c>
      <c r="C173" s="82" t="str">
        <f>IF(A173="","",IFERROR(VLOOKUP(A173,'Material Master'!$A$2:$E$201,3,FALSE),""))</f>
        <v/>
      </c>
      <c r="D173" s="82" t="str">
        <f t="array" ref="D173">IF(A173="","",IFERROR(INDEX('Location Master'!$E$2:$E$502, IFERROR(MATCH(A173,'Location Master'!$G$2:$G$502,0), IFERROR(MATCH(A173&amp;" (*",'Location Master'!$G$2:$G$502,0), MATCH(A173&amp;"*",'Location Master'!$G$2:$G$502,0)))), ""))</f>
        <v/>
      </c>
      <c r="E173" s="131"/>
      <c r="F173" s="131" t="str">
        <f>IF(OR(A173="",D173=""),"",SUMIFS('Stock Movement'!$F$2:$F$501,'Stock Movement'!$B$2:$B$501,A173,'Stock Movement'!$D$2:$D$501,D173,'Stock Movement'!$E$2:$E$501,"IN"))</f>
        <v/>
      </c>
      <c r="G173" s="131" t="str">
        <f>IF(OR(A173="",D173=""),"",SUMIFS('Stock Movement'!$F$2:$F$501,'Stock Movement'!$B$2:$B$501,A173,'Stock Movement'!$D$2:$D$501,D173,'Stock Movement'!$E$2:$E$501,"OUT"))</f>
        <v/>
      </c>
      <c r="H173" s="131" t="str">
        <f t="shared" si="1"/>
        <v/>
      </c>
      <c r="I173" s="82" t="str">
        <f>IF(A173="","",IFERROR(VLOOKUP(A173,'Material Master'!$A$2:$E$201,4,FALSE),""))</f>
        <v/>
      </c>
      <c r="J173" s="131" t="str">
        <f>IF(A173="","",IFERROR(VLOOKUP(A173,'Material Master'!$A$2:$E$201,5,FALSE),""))</f>
        <v/>
      </c>
      <c r="K173" s="132" t="str">
        <f t="shared" si="2"/>
        <v/>
      </c>
    </row>
    <row r="174" ht="24.0" customHeight="1">
      <c r="A174" s="88"/>
      <c r="B174" s="133" t="str">
        <f>IF(A174="","",IFERROR(VLOOKUP(A174,'Material Master'!$A$2:$E$201,2,FALSE),""))</f>
        <v/>
      </c>
      <c r="C174" s="88" t="str">
        <f>IF(A174="","",IFERROR(VLOOKUP(A174,'Material Master'!$A$2:$E$201,3,FALSE),""))</f>
        <v/>
      </c>
      <c r="D174" s="88" t="str">
        <f t="array" ref="D174">IF(A174="","",IFERROR(INDEX('Location Master'!$E$2:$E$502, IFERROR(MATCH(A174,'Location Master'!$G$2:$G$502,0), IFERROR(MATCH(A174&amp;" (*",'Location Master'!$G$2:$G$502,0), MATCH(A174&amp;"*",'Location Master'!$G$2:$G$502,0)))), ""))</f>
        <v/>
      </c>
      <c r="E174" s="134"/>
      <c r="F174" s="134" t="str">
        <f>IF(OR(A174="",D174=""),"",SUMIFS('Stock Movement'!$F$2:$F$501,'Stock Movement'!$B$2:$B$501,A174,'Stock Movement'!$D$2:$D$501,D174,'Stock Movement'!$E$2:$E$501,"IN"))</f>
        <v/>
      </c>
      <c r="G174" s="134" t="str">
        <f>IF(OR(A174="",D174=""),"",SUMIFS('Stock Movement'!$F$2:$F$501,'Stock Movement'!$B$2:$B$501,A174,'Stock Movement'!$D$2:$D$501,D174,'Stock Movement'!$E$2:$E$501,"OUT"))</f>
        <v/>
      </c>
      <c r="H174" s="134" t="str">
        <f t="shared" si="1"/>
        <v/>
      </c>
      <c r="I174" s="88" t="str">
        <f>IF(A174="","",IFERROR(VLOOKUP(A174,'Material Master'!$A$2:$E$201,4,FALSE),""))</f>
        <v/>
      </c>
      <c r="J174" s="134" t="str">
        <f>IF(A174="","",IFERROR(VLOOKUP(A174,'Material Master'!$A$2:$E$201,5,FALSE),""))</f>
        <v/>
      </c>
      <c r="K174" s="135" t="str">
        <f t="shared" si="2"/>
        <v/>
      </c>
    </row>
    <row r="175" ht="24.0" customHeight="1">
      <c r="A175" s="82"/>
      <c r="B175" s="130" t="str">
        <f>IF(A175="","",IFERROR(VLOOKUP(A175,'Material Master'!$A$2:$E$201,2,FALSE),""))</f>
        <v/>
      </c>
      <c r="C175" s="82" t="str">
        <f>IF(A175="","",IFERROR(VLOOKUP(A175,'Material Master'!$A$2:$E$201,3,FALSE),""))</f>
        <v/>
      </c>
      <c r="D175" s="82" t="str">
        <f t="array" ref="D175">IF(A175="","",IFERROR(INDEX('Location Master'!$E$2:$E$502, IFERROR(MATCH(A175,'Location Master'!$G$2:$G$502,0), IFERROR(MATCH(A175&amp;" (*",'Location Master'!$G$2:$G$502,0), MATCH(A175&amp;"*",'Location Master'!$G$2:$G$502,0)))), ""))</f>
        <v/>
      </c>
      <c r="E175" s="131"/>
      <c r="F175" s="131" t="str">
        <f>IF(OR(A175="",D175=""),"",SUMIFS('Stock Movement'!$F$2:$F$501,'Stock Movement'!$B$2:$B$501,A175,'Stock Movement'!$D$2:$D$501,D175,'Stock Movement'!$E$2:$E$501,"IN"))</f>
        <v/>
      </c>
      <c r="G175" s="131" t="str">
        <f>IF(OR(A175="",D175=""),"",SUMIFS('Stock Movement'!$F$2:$F$501,'Stock Movement'!$B$2:$B$501,A175,'Stock Movement'!$D$2:$D$501,D175,'Stock Movement'!$E$2:$E$501,"OUT"))</f>
        <v/>
      </c>
      <c r="H175" s="131" t="str">
        <f t="shared" si="1"/>
        <v/>
      </c>
      <c r="I175" s="82" t="str">
        <f>IF(A175="","",IFERROR(VLOOKUP(A175,'Material Master'!$A$2:$E$201,4,FALSE),""))</f>
        <v/>
      </c>
      <c r="J175" s="131" t="str">
        <f>IF(A175="","",IFERROR(VLOOKUP(A175,'Material Master'!$A$2:$E$201,5,FALSE),""))</f>
        <v/>
      </c>
      <c r="K175" s="132" t="str">
        <f t="shared" si="2"/>
        <v/>
      </c>
    </row>
    <row r="176" ht="24.0" customHeight="1">
      <c r="A176" s="88"/>
      <c r="B176" s="133" t="str">
        <f>IF(A176="","",IFERROR(VLOOKUP(A176,'Material Master'!$A$2:$E$201,2,FALSE),""))</f>
        <v/>
      </c>
      <c r="C176" s="88" t="str">
        <f>IF(A176="","",IFERROR(VLOOKUP(A176,'Material Master'!$A$2:$E$201,3,FALSE),""))</f>
        <v/>
      </c>
      <c r="D176" s="88" t="str">
        <f t="array" ref="D176">IF(A176="","",IFERROR(INDEX('Location Master'!$E$2:$E$502, IFERROR(MATCH(A176,'Location Master'!$G$2:$G$502,0), IFERROR(MATCH(A176&amp;" (*",'Location Master'!$G$2:$G$502,0), MATCH(A176&amp;"*",'Location Master'!$G$2:$G$502,0)))), ""))</f>
        <v/>
      </c>
      <c r="E176" s="134"/>
      <c r="F176" s="134" t="str">
        <f>IF(OR(A176="",D176=""),"",SUMIFS('Stock Movement'!$F$2:$F$501,'Stock Movement'!$B$2:$B$501,A176,'Stock Movement'!$D$2:$D$501,D176,'Stock Movement'!$E$2:$E$501,"IN"))</f>
        <v/>
      </c>
      <c r="G176" s="134" t="str">
        <f>IF(OR(A176="",D176=""),"",SUMIFS('Stock Movement'!$F$2:$F$501,'Stock Movement'!$B$2:$B$501,A176,'Stock Movement'!$D$2:$D$501,D176,'Stock Movement'!$E$2:$E$501,"OUT"))</f>
        <v/>
      </c>
      <c r="H176" s="134" t="str">
        <f t="shared" si="1"/>
        <v/>
      </c>
      <c r="I176" s="88" t="str">
        <f>IF(A176="","",IFERROR(VLOOKUP(A176,'Material Master'!$A$2:$E$201,4,FALSE),""))</f>
        <v/>
      </c>
      <c r="J176" s="134" t="str">
        <f>IF(A176="","",IFERROR(VLOOKUP(A176,'Material Master'!$A$2:$E$201,5,FALSE),""))</f>
        <v/>
      </c>
      <c r="K176" s="135" t="str">
        <f t="shared" si="2"/>
        <v/>
      </c>
    </row>
    <row r="177" ht="24.0" customHeight="1">
      <c r="A177" s="82"/>
      <c r="B177" s="130" t="str">
        <f>IF(A177="","",IFERROR(VLOOKUP(A177,'Material Master'!$A$2:$E$201,2,FALSE),""))</f>
        <v/>
      </c>
      <c r="C177" s="82" t="str">
        <f>IF(A177="","",IFERROR(VLOOKUP(A177,'Material Master'!$A$2:$E$201,3,FALSE),""))</f>
        <v/>
      </c>
      <c r="D177" s="82" t="str">
        <f t="array" ref="D177">IF(A177="","",IFERROR(INDEX('Location Master'!$E$2:$E$502, IFERROR(MATCH(A177,'Location Master'!$G$2:$G$502,0), IFERROR(MATCH(A177&amp;" (*",'Location Master'!$G$2:$G$502,0), MATCH(A177&amp;"*",'Location Master'!$G$2:$G$502,0)))), ""))</f>
        <v/>
      </c>
      <c r="E177" s="131"/>
      <c r="F177" s="131" t="str">
        <f>IF(OR(A177="",D177=""),"",SUMIFS('Stock Movement'!$F$2:$F$501,'Stock Movement'!$B$2:$B$501,A177,'Stock Movement'!$D$2:$D$501,D177,'Stock Movement'!$E$2:$E$501,"IN"))</f>
        <v/>
      </c>
      <c r="G177" s="131" t="str">
        <f>IF(OR(A177="",D177=""),"",SUMIFS('Stock Movement'!$F$2:$F$501,'Stock Movement'!$B$2:$B$501,A177,'Stock Movement'!$D$2:$D$501,D177,'Stock Movement'!$E$2:$E$501,"OUT"))</f>
        <v/>
      </c>
      <c r="H177" s="131" t="str">
        <f t="shared" si="1"/>
        <v/>
      </c>
      <c r="I177" s="82" t="str">
        <f>IF(A177="","",IFERROR(VLOOKUP(A177,'Material Master'!$A$2:$E$201,4,FALSE),""))</f>
        <v/>
      </c>
      <c r="J177" s="131" t="str">
        <f>IF(A177="","",IFERROR(VLOOKUP(A177,'Material Master'!$A$2:$E$201,5,FALSE),""))</f>
        <v/>
      </c>
      <c r="K177" s="132" t="str">
        <f t="shared" si="2"/>
        <v/>
      </c>
    </row>
    <row r="178" ht="24.0" customHeight="1">
      <c r="A178" s="88"/>
      <c r="B178" s="133" t="str">
        <f>IF(A178="","",IFERROR(VLOOKUP(A178,'Material Master'!$A$2:$E$201,2,FALSE),""))</f>
        <v/>
      </c>
      <c r="C178" s="88" t="str">
        <f>IF(A178="","",IFERROR(VLOOKUP(A178,'Material Master'!$A$2:$E$201,3,FALSE),""))</f>
        <v/>
      </c>
      <c r="D178" s="88" t="str">
        <f t="array" ref="D178">IF(A178="","",IFERROR(INDEX('Location Master'!$E$2:$E$502, IFERROR(MATCH(A178,'Location Master'!$G$2:$G$502,0), IFERROR(MATCH(A178&amp;" (*",'Location Master'!$G$2:$G$502,0), MATCH(A178&amp;"*",'Location Master'!$G$2:$G$502,0)))), ""))</f>
        <v/>
      </c>
      <c r="E178" s="134"/>
      <c r="F178" s="134" t="str">
        <f>IF(OR(A178="",D178=""),"",SUMIFS('Stock Movement'!$F$2:$F$501,'Stock Movement'!$B$2:$B$501,A178,'Stock Movement'!$D$2:$D$501,D178,'Stock Movement'!$E$2:$E$501,"IN"))</f>
        <v/>
      </c>
      <c r="G178" s="134" t="str">
        <f>IF(OR(A178="",D178=""),"",SUMIFS('Stock Movement'!$F$2:$F$501,'Stock Movement'!$B$2:$B$501,A178,'Stock Movement'!$D$2:$D$501,D178,'Stock Movement'!$E$2:$E$501,"OUT"))</f>
        <v/>
      </c>
      <c r="H178" s="134" t="str">
        <f t="shared" si="1"/>
        <v/>
      </c>
      <c r="I178" s="88" t="str">
        <f>IF(A178="","",IFERROR(VLOOKUP(A178,'Material Master'!$A$2:$E$201,4,FALSE),""))</f>
        <v/>
      </c>
      <c r="J178" s="134" t="str">
        <f>IF(A178="","",IFERROR(VLOOKUP(A178,'Material Master'!$A$2:$E$201,5,FALSE),""))</f>
        <v/>
      </c>
      <c r="K178" s="135" t="str">
        <f t="shared" si="2"/>
        <v/>
      </c>
    </row>
    <row r="179" ht="24.0" customHeight="1">
      <c r="A179" s="82"/>
      <c r="B179" s="130" t="str">
        <f>IF(A179="","",IFERROR(VLOOKUP(A179,'Material Master'!$A$2:$E$201,2,FALSE),""))</f>
        <v/>
      </c>
      <c r="C179" s="82" t="str">
        <f>IF(A179="","",IFERROR(VLOOKUP(A179,'Material Master'!$A$2:$E$201,3,FALSE),""))</f>
        <v/>
      </c>
      <c r="D179" s="82" t="str">
        <f t="array" ref="D179">IF(A179="","",IFERROR(INDEX('Location Master'!$E$2:$E$502, IFERROR(MATCH(A179,'Location Master'!$G$2:$G$502,0), IFERROR(MATCH(A179&amp;" (*",'Location Master'!$G$2:$G$502,0), MATCH(A179&amp;"*",'Location Master'!$G$2:$G$502,0)))), ""))</f>
        <v/>
      </c>
      <c r="E179" s="131"/>
      <c r="F179" s="131" t="str">
        <f>IF(OR(A179="",D179=""),"",SUMIFS('Stock Movement'!$F$2:$F$501,'Stock Movement'!$B$2:$B$501,A179,'Stock Movement'!$D$2:$D$501,D179,'Stock Movement'!$E$2:$E$501,"IN"))</f>
        <v/>
      </c>
      <c r="G179" s="131" t="str">
        <f>IF(OR(A179="",D179=""),"",SUMIFS('Stock Movement'!$F$2:$F$501,'Stock Movement'!$B$2:$B$501,A179,'Stock Movement'!$D$2:$D$501,D179,'Stock Movement'!$E$2:$E$501,"OUT"))</f>
        <v/>
      </c>
      <c r="H179" s="131" t="str">
        <f t="shared" si="1"/>
        <v/>
      </c>
      <c r="I179" s="82" t="str">
        <f>IF(A179="","",IFERROR(VLOOKUP(A179,'Material Master'!$A$2:$E$201,4,FALSE),""))</f>
        <v/>
      </c>
      <c r="J179" s="131" t="str">
        <f>IF(A179="","",IFERROR(VLOOKUP(A179,'Material Master'!$A$2:$E$201,5,FALSE),""))</f>
        <v/>
      </c>
      <c r="K179" s="132" t="str">
        <f t="shared" si="2"/>
        <v/>
      </c>
    </row>
    <row r="180" ht="24.0" customHeight="1">
      <c r="A180" s="88"/>
      <c r="B180" s="133" t="str">
        <f>IF(A180="","",IFERROR(VLOOKUP(A180,'Material Master'!$A$2:$E$201,2,FALSE),""))</f>
        <v/>
      </c>
      <c r="C180" s="88" t="str">
        <f>IF(A180="","",IFERROR(VLOOKUP(A180,'Material Master'!$A$2:$E$201,3,FALSE),""))</f>
        <v/>
      </c>
      <c r="D180" s="88" t="str">
        <f t="array" ref="D180">IF(A180="","",IFERROR(INDEX('Location Master'!$E$2:$E$502, IFERROR(MATCH(A180,'Location Master'!$G$2:$G$502,0), IFERROR(MATCH(A180&amp;" (*",'Location Master'!$G$2:$G$502,0), MATCH(A180&amp;"*",'Location Master'!$G$2:$G$502,0)))), ""))</f>
        <v/>
      </c>
      <c r="E180" s="134"/>
      <c r="F180" s="134" t="str">
        <f>IF(OR(A180="",D180=""),"",SUMIFS('Stock Movement'!$F$2:$F$501,'Stock Movement'!$B$2:$B$501,A180,'Stock Movement'!$D$2:$D$501,D180,'Stock Movement'!$E$2:$E$501,"IN"))</f>
        <v/>
      </c>
      <c r="G180" s="134" t="str">
        <f>IF(OR(A180="",D180=""),"",SUMIFS('Stock Movement'!$F$2:$F$501,'Stock Movement'!$B$2:$B$501,A180,'Stock Movement'!$D$2:$D$501,D180,'Stock Movement'!$E$2:$E$501,"OUT"))</f>
        <v/>
      </c>
      <c r="H180" s="134" t="str">
        <f t="shared" si="1"/>
        <v/>
      </c>
      <c r="I180" s="88" t="str">
        <f>IF(A180="","",IFERROR(VLOOKUP(A180,'Material Master'!$A$2:$E$201,4,FALSE),""))</f>
        <v/>
      </c>
      <c r="J180" s="134" t="str">
        <f>IF(A180="","",IFERROR(VLOOKUP(A180,'Material Master'!$A$2:$E$201,5,FALSE),""))</f>
        <v/>
      </c>
      <c r="K180" s="135" t="str">
        <f t="shared" si="2"/>
        <v/>
      </c>
    </row>
    <row r="181" ht="24.0" customHeight="1">
      <c r="A181" s="82"/>
      <c r="B181" s="130" t="str">
        <f>IF(A181="","",IFERROR(VLOOKUP(A181,'Material Master'!$A$2:$E$201,2,FALSE),""))</f>
        <v/>
      </c>
      <c r="C181" s="82" t="str">
        <f>IF(A181="","",IFERROR(VLOOKUP(A181,'Material Master'!$A$2:$E$201,3,FALSE),""))</f>
        <v/>
      </c>
      <c r="D181" s="82" t="str">
        <f t="array" ref="D181">IF(A181="","",IFERROR(INDEX('Location Master'!$E$2:$E$502, IFERROR(MATCH(A181,'Location Master'!$G$2:$G$502,0), IFERROR(MATCH(A181&amp;" (*",'Location Master'!$G$2:$G$502,0), MATCH(A181&amp;"*",'Location Master'!$G$2:$G$502,0)))), ""))</f>
        <v/>
      </c>
      <c r="E181" s="131"/>
      <c r="F181" s="131" t="str">
        <f>IF(OR(A181="",D181=""),"",SUMIFS('Stock Movement'!$F$2:$F$501,'Stock Movement'!$B$2:$B$501,A181,'Stock Movement'!$D$2:$D$501,D181,'Stock Movement'!$E$2:$E$501,"IN"))</f>
        <v/>
      </c>
      <c r="G181" s="131" t="str">
        <f>IF(OR(A181="",D181=""),"",SUMIFS('Stock Movement'!$F$2:$F$501,'Stock Movement'!$B$2:$B$501,A181,'Stock Movement'!$D$2:$D$501,D181,'Stock Movement'!$E$2:$E$501,"OUT"))</f>
        <v/>
      </c>
      <c r="H181" s="131" t="str">
        <f t="shared" si="1"/>
        <v/>
      </c>
      <c r="I181" s="82" t="str">
        <f>IF(A181="","",IFERROR(VLOOKUP(A181,'Material Master'!$A$2:$E$201,4,FALSE),""))</f>
        <v/>
      </c>
      <c r="J181" s="131" t="str">
        <f>IF(A181="","",IFERROR(VLOOKUP(A181,'Material Master'!$A$2:$E$201,5,FALSE),""))</f>
        <v/>
      </c>
      <c r="K181" s="132" t="str">
        <f t="shared" si="2"/>
        <v/>
      </c>
    </row>
    <row r="182" ht="24.0" customHeight="1">
      <c r="A182" s="88"/>
      <c r="B182" s="133" t="str">
        <f>IF(A182="","",IFERROR(VLOOKUP(A182,'Material Master'!$A$2:$E$201,2,FALSE),""))</f>
        <v/>
      </c>
      <c r="C182" s="88" t="str">
        <f>IF(A182="","",IFERROR(VLOOKUP(A182,'Material Master'!$A$2:$E$201,3,FALSE),""))</f>
        <v/>
      </c>
      <c r="D182" s="88" t="str">
        <f t="array" ref="D182">IF(A182="","",IFERROR(INDEX('Location Master'!$E$2:$E$502, IFERROR(MATCH(A182,'Location Master'!$G$2:$G$502,0), IFERROR(MATCH(A182&amp;" (*",'Location Master'!$G$2:$G$502,0), MATCH(A182&amp;"*",'Location Master'!$G$2:$G$502,0)))), ""))</f>
        <v/>
      </c>
      <c r="E182" s="134"/>
      <c r="F182" s="134" t="str">
        <f>IF(OR(A182="",D182=""),"",SUMIFS('Stock Movement'!$F$2:$F$501,'Stock Movement'!$B$2:$B$501,A182,'Stock Movement'!$D$2:$D$501,D182,'Stock Movement'!$E$2:$E$501,"IN"))</f>
        <v/>
      </c>
      <c r="G182" s="134" t="str">
        <f>IF(OR(A182="",D182=""),"",SUMIFS('Stock Movement'!$F$2:$F$501,'Stock Movement'!$B$2:$B$501,A182,'Stock Movement'!$D$2:$D$501,D182,'Stock Movement'!$E$2:$E$501,"OUT"))</f>
        <v/>
      </c>
      <c r="H182" s="134" t="str">
        <f t="shared" si="1"/>
        <v/>
      </c>
      <c r="I182" s="88" t="str">
        <f>IF(A182="","",IFERROR(VLOOKUP(A182,'Material Master'!$A$2:$E$201,4,FALSE),""))</f>
        <v/>
      </c>
      <c r="J182" s="134" t="str">
        <f>IF(A182="","",IFERROR(VLOOKUP(A182,'Material Master'!$A$2:$E$201,5,FALSE),""))</f>
        <v/>
      </c>
      <c r="K182" s="135" t="str">
        <f t="shared" si="2"/>
        <v/>
      </c>
    </row>
    <row r="183" ht="24.0" customHeight="1">
      <c r="A183" s="82"/>
      <c r="B183" s="130" t="str">
        <f>IF(A183="","",IFERROR(VLOOKUP(A183,'Material Master'!$A$2:$E$201,2,FALSE),""))</f>
        <v/>
      </c>
      <c r="C183" s="82" t="str">
        <f>IF(A183="","",IFERROR(VLOOKUP(A183,'Material Master'!$A$2:$E$201,3,FALSE),""))</f>
        <v/>
      </c>
      <c r="D183" s="82" t="str">
        <f t="array" ref="D183">IF(A183="","",IFERROR(INDEX('Location Master'!$E$2:$E$502, IFERROR(MATCH(A183,'Location Master'!$G$2:$G$502,0), IFERROR(MATCH(A183&amp;" (*",'Location Master'!$G$2:$G$502,0), MATCH(A183&amp;"*",'Location Master'!$G$2:$G$502,0)))), ""))</f>
        <v/>
      </c>
      <c r="E183" s="131"/>
      <c r="F183" s="131" t="str">
        <f>IF(OR(A183="",D183=""),"",SUMIFS('Stock Movement'!$F$2:$F$501,'Stock Movement'!$B$2:$B$501,A183,'Stock Movement'!$D$2:$D$501,D183,'Stock Movement'!$E$2:$E$501,"IN"))</f>
        <v/>
      </c>
      <c r="G183" s="131" t="str">
        <f>IF(OR(A183="",D183=""),"",SUMIFS('Stock Movement'!$F$2:$F$501,'Stock Movement'!$B$2:$B$501,A183,'Stock Movement'!$D$2:$D$501,D183,'Stock Movement'!$E$2:$E$501,"OUT"))</f>
        <v/>
      </c>
      <c r="H183" s="131" t="str">
        <f t="shared" si="1"/>
        <v/>
      </c>
      <c r="I183" s="82" t="str">
        <f>IF(A183="","",IFERROR(VLOOKUP(A183,'Material Master'!$A$2:$E$201,4,FALSE),""))</f>
        <v/>
      </c>
      <c r="J183" s="131" t="str">
        <f>IF(A183="","",IFERROR(VLOOKUP(A183,'Material Master'!$A$2:$E$201,5,FALSE),""))</f>
        <v/>
      </c>
      <c r="K183" s="132" t="str">
        <f t="shared" si="2"/>
        <v/>
      </c>
    </row>
    <row r="184" ht="24.0" customHeight="1">
      <c r="A184" s="88"/>
      <c r="B184" s="133" t="str">
        <f>IF(A184="","",IFERROR(VLOOKUP(A184,'Material Master'!$A$2:$E$201,2,FALSE),""))</f>
        <v/>
      </c>
      <c r="C184" s="88" t="str">
        <f>IF(A184="","",IFERROR(VLOOKUP(A184,'Material Master'!$A$2:$E$201,3,FALSE),""))</f>
        <v/>
      </c>
      <c r="D184" s="88" t="str">
        <f t="array" ref="D184">IF(A184="","",IFERROR(INDEX('Location Master'!$E$2:$E$502, IFERROR(MATCH(A184,'Location Master'!$G$2:$G$502,0), IFERROR(MATCH(A184&amp;" (*",'Location Master'!$G$2:$G$502,0), MATCH(A184&amp;"*",'Location Master'!$G$2:$G$502,0)))), ""))</f>
        <v/>
      </c>
      <c r="E184" s="134"/>
      <c r="F184" s="134" t="str">
        <f>IF(OR(A184="",D184=""),"",SUMIFS('Stock Movement'!$F$2:$F$501,'Stock Movement'!$B$2:$B$501,A184,'Stock Movement'!$D$2:$D$501,D184,'Stock Movement'!$E$2:$E$501,"IN"))</f>
        <v/>
      </c>
      <c r="G184" s="134" t="str">
        <f>IF(OR(A184="",D184=""),"",SUMIFS('Stock Movement'!$F$2:$F$501,'Stock Movement'!$B$2:$B$501,A184,'Stock Movement'!$D$2:$D$501,D184,'Stock Movement'!$E$2:$E$501,"OUT"))</f>
        <v/>
      </c>
      <c r="H184" s="134" t="str">
        <f t="shared" si="1"/>
        <v/>
      </c>
      <c r="I184" s="88" t="str">
        <f>IF(A184="","",IFERROR(VLOOKUP(A184,'Material Master'!$A$2:$E$201,4,FALSE),""))</f>
        <v/>
      </c>
      <c r="J184" s="134" t="str">
        <f>IF(A184="","",IFERROR(VLOOKUP(A184,'Material Master'!$A$2:$E$201,5,FALSE),""))</f>
        <v/>
      </c>
      <c r="K184" s="135" t="str">
        <f t="shared" si="2"/>
        <v/>
      </c>
    </row>
    <row r="185" ht="24.0" customHeight="1">
      <c r="A185" s="82"/>
      <c r="B185" s="130" t="str">
        <f>IF(A185="","",IFERROR(VLOOKUP(A185,'Material Master'!$A$2:$E$201,2,FALSE),""))</f>
        <v/>
      </c>
      <c r="C185" s="82" t="str">
        <f>IF(A185="","",IFERROR(VLOOKUP(A185,'Material Master'!$A$2:$E$201,3,FALSE),""))</f>
        <v/>
      </c>
      <c r="D185" s="82" t="str">
        <f t="array" ref="D185">IF(A185="","",IFERROR(INDEX('Location Master'!$E$2:$E$502, IFERROR(MATCH(A185,'Location Master'!$G$2:$G$502,0), IFERROR(MATCH(A185&amp;" (*",'Location Master'!$G$2:$G$502,0), MATCH(A185&amp;"*",'Location Master'!$G$2:$G$502,0)))), ""))</f>
        <v/>
      </c>
      <c r="E185" s="131"/>
      <c r="F185" s="131" t="str">
        <f>IF(OR(A185="",D185=""),"",SUMIFS('Stock Movement'!$F$2:$F$501,'Stock Movement'!$B$2:$B$501,A185,'Stock Movement'!$D$2:$D$501,D185,'Stock Movement'!$E$2:$E$501,"IN"))</f>
        <v/>
      </c>
      <c r="G185" s="131" t="str">
        <f>IF(OR(A185="",D185=""),"",SUMIFS('Stock Movement'!$F$2:$F$501,'Stock Movement'!$B$2:$B$501,A185,'Stock Movement'!$D$2:$D$501,D185,'Stock Movement'!$E$2:$E$501,"OUT"))</f>
        <v/>
      </c>
      <c r="H185" s="131" t="str">
        <f t="shared" si="1"/>
        <v/>
      </c>
      <c r="I185" s="82" t="str">
        <f>IF(A185="","",IFERROR(VLOOKUP(A185,'Material Master'!$A$2:$E$201,4,FALSE),""))</f>
        <v/>
      </c>
      <c r="J185" s="131" t="str">
        <f>IF(A185="","",IFERROR(VLOOKUP(A185,'Material Master'!$A$2:$E$201,5,FALSE),""))</f>
        <v/>
      </c>
      <c r="K185" s="132" t="str">
        <f t="shared" si="2"/>
        <v/>
      </c>
    </row>
    <row r="186" ht="24.0" customHeight="1">
      <c r="A186" s="88"/>
      <c r="B186" s="133" t="str">
        <f>IF(A186="","",IFERROR(VLOOKUP(A186,'Material Master'!$A$2:$E$201,2,FALSE),""))</f>
        <v/>
      </c>
      <c r="C186" s="88" t="str">
        <f>IF(A186="","",IFERROR(VLOOKUP(A186,'Material Master'!$A$2:$E$201,3,FALSE),""))</f>
        <v/>
      </c>
      <c r="D186" s="88" t="str">
        <f t="array" ref="D186">IF(A186="","",IFERROR(INDEX('Location Master'!$E$2:$E$502, IFERROR(MATCH(A186,'Location Master'!$G$2:$G$502,0), IFERROR(MATCH(A186&amp;" (*",'Location Master'!$G$2:$G$502,0), MATCH(A186&amp;"*",'Location Master'!$G$2:$G$502,0)))), ""))</f>
        <v/>
      </c>
      <c r="E186" s="134"/>
      <c r="F186" s="134" t="str">
        <f>IF(OR(A186="",D186=""),"",SUMIFS('Stock Movement'!$F$2:$F$501,'Stock Movement'!$B$2:$B$501,A186,'Stock Movement'!$D$2:$D$501,D186,'Stock Movement'!$E$2:$E$501,"IN"))</f>
        <v/>
      </c>
      <c r="G186" s="134" t="str">
        <f>IF(OR(A186="",D186=""),"",SUMIFS('Stock Movement'!$F$2:$F$501,'Stock Movement'!$B$2:$B$501,A186,'Stock Movement'!$D$2:$D$501,D186,'Stock Movement'!$E$2:$E$501,"OUT"))</f>
        <v/>
      </c>
      <c r="H186" s="134" t="str">
        <f t="shared" si="1"/>
        <v/>
      </c>
      <c r="I186" s="88" t="str">
        <f>IF(A186="","",IFERROR(VLOOKUP(A186,'Material Master'!$A$2:$E$201,4,FALSE),""))</f>
        <v/>
      </c>
      <c r="J186" s="134" t="str">
        <f>IF(A186="","",IFERROR(VLOOKUP(A186,'Material Master'!$A$2:$E$201,5,FALSE),""))</f>
        <v/>
      </c>
      <c r="K186" s="135" t="str">
        <f t="shared" si="2"/>
        <v/>
      </c>
    </row>
    <row r="187" ht="24.0" customHeight="1">
      <c r="A187" s="82"/>
      <c r="B187" s="130" t="str">
        <f>IF(A187="","",IFERROR(VLOOKUP(A187,'Material Master'!$A$2:$E$201,2,FALSE),""))</f>
        <v/>
      </c>
      <c r="C187" s="82" t="str">
        <f>IF(A187="","",IFERROR(VLOOKUP(A187,'Material Master'!$A$2:$E$201,3,FALSE),""))</f>
        <v/>
      </c>
      <c r="D187" s="82" t="str">
        <f t="array" ref="D187">IF(A187="","",IFERROR(INDEX('Location Master'!$E$2:$E$502, IFERROR(MATCH(A187,'Location Master'!$G$2:$G$502,0), IFERROR(MATCH(A187&amp;" (*",'Location Master'!$G$2:$G$502,0), MATCH(A187&amp;"*",'Location Master'!$G$2:$G$502,0)))), ""))</f>
        <v/>
      </c>
      <c r="E187" s="131"/>
      <c r="F187" s="131" t="str">
        <f>IF(OR(A187="",D187=""),"",SUMIFS('Stock Movement'!$F$2:$F$501,'Stock Movement'!$B$2:$B$501,A187,'Stock Movement'!$D$2:$D$501,D187,'Stock Movement'!$E$2:$E$501,"IN"))</f>
        <v/>
      </c>
      <c r="G187" s="131" t="str">
        <f>IF(OR(A187="",D187=""),"",SUMIFS('Stock Movement'!$F$2:$F$501,'Stock Movement'!$B$2:$B$501,A187,'Stock Movement'!$D$2:$D$501,D187,'Stock Movement'!$E$2:$E$501,"OUT"))</f>
        <v/>
      </c>
      <c r="H187" s="131" t="str">
        <f t="shared" si="1"/>
        <v/>
      </c>
      <c r="I187" s="82" t="str">
        <f>IF(A187="","",IFERROR(VLOOKUP(A187,'Material Master'!$A$2:$E$201,4,FALSE),""))</f>
        <v/>
      </c>
      <c r="J187" s="131" t="str">
        <f>IF(A187="","",IFERROR(VLOOKUP(A187,'Material Master'!$A$2:$E$201,5,FALSE),""))</f>
        <v/>
      </c>
      <c r="K187" s="132" t="str">
        <f t="shared" si="2"/>
        <v/>
      </c>
    </row>
    <row r="188" ht="24.0" customHeight="1">
      <c r="A188" s="88"/>
      <c r="B188" s="133" t="str">
        <f>IF(A188="","",IFERROR(VLOOKUP(A188,'Material Master'!$A$2:$E$201,2,FALSE),""))</f>
        <v/>
      </c>
      <c r="C188" s="88" t="str">
        <f>IF(A188="","",IFERROR(VLOOKUP(A188,'Material Master'!$A$2:$E$201,3,FALSE),""))</f>
        <v/>
      </c>
      <c r="D188" s="88" t="str">
        <f t="array" ref="D188">IF(A188="","",IFERROR(INDEX('Location Master'!$E$2:$E$502, IFERROR(MATCH(A188,'Location Master'!$G$2:$G$502,0), IFERROR(MATCH(A188&amp;" (*",'Location Master'!$G$2:$G$502,0), MATCH(A188&amp;"*",'Location Master'!$G$2:$G$502,0)))), ""))</f>
        <v/>
      </c>
      <c r="E188" s="134"/>
      <c r="F188" s="134" t="str">
        <f>IF(OR(A188="",D188=""),"",SUMIFS('Stock Movement'!$F$2:$F$501,'Stock Movement'!$B$2:$B$501,A188,'Stock Movement'!$D$2:$D$501,D188,'Stock Movement'!$E$2:$E$501,"IN"))</f>
        <v/>
      </c>
      <c r="G188" s="134" t="str">
        <f>IF(OR(A188="",D188=""),"",SUMIFS('Stock Movement'!$F$2:$F$501,'Stock Movement'!$B$2:$B$501,A188,'Stock Movement'!$D$2:$D$501,D188,'Stock Movement'!$E$2:$E$501,"OUT"))</f>
        <v/>
      </c>
      <c r="H188" s="134" t="str">
        <f t="shared" si="1"/>
        <v/>
      </c>
      <c r="I188" s="88" t="str">
        <f>IF(A188="","",IFERROR(VLOOKUP(A188,'Material Master'!$A$2:$E$201,4,FALSE),""))</f>
        <v/>
      </c>
      <c r="J188" s="134" t="str">
        <f>IF(A188="","",IFERROR(VLOOKUP(A188,'Material Master'!$A$2:$E$201,5,FALSE),""))</f>
        <v/>
      </c>
      <c r="K188" s="135" t="str">
        <f t="shared" si="2"/>
        <v/>
      </c>
    </row>
    <row r="189" ht="24.0" customHeight="1">
      <c r="A189" s="82"/>
      <c r="B189" s="130" t="str">
        <f>IF(A189="","",IFERROR(VLOOKUP(A189,'Material Master'!$A$2:$E$201,2,FALSE),""))</f>
        <v/>
      </c>
      <c r="C189" s="82" t="str">
        <f>IF(A189="","",IFERROR(VLOOKUP(A189,'Material Master'!$A$2:$E$201,3,FALSE),""))</f>
        <v/>
      </c>
      <c r="D189" s="82" t="str">
        <f t="array" ref="D189">IF(A189="","",IFERROR(INDEX('Location Master'!$E$2:$E$502, IFERROR(MATCH(A189,'Location Master'!$G$2:$G$502,0), IFERROR(MATCH(A189&amp;" (*",'Location Master'!$G$2:$G$502,0), MATCH(A189&amp;"*",'Location Master'!$G$2:$G$502,0)))), ""))</f>
        <v/>
      </c>
      <c r="E189" s="131"/>
      <c r="F189" s="131" t="str">
        <f>IF(OR(A189="",D189=""),"",SUMIFS('Stock Movement'!$F$2:$F$501,'Stock Movement'!$B$2:$B$501,A189,'Stock Movement'!$D$2:$D$501,D189,'Stock Movement'!$E$2:$E$501,"IN"))</f>
        <v/>
      </c>
      <c r="G189" s="131" t="str">
        <f>IF(OR(A189="",D189=""),"",SUMIFS('Stock Movement'!$F$2:$F$501,'Stock Movement'!$B$2:$B$501,A189,'Stock Movement'!$D$2:$D$501,D189,'Stock Movement'!$E$2:$E$501,"OUT"))</f>
        <v/>
      </c>
      <c r="H189" s="131" t="str">
        <f t="shared" si="1"/>
        <v/>
      </c>
      <c r="I189" s="82" t="str">
        <f>IF(A189="","",IFERROR(VLOOKUP(A189,'Material Master'!$A$2:$E$201,4,FALSE),""))</f>
        <v/>
      </c>
      <c r="J189" s="131" t="str">
        <f>IF(A189="","",IFERROR(VLOOKUP(A189,'Material Master'!$A$2:$E$201,5,FALSE),""))</f>
        <v/>
      </c>
      <c r="K189" s="132" t="str">
        <f t="shared" si="2"/>
        <v/>
      </c>
    </row>
    <row r="190" ht="24.0" customHeight="1">
      <c r="A190" s="88"/>
      <c r="B190" s="133" t="str">
        <f>IF(A190="","",IFERROR(VLOOKUP(A190,'Material Master'!$A$2:$E$201,2,FALSE),""))</f>
        <v/>
      </c>
      <c r="C190" s="88" t="str">
        <f>IF(A190="","",IFERROR(VLOOKUP(A190,'Material Master'!$A$2:$E$201,3,FALSE),""))</f>
        <v/>
      </c>
      <c r="D190" s="88" t="str">
        <f t="array" ref="D190">IF(A190="","",IFERROR(INDEX('Location Master'!$E$2:$E$502, IFERROR(MATCH(A190,'Location Master'!$G$2:$G$502,0), IFERROR(MATCH(A190&amp;" (*",'Location Master'!$G$2:$G$502,0), MATCH(A190&amp;"*",'Location Master'!$G$2:$G$502,0)))), ""))</f>
        <v/>
      </c>
      <c r="E190" s="134"/>
      <c r="F190" s="134" t="str">
        <f>IF(OR(A190="",D190=""),"",SUMIFS('Stock Movement'!$F$2:$F$501,'Stock Movement'!$B$2:$B$501,A190,'Stock Movement'!$D$2:$D$501,D190,'Stock Movement'!$E$2:$E$501,"IN"))</f>
        <v/>
      </c>
      <c r="G190" s="134" t="str">
        <f>IF(OR(A190="",D190=""),"",SUMIFS('Stock Movement'!$F$2:$F$501,'Stock Movement'!$B$2:$B$501,A190,'Stock Movement'!$D$2:$D$501,D190,'Stock Movement'!$E$2:$E$501,"OUT"))</f>
        <v/>
      </c>
      <c r="H190" s="134" t="str">
        <f t="shared" si="1"/>
        <v/>
      </c>
      <c r="I190" s="88" t="str">
        <f>IF(A190="","",IFERROR(VLOOKUP(A190,'Material Master'!$A$2:$E$201,4,FALSE),""))</f>
        <v/>
      </c>
      <c r="J190" s="134" t="str">
        <f>IF(A190="","",IFERROR(VLOOKUP(A190,'Material Master'!$A$2:$E$201,5,FALSE),""))</f>
        <v/>
      </c>
      <c r="K190" s="135" t="str">
        <f t="shared" si="2"/>
        <v/>
      </c>
    </row>
    <row r="191" ht="24.0" customHeight="1">
      <c r="A191" s="82"/>
      <c r="B191" s="130" t="str">
        <f>IF(A191="","",IFERROR(VLOOKUP(A191,'Material Master'!$A$2:$E$201,2,FALSE),""))</f>
        <v/>
      </c>
      <c r="C191" s="82" t="str">
        <f>IF(A191="","",IFERROR(VLOOKUP(A191,'Material Master'!$A$2:$E$201,3,FALSE),""))</f>
        <v/>
      </c>
      <c r="D191" s="82" t="str">
        <f t="array" ref="D191">IF(A191="","",IFERROR(INDEX('Location Master'!$E$2:$E$502, IFERROR(MATCH(A191,'Location Master'!$G$2:$G$502,0), IFERROR(MATCH(A191&amp;" (*",'Location Master'!$G$2:$G$502,0), MATCH(A191&amp;"*",'Location Master'!$G$2:$G$502,0)))), ""))</f>
        <v/>
      </c>
      <c r="E191" s="131"/>
      <c r="F191" s="131" t="str">
        <f>IF(OR(A191="",D191=""),"",SUMIFS('Stock Movement'!$F$2:$F$501,'Stock Movement'!$B$2:$B$501,A191,'Stock Movement'!$D$2:$D$501,D191,'Stock Movement'!$E$2:$E$501,"IN"))</f>
        <v/>
      </c>
      <c r="G191" s="131" t="str">
        <f>IF(OR(A191="",D191=""),"",SUMIFS('Stock Movement'!$F$2:$F$501,'Stock Movement'!$B$2:$B$501,A191,'Stock Movement'!$D$2:$D$501,D191,'Stock Movement'!$E$2:$E$501,"OUT"))</f>
        <v/>
      </c>
      <c r="H191" s="131" t="str">
        <f t="shared" si="1"/>
        <v/>
      </c>
      <c r="I191" s="82" t="str">
        <f>IF(A191="","",IFERROR(VLOOKUP(A191,'Material Master'!$A$2:$E$201,4,FALSE),""))</f>
        <v/>
      </c>
      <c r="J191" s="131" t="str">
        <f>IF(A191="","",IFERROR(VLOOKUP(A191,'Material Master'!$A$2:$E$201,5,FALSE),""))</f>
        <v/>
      </c>
      <c r="K191" s="132" t="str">
        <f t="shared" si="2"/>
        <v/>
      </c>
    </row>
    <row r="192" ht="24.0" customHeight="1">
      <c r="A192" s="88"/>
      <c r="B192" s="133" t="str">
        <f>IF(A192="","",IFERROR(VLOOKUP(A192,'Material Master'!$A$2:$E$201,2,FALSE),""))</f>
        <v/>
      </c>
      <c r="C192" s="88" t="str">
        <f>IF(A192="","",IFERROR(VLOOKUP(A192,'Material Master'!$A$2:$E$201,3,FALSE),""))</f>
        <v/>
      </c>
      <c r="D192" s="88" t="str">
        <f t="array" ref="D192">IF(A192="","",IFERROR(INDEX('Location Master'!$E$2:$E$502, IFERROR(MATCH(A192,'Location Master'!$G$2:$G$502,0), IFERROR(MATCH(A192&amp;" (*",'Location Master'!$G$2:$G$502,0), MATCH(A192&amp;"*",'Location Master'!$G$2:$G$502,0)))), ""))</f>
        <v/>
      </c>
      <c r="E192" s="134"/>
      <c r="F192" s="134" t="str">
        <f>IF(OR(A192="",D192=""),"",SUMIFS('Stock Movement'!$F$2:$F$501,'Stock Movement'!$B$2:$B$501,A192,'Stock Movement'!$D$2:$D$501,D192,'Stock Movement'!$E$2:$E$501,"IN"))</f>
        <v/>
      </c>
      <c r="G192" s="134" t="str">
        <f>IF(OR(A192="",D192=""),"",SUMIFS('Stock Movement'!$F$2:$F$501,'Stock Movement'!$B$2:$B$501,A192,'Stock Movement'!$D$2:$D$501,D192,'Stock Movement'!$E$2:$E$501,"OUT"))</f>
        <v/>
      </c>
      <c r="H192" s="134" t="str">
        <f t="shared" si="1"/>
        <v/>
      </c>
      <c r="I192" s="88" t="str">
        <f>IF(A192="","",IFERROR(VLOOKUP(A192,'Material Master'!$A$2:$E$201,4,FALSE),""))</f>
        <v/>
      </c>
      <c r="J192" s="134" t="str">
        <f>IF(A192="","",IFERROR(VLOOKUP(A192,'Material Master'!$A$2:$E$201,5,FALSE),""))</f>
        <v/>
      </c>
      <c r="K192" s="135" t="str">
        <f t="shared" si="2"/>
        <v/>
      </c>
    </row>
    <row r="193" ht="24.0" customHeight="1">
      <c r="A193" s="82"/>
      <c r="B193" s="130" t="str">
        <f>IF(A193="","",IFERROR(VLOOKUP(A193,'Material Master'!$A$2:$E$201,2,FALSE),""))</f>
        <v/>
      </c>
      <c r="C193" s="82" t="str">
        <f>IF(A193="","",IFERROR(VLOOKUP(A193,'Material Master'!$A$2:$E$201,3,FALSE),""))</f>
        <v/>
      </c>
      <c r="D193" s="82" t="str">
        <f t="array" ref="D193">IF(A193="","",IFERROR(INDEX('Location Master'!$E$2:$E$502, IFERROR(MATCH(A193,'Location Master'!$G$2:$G$502,0), IFERROR(MATCH(A193&amp;" (*",'Location Master'!$G$2:$G$502,0), MATCH(A193&amp;"*",'Location Master'!$G$2:$G$502,0)))), ""))</f>
        <v/>
      </c>
      <c r="E193" s="131"/>
      <c r="F193" s="131" t="str">
        <f>IF(OR(A193="",D193=""),"",SUMIFS('Stock Movement'!$F$2:$F$501,'Stock Movement'!$B$2:$B$501,A193,'Stock Movement'!$D$2:$D$501,D193,'Stock Movement'!$E$2:$E$501,"IN"))</f>
        <v/>
      </c>
      <c r="G193" s="131" t="str">
        <f>IF(OR(A193="",D193=""),"",SUMIFS('Stock Movement'!$F$2:$F$501,'Stock Movement'!$B$2:$B$501,A193,'Stock Movement'!$D$2:$D$501,D193,'Stock Movement'!$E$2:$E$501,"OUT"))</f>
        <v/>
      </c>
      <c r="H193" s="131" t="str">
        <f t="shared" si="1"/>
        <v/>
      </c>
      <c r="I193" s="82" t="str">
        <f>IF(A193="","",IFERROR(VLOOKUP(A193,'Material Master'!$A$2:$E$201,4,FALSE),""))</f>
        <v/>
      </c>
      <c r="J193" s="131" t="str">
        <f>IF(A193="","",IFERROR(VLOOKUP(A193,'Material Master'!$A$2:$E$201,5,FALSE),""))</f>
        <v/>
      </c>
      <c r="K193" s="132" t="str">
        <f t="shared" si="2"/>
        <v/>
      </c>
    </row>
    <row r="194" ht="24.0" customHeight="1">
      <c r="A194" s="88"/>
      <c r="B194" s="133" t="str">
        <f>IF(A194="","",IFERROR(VLOOKUP(A194,'Material Master'!$A$2:$E$201,2,FALSE),""))</f>
        <v/>
      </c>
      <c r="C194" s="88" t="str">
        <f>IF(A194="","",IFERROR(VLOOKUP(A194,'Material Master'!$A$2:$E$201,3,FALSE),""))</f>
        <v/>
      </c>
      <c r="D194" s="88" t="str">
        <f t="array" ref="D194">IF(A194="","",IFERROR(INDEX('Location Master'!$E$2:$E$502, IFERROR(MATCH(A194,'Location Master'!$G$2:$G$502,0), IFERROR(MATCH(A194&amp;" (*",'Location Master'!$G$2:$G$502,0), MATCH(A194&amp;"*",'Location Master'!$G$2:$G$502,0)))), ""))</f>
        <v/>
      </c>
      <c r="E194" s="134"/>
      <c r="F194" s="134" t="str">
        <f>IF(OR(A194="",D194=""),"",SUMIFS('Stock Movement'!$F$2:$F$501,'Stock Movement'!$B$2:$B$501,A194,'Stock Movement'!$D$2:$D$501,D194,'Stock Movement'!$E$2:$E$501,"IN"))</f>
        <v/>
      </c>
      <c r="G194" s="134" t="str">
        <f>IF(OR(A194="",D194=""),"",SUMIFS('Stock Movement'!$F$2:$F$501,'Stock Movement'!$B$2:$B$501,A194,'Stock Movement'!$D$2:$D$501,D194,'Stock Movement'!$E$2:$E$501,"OUT"))</f>
        <v/>
      </c>
      <c r="H194" s="134" t="str">
        <f t="shared" si="1"/>
        <v/>
      </c>
      <c r="I194" s="88" t="str">
        <f>IF(A194="","",IFERROR(VLOOKUP(A194,'Material Master'!$A$2:$E$201,4,FALSE),""))</f>
        <v/>
      </c>
      <c r="J194" s="134" t="str">
        <f>IF(A194="","",IFERROR(VLOOKUP(A194,'Material Master'!$A$2:$E$201,5,FALSE),""))</f>
        <v/>
      </c>
      <c r="K194" s="135" t="str">
        <f t="shared" si="2"/>
        <v/>
      </c>
    </row>
    <row r="195" ht="24.0" customHeight="1">
      <c r="A195" s="82"/>
      <c r="B195" s="130" t="str">
        <f>IF(A195="","",IFERROR(VLOOKUP(A195,'Material Master'!$A$2:$E$201,2,FALSE),""))</f>
        <v/>
      </c>
      <c r="C195" s="82" t="str">
        <f>IF(A195="","",IFERROR(VLOOKUP(A195,'Material Master'!$A$2:$E$201,3,FALSE),""))</f>
        <v/>
      </c>
      <c r="D195" s="82" t="str">
        <f t="array" ref="D195">IF(A195="","",IFERROR(INDEX('Location Master'!$E$2:$E$502, IFERROR(MATCH(A195,'Location Master'!$G$2:$G$502,0), IFERROR(MATCH(A195&amp;" (*",'Location Master'!$G$2:$G$502,0), MATCH(A195&amp;"*",'Location Master'!$G$2:$G$502,0)))), ""))</f>
        <v/>
      </c>
      <c r="E195" s="131"/>
      <c r="F195" s="131" t="str">
        <f>IF(OR(A195="",D195=""),"",SUMIFS('Stock Movement'!$F$2:$F$501,'Stock Movement'!$B$2:$B$501,A195,'Stock Movement'!$D$2:$D$501,D195,'Stock Movement'!$E$2:$E$501,"IN"))</f>
        <v/>
      </c>
      <c r="G195" s="131" t="str">
        <f>IF(OR(A195="",D195=""),"",SUMIFS('Stock Movement'!$F$2:$F$501,'Stock Movement'!$B$2:$B$501,A195,'Stock Movement'!$D$2:$D$501,D195,'Stock Movement'!$E$2:$E$501,"OUT"))</f>
        <v/>
      </c>
      <c r="H195" s="131" t="str">
        <f t="shared" si="1"/>
        <v/>
      </c>
      <c r="I195" s="82" t="str">
        <f>IF(A195="","",IFERROR(VLOOKUP(A195,'Material Master'!$A$2:$E$201,4,FALSE),""))</f>
        <v/>
      </c>
      <c r="J195" s="131" t="str">
        <f>IF(A195="","",IFERROR(VLOOKUP(A195,'Material Master'!$A$2:$E$201,5,FALSE),""))</f>
        <v/>
      </c>
      <c r="K195" s="132" t="str">
        <f t="shared" si="2"/>
        <v/>
      </c>
    </row>
    <row r="196" ht="24.0" customHeight="1">
      <c r="A196" s="88"/>
      <c r="B196" s="133" t="str">
        <f>IF(A196="","",IFERROR(VLOOKUP(A196,'Material Master'!$A$2:$E$201,2,FALSE),""))</f>
        <v/>
      </c>
      <c r="C196" s="88" t="str">
        <f>IF(A196="","",IFERROR(VLOOKUP(A196,'Material Master'!$A$2:$E$201,3,FALSE),""))</f>
        <v/>
      </c>
      <c r="D196" s="88" t="str">
        <f t="array" ref="D196">IF(A196="","",IFERROR(INDEX('Location Master'!$E$2:$E$502, IFERROR(MATCH(A196,'Location Master'!$G$2:$G$502,0), IFERROR(MATCH(A196&amp;" (*",'Location Master'!$G$2:$G$502,0), MATCH(A196&amp;"*",'Location Master'!$G$2:$G$502,0)))), ""))</f>
        <v/>
      </c>
      <c r="E196" s="134"/>
      <c r="F196" s="134" t="str">
        <f>IF(OR(A196="",D196=""),"",SUMIFS('Stock Movement'!$F$2:$F$501,'Stock Movement'!$B$2:$B$501,A196,'Stock Movement'!$D$2:$D$501,D196,'Stock Movement'!$E$2:$E$501,"IN"))</f>
        <v/>
      </c>
      <c r="G196" s="134" t="str">
        <f>IF(OR(A196="",D196=""),"",SUMIFS('Stock Movement'!$F$2:$F$501,'Stock Movement'!$B$2:$B$501,A196,'Stock Movement'!$D$2:$D$501,D196,'Stock Movement'!$E$2:$E$501,"OUT"))</f>
        <v/>
      </c>
      <c r="H196" s="134" t="str">
        <f t="shared" si="1"/>
        <v/>
      </c>
      <c r="I196" s="88" t="str">
        <f>IF(A196="","",IFERROR(VLOOKUP(A196,'Material Master'!$A$2:$E$201,4,FALSE),""))</f>
        <v/>
      </c>
      <c r="J196" s="134" t="str">
        <f>IF(A196="","",IFERROR(VLOOKUP(A196,'Material Master'!$A$2:$E$201,5,FALSE),""))</f>
        <v/>
      </c>
      <c r="K196" s="135" t="str">
        <f t="shared" si="2"/>
        <v/>
      </c>
    </row>
    <row r="197" ht="24.0" customHeight="1">
      <c r="A197" s="82"/>
      <c r="B197" s="130" t="str">
        <f>IF(A197="","",IFERROR(VLOOKUP(A197,'Material Master'!$A$2:$E$201,2,FALSE),""))</f>
        <v/>
      </c>
      <c r="C197" s="82" t="str">
        <f>IF(A197="","",IFERROR(VLOOKUP(A197,'Material Master'!$A$2:$E$201,3,FALSE),""))</f>
        <v/>
      </c>
      <c r="D197" s="82" t="str">
        <f t="array" ref="D197">IF(A197="","",IFERROR(INDEX('Location Master'!$E$2:$E$502, IFERROR(MATCH(A197,'Location Master'!$G$2:$G$502,0), IFERROR(MATCH(A197&amp;" (*",'Location Master'!$G$2:$G$502,0), MATCH(A197&amp;"*",'Location Master'!$G$2:$G$502,0)))), ""))</f>
        <v/>
      </c>
      <c r="E197" s="131"/>
      <c r="F197" s="131" t="str">
        <f>IF(OR(A197="",D197=""),"",SUMIFS('Stock Movement'!$F$2:$F$501,'Stock Movement'!$B$2:$B$501,A197,'Stock Movement'!$D$2:$D$501,D197,'Stock Movement'!$E$2:$E$501,"IN"))</f>
        <v/>
      </c>
      <c r="G197" s="131" t="str">
        <f>IF(OR(A197="",D197=""),"",SUMIFS('Stock Movement'!$F$2:$F$501,'Stock Movement'!$B$2:$B$501,A197,'Stock Movement'!$D$2:$D$501,D197,'Stock Movement'!$E$2:$E$501,"OUT"))</f>
        <v/>
      </c>
      <c r="H197" s="131" t="str">
        <f t="shared" si="1"/>
        <v/>
      </c>
      <c r="I197" s="82" t="str">
        <f>IF(A197="","",IFERROR(VLOOKUP(A197,'Material Master'!$A$2:$E$201,4,FALSE),""))</f>
        <v/>
      </c>
      <c r="J197" s="131" t="str">
        <f>IF(A197="","",IFERROR(VLOOKUP(A197,'Material Master'!$A$2:$E$201,5,FALSE),""))</f>
        <v/>
      </c>
      <c r="K197" s="132" t="str">
        <f t="shared" si="2"/>
        <v/>
      </c>
    </row>
    <row r="198" ht="24.0" customHeight="1">
      <c r="A198" s="88"/>
      <c r="B198" s="133" t="str">
        <f>IF(A198="","",IFERROR(VLOOKUP(A198,'Material Master'!$A$2:$E$201,2,FALSE),""))</f>
        <v/>
      </c>
      <c r="C198" s="88" t="str">
        <f>IF(A198="","",IFERROR(VLOOKUP(A198,'Material Master'!$A$2:$E$201,3,FALSE),""))</f>
        <v/>
      </c>
      <c r="D198" s="88" t="str">
        <f t="array" ref="D198">IF(A198="","",IFERROR(INDEX('Location Master'!$E$2:$E$502, IFERROR(MATCH(A198,'Location Master'!$G$2:$G$502,0), IFERROR(MATCH(A198&amp;" (*",'Location Master'!$G$2:$G$502,0), MATCH(A198&amp;"*",'Location Master'!$G$2:$G$502,0)))), ""))</f>
        <v/>
      </c>
      <c r="E198" s="134"/>
      <c r="F198" s="134" t="str">
        <f>IF(OR(A198="",D198=""),"",SUMIFS('Stock Movement'!$F$2:$F$501,'Stock Movement'!$B$2:$B$501,A198,'Stock Movement'!$D$2:$D$501,D198,'Stock Movement'!$E$2:$E$501,"IN"))</f>
        <v/>
      </c>
      <c r="G198" s="134" t="str">
        <f>IF(OR(A198="",D198=""),"",SUMIFS('Stock Movement'!$F$2:$F$501,'Stock Movement'!$B$2:$B$501,A198,'Stock Movement'!$D$2:$D$501,D198,'Stock Movement'!$E$2:$E$501,"OUT"))</f>
        <v/>
      </c>
      <c r="H198" s="134" t="str">
        <f t="shared" si="1"/>
        <v/>
      </c>
      <c r="I198" s="88" t="str">
        <f>IF(A198="","",IFERROR(VLOOKUP(A198,'Material Master'!$A$2:$E$201,4,FALSE),""))</f>
        <v/>
      </c>
      <c r="J198" s="134" t="str">
        <f>IF(A198="","",IFERROR(VLOOKUP(A198,'Material Master'!$A$2:$E$201,5,FALSE),""))</f>
        <v/>
      </c>
      <c r="K198" s="135" t="str">
        <f t="shared" si="2"/>
        <v/>
      </c>
    </row>
    <row r="199" ht="24.0" customHeight="1">
      <c r="A199" s="82"/>
      <c r="B199" s="130" t="str">
        <f>IF(A199="","",IFERROR(VLOOKUP(A199,'Material Master'!$A$2:$E$201,2,FALSE),""))</f>
        <v/>
      </c>
      <c r="C199" s="82" t="str">
        <f>IF(A199="","",IFERROR(VLOOKUP(A199,'Material Master'!$A$2:$E$201,3,FALSE),""))</f>
        <v/>
      </c>
      <c r="D199" s="82" t="str">
        <f t="array" ref="D199">IF(A199="","",IFERROR(INDEX('Location Master'!$E$2:$E$502, IFERROR(MATCH(A199,'Location Master'!$G$2:$G$502,0), IFERROR(MATCH(A199&amp;" (*",'Location Master'!$G$2:$G$502,0), MATCH(A199&amp;"*",'Location Master'!$G$2:$G$502,0)))), ""))</f>
        <v/>
      </c>
      <c r="E199" s="131"/>
      <c r="F199" s="131" t="str">
        <f>IF(OR(A199="",D199=""),"",SUMIFS('Stock Movement'!$F$2:$F$501,'Stock Movement'!$B$2:$B$501,A199,'Stock Movement'!$D$2:$D$501,D199,'Stock Movement'!$E$2:$E$501,"IN"))</f>
        <v/>
      </c>
      <c r="G199" s="131" t="str">
        <f>IF(OR(A199="",D199=""),"",SUMIFS('Stock Movement'!$F$2:$F$501,'Stock Movement'!$B$2:$B$501,A199,'Stock Movement'!$D$2:$D$501,D199,'Stock Movement'!$E$2:$E$501,"OUT"))</f>
        <v/>
      </c>
      <c r="H199" s="131" t="str">
        <f t="shared" si="1"/>
        <v/>
      </c>
      <c r="I199" s="82" t="str">
        <f>IF(A199="","",IFERROR(VLOOKUP(A199,'Material Master'!$A$2:$E$201,4,FALSE),""))</f>
        <v/>
      </c>
      <c r="J199" s="131" t="str">
        <f>IF(A199="","",IFERROR(VLOOKUP(A199,'Material Master'!$A$2:$E$201,5,FALSE),""))</f>
        <v/>
      </c>
      <c r="K199" s="132" t="str">
        <f t="shared" si="2"/>
        <v/>
      </c>
    </row>
    <row r="200" ht="24.0" customHeight="1">
      <c r="A200" s="88"/>
      <c r="B200" s="133" t="str">
        <f>IF(A200="","",IFERROR(VLOOKUP(A200,'Material Master'!$A$2:$E$201,2,FALSE),""))</f>
        <v/>
      </c>
      <c r="C200" s="88" t="str">
        <f>IF(A200="","",IFERROR(VLOOKUP(A200,'Material Master'!$A$2:$E$201,3,FALSE),""))</f>
        <v/>
      </c>
      <c r="D200" s="88" t="str">
        <f t="array" ref="D200">IF(A200="","",IFERROR(INDEX('Location Master'!$E$2:$E$502, IFERROR(MATCH(A200,'Location Master'!$G$2:$G$502,0), IFERROR(MATCH(A200&amp;" (*",'Location Master'!$G$2:$G$502,0), MATCH(A200&amp;"*",'Location Master'!$G$2:$G$502,0)))), ""))</f>
        <v/>
      </c>
      <c r="E200" s="134"/>
      <c r="F200" s="134" t="str">
        <f>IF(OR(A200="",D200=""),"",SUMIFS('Stock Movement'!$F$2:$F$501,'Stock Movement'!$B$2:$B$501,A200,'Stock Movement'!$D$2:$D$501,D200,'Stock Movement'!$E$2:$E$501,"IN"))</f>
        <v/>
      </c>
      <c r="G200" s="134" t="str">
        <f>IF(OR(A200="",D200=""),"",SUMIFS('Stock Movement'!$F$2:$F$501,'Stock Movement'!$B$2:$B$501,A200,'Stock Movement'!$D$2:$D$501,D200,'Stock Movement'!$E$2:$E$501,"OUT"))</f>
        <v/>
      </c>
      <c r="H200" s="134" t="str">
        <f t="shared" si="1"/>
        <v/>
      </c>
      <c r="I200" s="88" t="str">
        <f>IF(A200="","",IFERROR(VLOOKUP(A200,'Material Master'!$A$2:$E$201,4,FALSE),""))</f>
        <v/>
      </c>
      <c r="J200" s="134" t="str">
        <f>IF(A200="","",IFERROR(VLOOKUP(A200,'Material Master'!$A$2:$E$201,5,FALSE),""))</f>
        <v/>
      </c>
      <c r="K200" s="135" t="str">
        <f t="shared" si="2"/>
        <v/>
      </c>
    </row>
    <row r="201" ht="24.0" customHeight="1">
      <c r="A201" s="82"/>
      <c r="B201" s="130" t="str">
        <f>IF(A201="","",IFERROR(VLOOKUP(A201,'Material Master'!$A$2:$E$201,2,FALSE),""))</f>
        <v/>
      </c>
      <c r="C201" s="82" t="str">
        <f>IF(A201="","",IFERROR(VLOOKUP(A201,'Material Master'!$A$2:$E$201,3,FALSE),""))</f>
        <v/>
      </c>
      <c r="D201" s="82" t="str">
        <f t="array" ref="D201">IF(A201="","",IFERROR(INDEX('Location Master'!$E$2:$E$502, IFERROR(MATCH(A201,'Location Master'!$G$2:$G$502,0), IFERROR(MATCH(A201&amp;" (*",'Location Master'!$G$2:$G$502,0), MATCH(A201&amp;"*",'Location Master'!$G$2:$G$502,0)))), ""))</f>
        <v/>
      </c>
      <c r="E201" s="131"/>
      <c r="F201" s="131" t="str">
        <f>IF(OR(A201="",D201=""),"",SUMIFS('Stock Movement'!$F$2:$F$501,'Stock Movement'!$B$2:$B$501,A201,'Stock Movement'!$D$2:$D$501,D201,'Stock Movement'!$E$2:$E$501,"IN"))</f>
        <v/>
      </c>
      <c r="G201" s="131" t="str">
        <f>IF(OR(A201="",D201=""),"",SUMIFS('Stock Movement'!$F$2:$F$501,'Stock Movement'!$B$2:$B$501,A201,'Stock Movement'!$D$2:$D$501,D201,'Stock Movement'!$E$2:$E$501,"OUT"))</f>
        <v/>
      </c>
      <c r="H201" s="131" t="str">
        <f t="shared" si="1"/>
        <v/>
      </c>
      <c r="I201" s="82" t="str">
        <f>IF(A201="","",IFERROR(VLOOKUP(A201,'Material Master'!$A$2:$E$201,4,FALSE),""))</f>
        <v/>
      </c>
      <c r="J201" s="131" t="str">
        <f>IF(A201="","",IFERROR(VLOOKUP(A201,'Material Master'!$A$2:$E$201,5,FALSE),""))</f>
        <v/>
      </c>
      <c r="K201" s="132" t="str">
        <f t="shared" si="2"/>
        <v/>
      </c>
    </row>
    <row r="202" ht="15.75" customHeight="1">
      <c r="A202" s="150"/>
      <c r="B202" s="153"/>
      <c r="C202" s="150"/>
      <c r="D202" s="150" t="str">
        <f t="array" ref="D202">IF(A202="","",IFERROR(INDEX('Location Master'!$E$2:$E$502, IFERROR(MATCH(A202,'Location Master'!$G$2:$G$502,0), IFERROR(MATCH(A202&amp;" (*",'Location Master'!$G$2:$G$502,0), MATCH(A202&amp;"*",'Location Master'!$G$2:$G$502,0)))), ""))</f>
        <v/>
      </c>
      <c r="E202" s="154"/>
      <c r="F202" s="75" t="str">
        <f>IF(A202="","",SUMIFS('Stock Movement'!$F:$F,'Stock Movement'!$B:$B,A202,'Stock Movement'!$E:$E,"IN"))</f>
        <v/>
      </c>
      <c r="G202" s="75" t="str">
        <f>IF(A202="","",SUMIFS('Stock Movement'!$F:$F,'Stock Movement'!$B:$B,A202,'Stock Movement'!$E:$E,"OUT"))</f>
        <v/>
      </c>
      <c r="H202" s="75" t="str">
        <f t="shared" si="1"/>
        <v/>
      </c>
      <c r="I202" s="150"/>
      <c r="J202" s="154"/>
      <c r="K202" s="91" t="str">
        <f t="shared" si="2"/>
        <v/>
      </c>
    </row>
    <row r="203" ht="15.75" customHeight="1">
      <c r="A203" s="147"/>
      <c r="B203" s="155"/>
      <c r="C203" s="147"/>
      <c r="D203" s="147" t="str">
        <f t="array" ref="D203">IF(A203="","",IFERROR(INDEX('Location Master'!$E$2:$E$502, IFERROR(MATCH(A203,'Location Master'!$G$2:$G$502,0), IFERROR(MATCH(A203&amp;" (*",'Location Master'!$G$2:$G$502,0), MATCH(A203&amp;"*",'Location Master'!$G$2:$G$502,0)))), ""))</f>
        <v/>
      </c>
      <c r="E203" s="156"/>
      <c r="F203" s="86" t="str">
        <f>IF(A203="","",SUMIFS('Stock Movement'!$F:$F,'Stock Movement'!$B:$B,A203,'Stock Movement'!$E:$E,"IN"))</f>
        <v/>
      </c>
      <c r="G203" s="86" t="str">
        <f>IF(A203="","",SUMIFS('Stock Movement'!$F:$F,'Stock Movement'!$B:$B,A203,'Stock Movement'!$E:$E,"OUT"))</f>
        <v/>
      </c>
      <c r="H203" s="86" t="str">
        <f t="shared" si="1"/>
        <v/>
      </c>
      <c r="I203" s="147"/>
      <c r="J203" s="156"/>
      <c r="K203" s="83" t="str">
        <f t="shared" si="2"/>
        <v/>
      </c>
    </row>
    <row r="204" ht="15.75" customHeight="1">
      <c r="A204" s="150"/>
      <c r="B204" s="153"/>
      <c r="C204" s="150"/>
      <c r="D204" s="150" t="str">
        <f t="array" ref="D204">IF(A204="","",IFERROR(INDEX('Location Master'!$E$2:$E$502, IFERROR(MATCH(A204,'Location Master'!$G$2:$G$502,0), IFERROR(MATCH(A204&amp;" (*",'Location Master'!$G$2:$G$502,0), MATCH(A204&amp;"*",'Location Master'!$G$2:$G$502,0)))), ""))</f>
        <v/>
      </c>
      <c r="E204" s="154"/>
      <c r="F204" s="75" t="str">
        <f>IF(A204="","",SUMIFS('Stock Movement'!$F:$F,'Stock Movement'!$B:$B,A204,'Stock Movement'!$E:$E,"IN"))</f>
        <v/>
      </c>
      <c r="G204" s="75" t="str">
        <f>IF(A204="","",SUMIFS('Stock Movement'!$F:$F,'Stock Movement'!$B:$B,A204,'Stock Movement'!$E:$E,"OUT"))</f>
        <v/>
      </c>
      <c r="H204" s="75" t="str">
        <f t="shared" si="1"/>
        <v/>
      </c>
      <c r="I204" s="150"/>
      <c r="J204" s="154"/>
      <c r="K204" s="91" t="str">
        <f t="shared" si="2"/>
        <v/>
      </c>
    </row>
    <row r="205" ht="15.75" customHeight="1">
      <c r="A205" s="147"/>
      <c r="B205" s="155"/>
      <c r="C205" s="147"/>
      <c r="D205" s="147" t="str">
        <f t="array" ref="D205">IF(A205="","",IFERROR(INDEX('Location Master'!$E$2:$E$502, IFERROR(MATCH(A205,'Location Master'!$G$2:$G$502,0), IFERROR(MATCH(A205&amp;" (*",'Location Master'!$G$2:$G$502,0), MATCH(A205&amp;"*",'Location Master'!$G$2:$G$502,0)))), ""))</f>
        <v/>
      </c>
      <c r="E205" s="156"/>
      <c r="F205" s="86" t="str">
        <f>IF(A205="","",SUMIFS('Stock Movement'!$F:$F,'Stock Movement'!$B:$B,A205,'Stock Movement'!$E:$E,"IN"))</f>
        <v/>
      </c>
      <c r="G205" s="86" t="str">
        <f>IF(A205="","",SUMIFS('Stock Movement'!$F:$F,'Stock Movement'!$B:$B,A205,'Stock Movement'!$E:$E,"OUT"))</f>
        <v/>
      </c>
      <c r="H205" s="86" t="str">
        <f t="shared" si="1"/>
        <v/>
      </c>
      <c r="I205" s="147"/>
      <c r="J205" s="156"/>
      <c r="K205" s="83" t="str">
        <f t="shared" si="2"/>
        <v/>
      </c>
    </row>
    <row r="206" ht="15.75" customHeight="1">
      <c r="A206" s="150"/>
      <c r="B206" s="153"/>
      <c r="C206" s="150"/>
      <c r="D206" s="150" t="str">
        <f t="array" ref="D206">IF(A206="","",IFERROR(INDEX('Location Master'!$E$2:$E$502, IFERROR(MATCH(A206,'Location Master'!$G$2:$G$502,0), IFERROR(MATCH(A206&amp;" (*",'Location Master'!$G$2:$G$502,0), MATCH(A206&amp;"*",'Location Master'!$G$2:$G$502,0)))), ""))</f>
        <v/>
      </c>
      <c r="E206" s="154"/>
      <c r="F206" s="75" t="str">
        <f>IF(A206="","",SUMIFS('Stock Movement'!$F:$F,'Stock Movement'!$B:$B,A206,'Stock Movement'!$E:$E,"IN"))</f>
        <v/>
      </c>
      <c r="G206" s="75" t="str">
        <f>IF(A206="","",SUMIFS('Stock Movement'!$F:$F,'Stock Movement'!$B:$B,A206,'Stock Movement'!$E:$E,"OUT"))</f>
        <v/>
      </c>
      <c r="H206" s="75" t="str">
        <f t="shared" si="1"/>
        <v/>
      </c>
      <c r="I206" s="150"/>
      <c r="J206" s="154"/>
      <c r="K206" s="91" t="str">
        <f t="shared" si="2"/>
        <v/>
      </c>
    </row>
    <row r="207" ht="15.75" customHeight="1">
      <c r="A207" s="147"/>
      <c r="B207" s="155"/>
      <c r="C207" s="147"/>
      <c r="D207" s="147" t="str">
        <f t="array" ref="D207">IF(A207="","",IFERROR(INDEX('Location Master'!$E$2:$E$502, IFERROR(MATCH(A207,'Location Master'!$G$2:$G$502,0), IFERROR(MATCH(A207&amp;" (*",'Location Master'!$G$2:$G$502,0), MATCH(A207&amp;"*",'Location Master'!$G$2:$G$502,0)))), ""))</f>
        <v/>
      </c>
      <c r="E207" s="156"/>
      <c r="F207" s="86" t="str">
        <f>IF(A207="","",SUMIFS('Stock Movement'!$F:$F,'Stock Movement'!$B:$B,A207,'Stock Movement'!$E:$E,"IN"))</f>
        <v/>
      </c>
      <c r="G207" s="86" t="str">
        <f>IF(A207="","",SUMIFS('Stock Movement'!$F:$F,'Stock Movement'!$B:$B,A207,'Stock Movement'!$E:$E,"OUT"))</f>
        <v/>
      </c>
      <c r="H207" s="86" t="str">
        <f t="shared" si="1"/>
        <v/>
      </c>
      <c r="I207" s="147"/>
      <c r="J207" s="156"/>
      <c r="K207" s="83" t="str">
        <f t="shared" si="2"/>
        <v/>
      </c>
    </row>
    <row r="208" ht="15.75" customHeight="1">
      <c r="A208" s="150"/>
      <c r="B208" s="153"/>
      <c r="C208" s="150"/>
      <c r="D208" s="150" t="str">
        <f t="array" ref="D208">IF(A208="","",IFERROR(INDEX('Location Master'!$E$2:$E$502, IFERROR(MATCH(A208,'Location Master'!$G$2:$G$502,0), IFERROR(MATCH(A208&amp;" (*",'Location Master'!$G$2:$G$502,0), MATCH(A208&amp;"*",'Location Master'!$G$2:$G$502,0)))), ""))</f>
        <v/>
      </c>
      <c r="E208" s="154"/>
      <c r="F208" s="75" t="str">
        <f>IF(A208="","",SUMIFS('Stock Movement'!$F:$F,'Stock Movement'!$B:$B,A208,'Stock Movement'!$E:$E,"IN"))</f>
        <v/>
      </c>
      <c r="G208" s="75" t="str">
        <f>IF(A208="","",SUMIFS('Stock Movement'!$F:$F,'Stock Movement'!$B:$B,A208,'Stock Movement'!$E:$E,"OUT"))</f>
        <v/>
      </c>
      <c r="H208" s="75" t="str">
        <f t="shared" si="1"/>
        <v/>
      </c>
      <c r="I208" s="150"/>
      <c r="J208" s="154"/>
      <c r="K208" s="91" t="str">
        <f t="shared" si="2"/>
        <v/>
      </c>
    </row>
    <row r="209" ht="15.75" customHeight="1">
      <c r="A209" s="147"/>
      <c r="B209" s="155"/>
      <c r="C209" s="147"/>
      <c r="D209" s="147" t="str">
        <f t="array" ref="D209">IF(A209="","",IFERROR(INDEX('Location Master'!$E$2:$E$502, IFERROR(MATCH(A209,'Location Master'!$G$2:$G$502,0), IFERROR(MATCH(A209&amp;" (*",'Location Master'!$G$2:$G$502,0), MATCH(A209&amp;"*",'Location Master'!$G$2:$G$502,0)))), ""))</f>
        <v/>
      </c>
      <c r="E209" s="156"/>
      <c r="F209" s="86" t="str">
        <f>IF(A209="","",SUMIFS('Stock Movement'!$F:$F,'Stock Movement'!$B:$B,A209,'Stock Movement'!$E:$E,"IN"))</f>
        <v/>
      </c>
      <c r="G209" s="86" t="str">
        <f>IF(A209="","",SUMIFS('Stock Movement'!$F:$F,'Stock Movement'!$B:$B,A209,'Stock Movement'!$E:$E,"OUT"))</f>
        <v/>
      </c>
      <c r="H209" s="86" t="str">
        <f t="shared" si="1"/>
        <v/>
      </c>
      <c r="I209" s="147"/>
      <c r="J209" s="156"/>
      <c r="K209" s="83" t="str">
        <f t="shared" si="2"/>
        <v/>
      </c>
    </row>
    <row r="210" ht="15.75" customHeight="1">
      <c r="A210" s="150"/>
      <c r="B210" s="153"/>
      <c r="C210" s="150"/>
      <c r="D210" s="150" t="str">
        <f t="array" ref="D210">IF(A210="","",IFERROR(INDEX('Location Master'!$E$2:$E$502, IFERROR(MATCH(A210,'Location Master'!$G$2:$G$502,0), IFERROR(MATCH(A210&amp;" (*",'Location Master'!$G$2:$G$502,0), MATCH(A210&amp;"*",'Location Master'!$G$2:$G$502,0)))), ""))</f>
        <v/>
      </c>
      <c r="E210" s="154"/>
      <c r="F210" s="75" t="str">
        <f>IF(A210="","",SUMIFS('Stock Movement'!$F:$F,'Stock Movement'!$B:$B,A210,'Stock Movement'!$E:$E,"IN"))</f>
        <v/>
      </c>
      <c r="G210" s="75" t="str">
        <f>IF(A210="","",SUMIFS('Stock Movement'!$F:$F,'Stock Movement'!$B:$B,A210,'Stock Movement'!$E:$E,"OUT"))</f>
        <v/>
      </c>
      <c r="H210" s="75" t="str">
        <f t="shared" si="1"/>
        <v/>
      </c>
      <c r="I210" s="150"/>
      <c r="J210" s="154"/>
      <c r="K210" s="91" t="str">
        <f t="shared" si="2"/>
        <v/>
      </c>
    </row>
    <row r="211" ht="15.75" customHeight="1">
      <c r="A211" s="147"/>
      <c r="B211" s="155"/>
      <c r="C211" s="147"/>
      <c r="D211" s="147" t="str">
        <f t="array" ref="D211">IF(A211="","",IFERROR(INDEX('Location Master'!$E$2:$E$502, IFERROR(MATCH(A211,'Location Master'!$G$2:$G$502,0), IFERROR(MATCH(A211&amp;" (*",'Location Master'!$G$2:$G$502,0), MATCH(A211&amp;"*",'Location Master'!$G$2:$G$502,0)))), ""))</f>
        <v/>
      </c>
      <c r="E211" s="156"/>
      <c r="F211" s="86" t="str">
        <f>IF(A211="","",SUMIFS('Stock Movement'!$F:$F,'Stock Movement'!$B:$B,A211,'Stock Movement'!$E:$E,"IN"))</f>
        <v/>
      </c>
      <c r="G211" s="86" t="str">
        <f>IF(A211="","",SUMIFS('Stock Movement'!$F:$F,'Stock Movement'!$B:$B,A211,'Stock Movement'!$E:$E,"OUT"))</f>
        <v/>
      </c>
      <c r="H211" s="86" t="str">
        <f t="shared" si="1"/>
        <v/>
      </c>
      <c r="I211" s="147"/>
      <c r="J211" s="156"/>
      <c r="K211" s="83" t="str">
        <f t="shared" si="2"/>
        <v/>
      </c>
    </row>
    <row r="212" ht="15.75" customHeight="1">
      <c r="A212" s="150"/>
      <c r="B212" s="153"/>
      <c r="C212" s="150"/>
      <c r="D212" s="150" t="str">
        <f t="array" ref="D212">IF(A212="","",IFERROR(INDEX('Location Master'!$E$2:$E$502, IFERROR(MATCH(A212,'Location Master'!$G$2:$G$502,0), IFERROR(MATCH(A212&amp;" (*",'Location Master'!$G$2:$G$502,0), MATCH(A212&amp;"*",'Location Master'!$G$2:$G$502,0)))), ""))</f>
        <v/>
      </c>
      <c r="E212" s="154"/>
      <c r="F212" s="75" t="str">
        <f>IF(A212="","",SUMIFS('Stock Movement'!$F:$F,'Stock Movement'!$B:$B,A212,'Stock Movement'!$E:$E,"IN"))</f>
        <v/>
      </c>
      <c r="G212" s="75" t="str">
        <f>IF(A212="","",SUMIFS('Stock Movement'!$F:$F,'Stock Movement'!$B:$B,A212,'Stock Movement'!$E:$E,"OUT"))</f>
        <v/>
      </c>
      <c r="H212" s="75" t="str">
        <f t="shared" si="1"/>
        <v/>
      </c>
      <c r="I212" s="150"/>
      <c r="J212" s="154"/>
      <c r="K212" s="91" t="str">
        <f t="shared" si="2"/>
        <v/>
      </c>
    </row>
    <row r="213" ht="15.75" customHeight="1">
      <c r="A213" s="147"/>
      <c r="B213" s="155"/>
      <c r="C213" s="147"/>
      <c r="D213" s="147" t="str">
        <f t="array" ref="D213">IF(A213="","",IFERROR(INDEX('Location Master'!$E$2:$E$502, IFERROR(MATCH(A213,'Location Master'!$G$2:$G$502,0), IFERROR(MATCH(A213&amp;" (*",'Location Master'!$G$2:$G$502,0), MATCH(A213&amp;"*",'Location Master'!$G$2:$G$502,0)))), ""))</f>
        <v/>
      </c>
      <c r="E213" s="156"/>
      <c r="F213" s="86" t="str">
        <f>IF(A213="","",SUMIFS('Stock Movement'!$F:$F,'Stock Movement'!$B:$B,A213,'Stock Movement'!$E:$E,"IN"))</f>
        <v/>
      </c>
      <c r="G213" s="86" t="str">
        <f>IF(A213="","",SUMIFS('Stock Movement'!$F:$F,'Stock Movement'!$B:$B,A213,'Stock Movement'!$E:$E,"OUT"))</f>
        <v/>
      </c>
      <c r="H213" s="86" t="str">
        <f t="shared" si="1"/>
        <v/>
      </c>
      <c r="I213" s="147"/>
      <c r="J213" s="156"/>
      <c r="K213" s="83" t="str">
        <f t="shared" si="2"/>
        <v/>
      </c>
    </row>
    <row r="214" ht="15.75" customHeight="1">
      <c r="A214" s="150"/>
      <c r="B214" s="153"/>
      <c r="C214" s="150"/>
      <c r="D214" s="150" t="str">
        <f t="array" ref="D214">IF(A214="","",IFERROR(INDEX('Location Master'!$E$2:$E$502, IFERROR(MATCH(A214,'Location Master'!$G$2:$G$502,0), IFERROR(MATCH(A214&amp;" (*",'Location Master'!$G$2:$G$502,0), MATCH(A214&amp;"*",'Location Master'!$G$2:$G$502,0)))), ""))</f>
        <v/>
      </c>
      <c r="E214" s="154"/>
      <c r="F214" s="75" t="str">
        <f>IF(A214="","",SUMIFS('Stock Movement'!$F:$F,'Stock Movement'!$B:$B,A214,'Stock Movement'!$E:$E,"IN"))</f>
        <v/>
      </c>
      <c r="G214" s="75" t="str">
        <f>IF(A214="","",SUMIFS('Stock Movement'!$F:$F,'Stock Movement'!$B:$B,A214,'Stock Movement'!$E:$E,"OUT"))</f>
        <v/>
      </c>
      <c r="H214" s="75" t="str">
        <f t="shared" si="1"/>
        <v/>
      </c>
      <c r="I214" s="150"/>
      <c r="J214" s="154"/>
      <c r="K214" s="91" t="str">
        <f t="shared" si="2"/>
        <v/>
      </c>
    </row>
    <row r="215" ht="15.75" customHeight="1">
      <c r="A215" s="147"/>
      <c r="B215" s="155"/>
      <c r="C215" s="147"/>
      <c r="D215" s="147" t="str">
        <f t="array" ref="D215">IF(A215="","",IFERROR(INDEX('Location Master'!$E$2:$E$502, IFERROR(MATCH(A215,'Location Master'!$G$2:$G$502,0), IFERROR(MATCH(A215&amp;" (*",'Location Master'!$G$2:$G$502,0), MATCH(A215&amp;"*",'Location Master'!$G$2:$G$502,0)))), ""))</f>
        <v/>
      </c>
      <c r="E215" s="156"/>
      <c r="F215" s="86" t="str">
        <f>IF(A215="","",SUMIFS('Stock Movement'!$F:$F,'Stock Movement'!$B:$B,A215,'Stock Movement'!$E:$E,"IN"))</f>
        <v/>
      </c>
      <c r="G215" s="86" t="str">
        <f>IF(A215="","",SUMIFS('Stock Movement'!$F:$F,'Stock Movement'!$B:$B,A215,'Stock Movement'!$E:$E,"OUT"))</f>
        <v/>
      </c>
      <c r="H215" s="86" t="str">
        <f t="shared" si="1"/>
        <v/>
      </c>
      <c r="I215" s="147"/>
      <c r="J215" s="156"/>
      <c r="K215" s="83" t="str">
        <f t="shared" si="2"/>
        <v/>
      </c>
    </row>
    <row r="216" ht="15.75" customHeight="1">
      <c r="A216" s="150"/>
      <c r="B216" s="153"/>
      <c r="C216" s="150"/>
      <c r="D216" s="150" t="str">
        <f t="array" ref="D216">IF(A216="","",IFERROR(INDEX('Location Master'!$E$2:$E$502, IFERROR(MATCH(A216,'Location Master'!$G$2:$G$502,0), IFERROR(MATCH(A216&amp;" (*",'Location Master'!$G$2:$G$502,0), MATCH(A216&amp;"*",'Location Master'!$G$2:$G$502,0)))), ""))</f>
        <v/>
      </c>
      <c r="E216" s="154"/>
      <c r="F216" s="75" t="str">
        <f>IF(A216="","",SUMIFS('Stock Movement'!$F:$F,'Stock Movement'!$B:$B,A216,'Stock Movement'!$E:$E,"IN"))</f>
        <v/>
      </c>
      <c r="G216" s="75" t="str">
        <f>IF(A216="","",SUMIFS('Stock Movement'!$F:$F,'Stock Movement'!$B:$B,A216,'Stock Movement'!$E:$E,"OUT"))</f>
        <v/>
      </c>
      <c r="H216" s="75" t="str">
        <f t="shared" si="1"/>
        <v/>
      </c>
      <c r="I216" s="150"/>
      <c r="J216" s="154"/>
      <c r="K216" s="91" t="str">
        <f t="shared" si="2"/>
        <v/>
      </c>
    </row>
    <row r="217" ht="15.75" customHeight="1">
      <c r="A217" s="147"/>
      <c r="B217" s="155"/>
      <c r="C217" s="147"/>
      <c r="D217" s="147" t="str">
        <f t="array" ref="D217">IF(A217="","",IFERROR(INDEX('Location Master'!$E$2:$E$502, IFERROR(MATCH(A217,'Location Master'!$G$2:$G$502,0), IFERROR(MATCH(A217&amp;" (*",'Location Master'!$G$2:$G$502,0), MATCH(A217&amp;"*",'Location Master'!$G$2:$G$502,0)))), ""))</f>
        <v/>
      </c>
      <c r="E217" s="156"/>
      <c r="F217" s="86" t="str">
        <f>IF(A217="","",SUMIFS('Stock Movement'!$F:$F,'Stock Movement'!$B:$B,A217,'Stock Movement'!$E:$E,"IN"))</f>
        <v/>
      </c>
      <c r="G217" s="86" t="str">
        <f>IF(A217="","",SUMIFS('Stock Movement'!$F:$F,'Stock Movement'!$B:$B,A217,'Stock Movement'!$E:$E,"OUT"))</f>
        <v/>
      </c>
      <c r="H217" s="86" t="str">
        <f t="shared" si="1"/>
        <v/>
      </c>
      <c r="I217" s="147"/>
      <c r="J217" s="156"/>
      <c r="K217" s="83" t="str">
        <f t="shared" si="2"/>
        <v/>
      </c>
    </row>
    <row r="218" ht="15.75" customHeight="1">
      <c r="A218" s="150"/>
      <c r="B218" s="153"/>
      <c r="C218" s="150"/>
      <c r="D218" s="150" t="str">
        <f t="array" ref="D218">IF(A218="","",IFERROR(INDEX('Location Master'!$E$2:$E$502, IFERROR(MATCH(A218,'Location Master'!$G$2:$G$502,0), IFERROR(MATCH(A218&amp;" (*",'Location Master'!$G$2:$G$502,0), MATCH(A218&amp;"*",'Location Master'!$G$2:$G$502,0)))), ""))</f>
        <v/>
      </c>
      <c r="E218" s="154"/>
      <c r="F218" s="75" t="str">
        <f>IF(A218="","",SUMIFS('Stock Movement'!$F:$F,'Stock Movement'!$B:$B,A218,'Stock Movement'!$E:$E,"IN"))</f>
        <v/>
      </c>
      <c r="G218" s="75" t="str">
        <f>IF(A218="","",SUMIFS('Stock Movement'!$F:$F,'Stock Movement'!$B:$B,A218,'Stock Movement'!$E:$E,"OUT"))</f>
        <v/>
      </c>
      <c r="H218" s="75" t="str">
        <f t="shared" si="1"/>
        <v/>
      </c>
      <c r="I218" s="150"/>
      <c r="J218" s="154"/>
      <c r="K218" s="91" t="str">
        <f t="shared" si="2"/>
        <v/>
      </c>
    </row>
    <row r="219" ht="15.75" customHeight="1">
      <c r="A219" s="147"/>
      <c r="B219" s="155"/>
      <c r="C219" s="147"/>
      <c r="D219" s="147" t="str">
        <f t="array" ref="D219">IF(A219="","",IFERROR(INDEX('Location Master'!$E$2:$E$502, IFERROR(MATCH(A219,'Location Master'!$G$2:$G$502,0), IFERROR(MATCH(A219&amp;" (*",'Location Master'!$G$2:$G$502,0), MATCH(A219&amp;"*",'Location Master'!$G$2:$G$502,0)))), ""))</f>
        <v/>
      </c>
      <c r="E219" s="156"/>
      <c r="F219" s="86" t="str">
        <f>IF(A219="","",SUMIFS('Stock Movement'!$F:$F,'Stock Movement'!$B:$B,A219,'Stock Movement'!$E:$E,"IN"))</f>
        <v/>
      </c>
      <c r="G219" s="86" t="str">
        <f>IF(A219="","",SUMIFS('Stock Movement'!$F:$F,'Stock Movement'!$B:$B,A219,'Stock Movement'!$E:$E,"OUT"))</f>
        <v/>
      </c>
      <c r="H219" s="86" t="str">
        <f t="shared" si="1"/>
        <v/>
      </c>
      <c r="I219" s="147"/>
      <c r="J219" s="156"/>
      <c r="K219" s="83" t="str">
        <f t="shared" si="2"/>
        <v/>
      </c>
    </row>
    <row r="220" ht="15.75" customHeight="1">
      <c r="A220" s="150"/>
      <c r="B220" s="153"/>
      <c r="C220" s="150"/>
      <c r="D220" s="150" t="str">
        <f t="array" ref="D220">IF(A220="","",IFERROR(INDEX('Location Master'!$E$2:$E$502, IFERROR(MATCH(A220,'Location Master'!$G$2:$G$502,0), IFERROR(MATCH(A220&amp;" (*",'Location Master'!$G$2:$G$502,0), MATCH(A220&amp;"*",'Location Master'!$G$2:$G$502,0)))), ""))</f>
        <v/>
      </c>
      <c r="E220" s="154"/>
      <c r="F220" s="75" t="str">
        <f>IF(A220="","",SUMIFS('Stock Movement'!$F:$F,'Stock Movement'!$B:$B,A220,'Stock Movement'!$E:$E,"IN"))</f>
        <v/>
      </c>
      <c r="G220" s="75" t="str">
        <f>IF(A220="","",SUMIFS('Stock Movement'!$F:$F,'Stock Movement'!$B:$B,A220,'Stock Movement'!$E:$E,"OUT"))</f>
        <v/>
      </c>
      <c r="H220" s="75" t="str">
        <f t="shared" si="1"/>
        <v/>
      </c>
      <c r="I220" s="150"/>
      <c r="J220" s="154"/>
      <c r="K220" s="91" t="str">
        <f t="shared" si="2"/>
        <v/>
      </c>
    </row>
    <row r="221" ht="15.75" customHeight="1">
      <c r="A221" s="147"/>
      <c r="B221" s="155"/>
      <c r="C221" s="147"/>
      <c r="D221" s="147" t="str">
        <f t="array" ref="D221">IF(A221="","",IFERROR(INDEX('Location Master'!$E$2:$E$502, IFERROR(MATCH(A221,'Location Master'!$G$2:$G$502,0), IFERROR(MATCH(A221&amp;" (*",'Location Master'!$G$2:$G$502,0), MATCH(A221&amp;"*",'Location Master'!$G$2:$G$502,0)))), ""))</f>
        <v/>
      </c>
      <c r="E221" s="156"/>
      <c r="F221" s="86" t="str">
        <f>IF(A221="","",SUMIFS('Stock Movement'!$F:$F,'Stock Movement'!$B:$B,A221,'Stock Movement'!$E:$E,"IN"))</f>
        <v/>
      </c>
      <c r="G221" s="86" t="str">
        <f>IF(A221="","",SUMIFS('Stock Movement'!$F:$F,'Stock Movement'!$B:$B,A221,'Stock Movement'!$E:$E,"OUT"))</f>
        <v/>
      </c>
      <c r="H221" s="86" t="str">
        <f t="shared" si="1"/>
        <v/>
      </c>
      <c r="I221" s="147"/>
      <c r="J221" s="156"/>
      <c r="K221" s="83" t="str">
        <f t="shared" si="2"/>
        <v/>
      </c>
    </row>
    <row r="222" ht="15.75" customHeight="1">
      <c r="A222" s="150"/>
      <c r="B222" s="153"/>
      <c r="C222" s="150"/>
      <c r="D222" s="150" t="str">
        <f t="array" ref="D222">IF(A222="","",IFERROR(INDEX('Location Master'!$E$2:$E$502, IFERROR(MATCH(A222,'Location Master'!$G$2:$G$502,0), IFERROR(MATCH(A222&amp;" (*",'Location Master'!$G$2:$G$502,0), MATCH(A222&amp;"*",'Location Master'!$G$2:$G$502,0)))), ""))</f>
        <v/>
      </c>
      <c r="E222" s="154"/>
      <c r="F222" s="75" t="str">
        <f>IF(A222="","",SUMIFS('Stock Movement'!$F:$F,'Stock Movement'!$B:$B,A222,'Stock Movement'!$E:$E,"IN"))</f>
        <v/>
      </c>
      <c r="G222" s="75" t="str">
        <f>IF(A222="","",SUMIFS('Stock Movement'!$F:$F,'Stock Movement'!$B:$B,A222,'Stock Movement'!$E:$E,"OUT"))</f>
        <v/>
      </c>
      <c r="H222" s="75" t="str">
        <f t="shared" si="1"/>
        <v/>
      </c>
      <c r="I222" s="150"/>
      <c r="J222" s="154"/>
      <c r="K222" s="91" t="str">
        <f t="shared" si="2"/>
        <v/>
      </c>
    </row>
    <row r="223" ht="15.75" customHeight="1">
      <c r="A223" s="147"/>
      <c r="B223" s="155"/>
      <c r="C223" s="147"/>
      <c r="D223" s="147" t="str">
        <f t="array" ref="D223">IF(A223="","",IFERROR(INDEX('Location Master'!$E$2:$E$502, IFERROR(MATCH(A223,'Location Master'!$G$2:$G$502,0), IFERROR(MATCH(A223&amp;" (*",'Location Master'!$G$2:$G$502,0), MATCH(A223&amp;"*",'Location Master'!$G$2:$G$502,0)))), ""))</f>
        <v/>
      </c>
      <c r="E223" s="156"/>
      <c r="F223" s="86" t="str">
        <f>IF(A223="","",SUMIFS('Stock Movement'!$F:$F,'Stock Movement'!$B:$B,A223,'Stock Movement'!$E:$E,"IN"))</f>
        <v/>
      </c>
      <c r="G223" s="86" t="str">
        <f>IF(A223="","",SUMIFS('Stock Movement'!$F:$F,'Stock Movement'!$B:$B,A223,'Stock Movement'!$E:$E,"OUT"))</f>
        <v/>
      </c>
      <c r="H223" s="86" t="str">
        <f t="shared" si="1"/>
        <v/>
      </c>
      <c r="I223" s="147"/>
      <c r="J223" s="156"/>
      <c r="K223" s="83" t="str">
        <f t="shared" si="2"/>
        <v/>
      </c>
    </row>
    <row r="224" ht="15.75" customHeight="1">
      <c r="A224" s="150"/>
      <c r="B224" s="153"/>
      <c r="C224" s="150"/>
      <c r="D224" s="150" t="str">
        <f t="array" ref="D224">IF(A224="","",IFERROR(INDEX('Location Master'!$E$2:$E$502, IFERROR(MATCH(A224,'Location Master'!$G$2:$G$502,0), IFERROR(MATCH(A224&amp;" (*",'Location Master'!$G$2:$G$502,0), MATCH(A224&amp;"*",'Location Master'!$G$2:$G$502,0)))), ""))</f>
        <v/>
      </c>
      <c r="E224" s="154"/>
      <c r="F224" s="75" t="str">
        <f>IF(A224="","",SUMIFS('Stock Movement'!$F:$F,'Stock Movement'!$B:$B,A224,'Stock Movement'!$E:$E,"IN"))</f>
        <v/>
      </c>
      <c r="G224" s="75" t="str">
        <f>IF(A224="","",SUMIFS('Stock Movement'!$F:$F,'Stock Movement'!$B:$B,A224,'Stock Movement'!$E:$E,"OUT"))</f>
        <v/>
      </c>
      <c r="H224" s="75" t="str">
        <f t="shared" si="1"/>
        <v/>
      </c>
      <c r="I224" s="150"/>
      <c r="J224" s="154"/>
      <c r="K224" s="91" t="str">
        <f t="shared" si="2"/>
        <v/>
      </c>
    </row>
    <row r="225" ht="15.75" customHeight="1">
      <c r="A225" s="147"/>
      <c r="B225" s="155"/>
      <c r="C225" s="147"/>
      <c r="D225" s="147" t="str">
        <f t="array" ref="D225">IF(A225="","",IFERROR(INDEX('Location Master'!$E$2:$E$502, IFERROR(MATCH(A225,'Location Master'!$G$2:$G$502,0), IFERROR(MATCH(A225&amp;" (*",'Location Master'!$G$2:$G$502,0), MATCH(A225&amp;"*",'Location Master'!$G$2:$G$502,0)))), ""))</f>
        <v/>
      </c>
      <c r="E225" s="156"/>
      <c r="F225" s="86" t="str">
        <f>IF(A225="","",SUMIFS('Stock Movement'!$F:$F,'Stock Movement'!$B:$B,A225,'Stock Movement'!$E:$E,"IN"))</f>
        <v/>
      </c>
      <c r="G225" s="86" t="str">
        <f>IF(A225="","",SUMIFS('Stock Movement'!$F:$F,'Stock Movement'!$B:$B,A225,'Stock Movement'!$E:$E,"OUT"))</f>
        <v/>
      </c>
      <c r="H225" s="86" t="str">
        <f t="shared" si="1"/>
        <v/>
      </c>
      <c r="I225" s="147"/>
      <c r="J225" s="156"/>
      <c r="K225" s="83" t="str">
        <f t="shared" si="2"/>
        <v/>
      </c>
    </row>
    <row r="226" ht="15.75" customHeight="1">
      <c r="A226" s="150"/>
      <c r="B226" s="153"/>
      <c r="C226" s="150"/>
      <c r="D226" s="150" t="str">
        <f t="array" ref="D226">IF(A226="","",IFERROR(INDEX('Location Master'!$E$2:$E$502, IFERROR(MATCH(A226,'Location Master'!$G$2:$G$502,0), IFERROR(MATCH(A226&amp;" (*",'Location Master'!$G$2:$G$502,0), MATCH(A226&amp;"*",'Location Master'!$G$2:$G$502,0)))), ""))</f>
        <v/>
      </c>
      <c r="E226" s="154"/>
      <c r="F226" s="75" t="str">
        <f>IF(A226="","",SUMIFS('Stock Movement'!$F:$F,'Stock Movement'!$B:$B,A226,'Stock Movement'!$E:$E,"IN"))</f>
        <v/>
      </c>
      <c r="G226" s="75" t="str">
        <f>IF(A226="","",SUMIFS('Stock Movement'!$F:$F,'Stock Movement'!$B:$B,A226,'Stock Movement'!$E:$E,"OUT"))</f>
        <v/>
      </c>
      <c r="H226" s="75" t="str">
        <f t="shared" si="1"/>
        <v/>
      </c>
      <c r="I226" s="150"/>
      <c r="J226" s="154"/>
      <c r="K226" s="91" t="str">
        <f t="shared" si="2"/>
        <v/>
      </c>
    </row>
    <row r="227" ht="15.75" customHeight="1">
      <c r="A227" s="147"/>
      <c r="B227" s="155"/>
      <c r="C227" s="147"/>
      <c r="D227" s="147" t="str">
        <f t="array" ref="D227">IF(A227="","",IFERROR(INDEX('Location Master'!$E$2:$E$502, IFERROR(MATCH(A227,'Location Master'!$G$2:$G$502,0), IFERROR(MATCH(A227&amp;" (*",'Location Master'!$G$2:$G$502,0), MATCH(A227&amp;"*",'Location Master'!$G$2:$G$502,0)))), ""))</f>
        <v/>
      </c>
      <c r="E227" s="156"/>
      <c r="F227" s="86" t="str">
        <f>IF(A227="","",SUMIFS('Stock Movement'!$F:$F,'Stock Movement'!$B:$B,A227,'Stock Movement'!$E:$E,"IN"))</f>
        <v/>
      </c>
      <c r="G227" s="86" t="str">
        <f>IF(A227="","",SUMIFS('Stock Movement'!$F:$F,'Stock Movement'!$B:$B,A227,'Stock Movement'!$E:$E,"OUT"))</f>
        <v/>
      </c>
      <c r="H227" s="86" t="str">
        <f t="shared" si="1"/>
        <v/>
      </c>
      <c r="I227" s="147"/>
      <c r="J227" s="156"/>
      <c r="K227" s="83" t="str">
        <f t="shared" si="2"/>
        <v/>
      </c>
    </row>
    <row r="228" ht="15.75" customHeight="1">
      <c r="A228" s="150"/>
      <c r="B228" s="153"/>
      <c r="C228" s="150"/>
      <c r="D228" s="150" t="str">
        <f t="array" ref="D228">IF(A228="","",IFERROR(INDEX('Location Master'!$E$2:$E$502, IFERROR(MATCH(A228,'Location Master'!$G$2:$G$502,0), IFERROR(MATCH(A228&amp;" (*",'Location Master'!$G$2:$G$502,0), MATCH(A228&amp;"*",'Location Master'!$G$2:$G$502,0)))), ""))</f>
        <v/>
      </c>
      <c r="E228" s="154"/>
      <c r="F228" s="75" t="str">
        <f>IF(A228="","",SUMIFS('Stock Movement'!$F:$F,'Stock Movement'!$B:$B,A228,'Stock Movement'!$E:$E,"IN"))</f>
        <v/>
      </c>
      <c r="G228" s="75" t="str">
        <f>IF(A228="","",SUMIFS('Stock Movement'!$F:$F,'Stock Movement'!$B:$B,A228,'Stock Movement'!$E:$E,"OUT"))</f>
        <v/>
      </c>
      <c r="H228" s="75" t="str">
        <f t="shared" si="1"/>
        <v/>
      </c>
      <c r="I228" s="150"/>
      <c r="J228" s="154"/>
      <c r="K228" s="91" t="str">
        <f t="shared" si="2"/>
        <v/>
      </c>
    </row>
    <row r="229" ht="15.75" customHeight="1">
      <c r="A229" s="147"/>
      <c r="B229" s="155"/>
      <c r="C229" s="147"/>
      <c r="D229" s="147" t="str">
        <f t="array" ref="D229">IF(A229="","",IFERROR(INDEX('Location Master'!$E$2:$E$502, IFERROR(MATCH(A229,'Location Master'!$G$2:$G$502,0), IFERROR(MATCH(A229&amp;" (*",'Location Master'!$G$2:$G$502,0), MATCH(A229&amp;"*",'Location Master'!$G$2:$G$502,0)))), ""))</f>
        <v/>
      </c>
      <c r="E229" s="156"/>
      <c r="F229" s="86" t="str">
        <f>IF(A229="","",SUMIFS('Stock Movement'!$F:$F,'Stock Movement'!$B:$B,A229,'Stock Movement'!$E:$E,"IN"))</f>
        <v/>
      </c>
      <c r="G229" s="86" t="str">
        <f>IF(A229="","",SUMIFS('Stock Movement'!$F:$F,'Stock Movement'!$B:$B,A229,'Stock Movement'!$E:$E,"OUT"))</f>
        <v/>
      </c>
      <c r="H229" s="86" t="str">
        <f t="shared" si="1"/>
        <v/>
      </c>
      <c r="I229" s="147"/>
      <c r="J229" s="156"/>
      <c r="K229" s="83" t="str">
        <f t="shared" si="2"/>
        <v/>
      </c>
    </row>
    <row r="230" ht="15.75" customHeight="1">
      <c r="A230" s="150"/>
      <c r="B230" s="153"/>
      <c r="C230" s="150"/>
      <c r="D230" s="150" t="str">
        <f t="array" ref="D230">IF(A230="","",IFERROR(INDEX('Location Master'!$E$2:$E$502, IFERROR(MATCH(A230,'Location Master'!$G$2:$G$502,0), IFERROR(MATCH(A230&amp;" (*",'Location Master'!$G$2:$G$502,0), MATCH(A230&amp;"*",'Location Master'!$G$2:$G$502,0)))), ""))</f>
        <v/>
      </c>
      <c r="E230" s="154"/>
      <c r="F230" s="75" t="str">
        <f>IF(A230="","",SUMIFS('Stock Movement'!$F:$F,'Stock Movement'!$B:$B,A230,'Stock Movement'!$E:$E,"IN"))</f>
        <v/>
      </c>
      <c r="G230" s="75" t="str">
        <f>IF(A230="","",SUMIFS('Stock Movement'!$F:$F,'Stock Movement'!$B:$B,A230,'Stock Movement'!$E:$E,"OUT"))</f>
        <v/>
      </c>
      <c r="H230" s="75" t="str">
        <f t="shared" si="1"/>
        <v/>
      </c>
      <c r="I230" s="150"/>
      <c r="J230" s="154"/>
      <c r="K230" s="91" t="str">
        <f t="shared" si="2"/>
        <v/>
      </c>
    </row>
    <row r="231" ht="15.75" customHeight="1">
      <c r="A231" s="147"/>
      <c r="B231" s="155"/>
      <c r="C231" s="147"/>
      <c r="D231" s="147" t="str">
        <f t="array" ref="D231">IF(A231="","",IFERROR(INDEX('Location Master'!$E$2:$E$502, IFERROR(MATCH(A231,'Location Master'!$G$2:$G$502,0), IFERROR(MATCH(A231&amp;" (*",'Location Master'!$G$2:$G$502,0), MATCH(A231&amp;"*",'Location Master'!$G$2:$G$502,0)))), ""))</f>
        <v/>
      </c>
      <c r="E231" s="156"/>
      <c r="F231" s="86" t="str">
        <f>IF(A231="","",SUMIFS('Stock Movement'!$F:$F,'Stock Movement'!$B:$B,A231,'Stock Movement'!$E:$E,"IN"))</f>
        <v/>
      </c>
      <c r="G231" s="86" t="str">
        <f>IF(A231="","",SUMIFS('Stock Movement'!$F:$F,'Stock Movement'!$B:$B,A231,'Stock Movement'!$E:$E,"OUT"))</f>
        <v/>
      </c>
      <c r="H231" s="86" t="str">
        <f t="shared" si="1"/>
        <v/>
      </c>
      <c r="I231" s="147"/>
      <c r="J231" s="156"/>
      <c r="K231" s="83" t="str">
        <f t="shared" si="2"/>
        <v/>
      </c>
    </row>
    <row r="232" ht="15.75" customHeight="1">
      <c r="A232" s="150"/>
      <c r="B232" s="153"/>
      <c r="C232" s="150"/>
      <c r="D232" s="150" t="str">
        <f t="array" ref="D232">IF(A232="","",IFERROR(INDEX('Location Master'!$E$2:$E$502, IFERROR(MATCH(A232,'Location Master'!$G$2:$G$502,0), IFERROR(MATCH(A232&amp;" (*",'Location Master'!$G$2:$G$502,0), MATCH(A232&amp;"*",'Location Master'!$G$2:$G$502,0)))), ""))</f>
        <v/>
      </c>
      <c r="E232" s="154"/>
      <c r="F232" s="75" t="str">
        <f>IF(A232="","",SUMIFS('Stock Movement'!$F:$F,'Stock Movement'!$B:$B,A232,'Stock Movement'!$E:$E,"IN"))</f>
        <v/>
      </c>
      <c r="G232" s="75" t="str">
        <f>IF(A232="","",SUMIFS('Stock Movement'!$F:$F,'Stock Movement'!$B:$B,A232,'Stock Movement'!$E:$E,"OUT"))</f>
        <v/>
      </c>
      <c r="H232" s="75" t="str">
        <f t="shared" si="1"/>
        <v/>
      </c>
      <c r="I232" s="150"/>
      <c r="J232" s="154"/>
      <c r="K232" s="91" t="str">
        <f t="shared" si="2"/>
        <v/>
      </c>
    </row>
    <row r="233" ht="15.75" customHeight="1">
      <c r="A233" s="147"/>
      <c r="B233" s="155"/>
      <c r="C233" s="147"/>
      <c r="D233" s="147" t="str">
        <f t="array" ref="D233">IF(A233="","",IFERROR(INDEX('Location Master'!$E$2:$E$502, IFERROR(MATCH(A233,'Location Master'!$G$2:$G$502,0), IFERROR(MATCH(A233&amp;" (*",'Location Master'!$G$2:$G$502,0), MATCH(A233&amp;"*",'Location Master'!$G$2:$G$502,0)))), ""))</f>
        <v/>
      </c>
      <c r="E233" s="156"/>
      <c r="F233" s="86" t="str">
        <f>IF(A233="","",SUMIFS('Stock Movement'!$F:$F,'Stock Movement'!$B:$B,A233,'Stock Movement'!$E:$E,"IN"))</f>
        <v/>
      </c>
      <c r="G233" s="86" t="str">
        <f>IF(A233="","",SUMIFS('Stock Movement'!$F:$F,'Stock Movement'!$B:$B,A233,'Stock Movement'!$E:$E,"OUT"))</f>
        <v/>
      </c>
      <c r="H233" s="86" t="str">
        <f t="shared" si="1"/>
        <v/>
      </c>
      <c r="I233" s="147"/>
      <c r="J233" s="156"/>
      <c r="K233" s="83" t="str">
        <f t="shared" si="2"/>
        <v/>
      </c>
    </row>
    <row r="234" ht="15.75" customHeight="1">
      <c r="A234" s="150"/>
      <c r="B234" s="153"/>
      <c r="C234" s="150"/>
      <c r="D234" s="150" t="str">
        <f t="array" ref="D234">IF(A234="","",IFERROR(INDEX('Location Master'!$E$2:$E$502, IFERROR(MATCH(A234,'Location Master'!$G$2:$G$502,0), IFERROR(MATCH(A234&amp;" (*",'Location Master'!$G$2:$G$502,0), MATCH(A234&amp;"*",'Location Master'!$G$2:$G$502,0)))), ""))</f>
        <v/>
      </c>
      <c r="E234" s="154"/>
      <c r="F234" s="75" t="str">
        <f>IF(A234="","",SUMIFS('Stock Movement'!$F:$F,'Stock Movement'!$B:$B,A234,'Stock Movement'!$E:$E,"IN"))</f>
        <v/>
      </c>
      <c r="G234" s="75" t="str">
        <f>IF(A234="","",SUMIFS('Stock Movement'!$F:$F,'Stock Movement'!$B:$B,A234,'Stock Movement'!$E:$E,"OUT"))</f>
        <v/>
      </c>
      <c r="H234" s="75" t="str">
        <f t="shared" si="1"/>
        <v/>
      </c>
      <c r="I234" s="150"/>
      <c r="J234" s="154"/>
      <c r="K234" s="91" t="str">
        <f t="shared" si="2"/>
        <v/>
      </c>
    </row>
    <row r="235" ht="15.75" customHeight="1">
      <c r="A235" s="147"/>
      <c r="B235" s="155"/>
      <c r="C235" s="147"/>
      <c r="D235" s="147" t="str">
        <f t="array" ref="D235">IF(A235="","",IFERROR(INDEX('Location Master'!$E$2:$E$502, IFERROR(MATCH(A235,'Location Master'!$G$2:$G$502,0), IFERROR(MATCH(A235&amp;" (*",'Location Master'!$G$2:$G$502,0), MATCH(A235&amp;"*",'Location Master'!$G$2:$G$502,0)))), ""))</f>
        <v/>
      </c>
      <c r="E235" s="156"/>
      <c r="F235" s="86" t="str">
        <f>IF(A235="","",SUMIFS('Stock Movement'!$F:$F,'Stock Movement'!$B:$B,A235,'Stock Movement'!$E:$E,"IN"))</f>
        <v/>
      </c>
      <c r="G235" s="86" t="str">
        <f>IF(A235="","",SUMIFS('Stock Movement'!$F:$F,'Stock Movement'!$B:$B,A235,'Stock Movement'!$E:$E,"OUT"))</f>
        <v/>
      </c>
      <c r="H235" s="86" t="str">
        <f t="shared" si="1"/>
        <v/>
      </c>
      <c r="I235" s="147"/>
      <c r="J235" s="156"/>
      <c r="K235" s="83" t="str">
        <f t="shared" si="2"/>
        <v/>
      </c>
    </row>
    <row r="236" ht="15.75" customHeight="1">
      <c r="A236" s="150"/>
      <c r="B236" s="153"/>
      <c r="C236" s="150"/>
      <c r="D236" s="150" t="str">
        <f t="array" ref="D236">IF(A236="","",IFERROR(INDEX('Location Master'!$E$2:$E$502, IFERROR(MATCH(A236,'Location Master'!$G$2:$G$502,0), IFERROR(MATCH(A236&amp;" (*",'Location Master'!$G$2:$G$502,0), MATCH(A236&amp;"*",'Location Master'!$G$2:$G$502,0)))), ""))</f>
        <v/>
      </c>
      <c r="E236" s="154"/>
      <c r="F236" s="75" t="str">
        <f>IF(A236="","",SUMIFS('Stock Movement'!$F:$F,'Stock Movement'!$B:$B,A236,'Stock Movement'!$E:$E,"IN"))</f>
        <v/>
      </c>
      <c r="G236" s="75" t="str">
        <f>IF(A236="","",SUMIFS('Stock Movement'!$F:$F,'Stock Movement'!$B:$B,A236,'Stock Movement'!$E:$E,"OUT"))</f>
        <v/>
      </c>
      <c r="H236" s="75" t="str">
        <f t="shared" si="1"/>
        <v/>
      </c>
      <c r="I236" s="150"/>
      <c r="J236" s="154"/>
      <c r="K236" s="91" t="str">
        <f t="shared" si="2"/>
        <v/>
      </c>
    </row>
    <row r="237" ht="15.75" customHeight="1">
      <c r="A237" s="147"/>
      <c r="B237" s="155"/>
      <c r="C237" s="147"/>
      <c r="D237" s="147" t="str">
        <f t="array" ref="D237">IF(A237="","",IFERROR(INDEX('Location Master'!$E$2:$E$502, IFERROR(MATCH(A237,'Location Master'!$G$2:$G$502,0), IFERROR(MATCH(A237&amp;" (*",'Location Master'!$G$2:$G$502,0), MATCH(A237&amp;"*",'Location Master'!$G$2:$G$502,0)))), ""))</f>
        <v/>
      </c>
      <c r="E237" s="156"/>
      <c r="F237" s="86" t="str">
        <f>IF(A237="","",SUMIFS('Stock Movement'!$F:$F,'Stock Movement'!$B:$B,A237,'Stock Movement'!$E:$E,"IN"))</f>
        <v/>
      </c>
      <c r="G237" s="86" t="str">
        <f>IF(A237="","",SUMIFS('Stock Movement'!$F:$F,'Stock Movement'!$B:$B,A237,'Stock Movement'!$E:$E,"OUT"))</f>
        <v/>
      </c>
      <c r="H237" s="86" t="str">
        <f t="shared" si="1"/>
        <v/>
      </c>
      <c r="I237" s="147"/>
      <c r="J237" s="156"/>
      <c r="K237" s="83" t="str">
        <f t="shared" si="2"/>
        <v/>
      </c>
    </row>
    <row r="238" ht="15.75" customHeight="1">
      <c r="A238" s="150"/>
      <c r="B238" s="153"/>
      <c r="C238" s="150"/>
      <c r="D238" s="150" t="str">
        <f t="array" ref="D238">IF(A238="","",IFERROR(INDEX('Location Master'!$E$2:$E$502, IFERROR(MATCH(A238,'Location Master'!$G$2:$G$502,0), IFERROR(MATCH(A238&amp;" (*",'Location Master'!$G$2:$G$502,0), MATCH(A238&amp;"*",'Location Master'!$G$2:$G$502,0)))), ""))</f>
        <v/>
      </c>
      <c r="E238" s="154"/>
      <c r="F238" s="75" t="str">
        <f>IF(A238="","",SUMIFS('Stock Movement'!$F:$F,'Stock Movement'!$B:$B,A238,'Stock Movement'!$E:$E,"IN"))</f>
        <v/>
      </c>
      <c r="G238" s="75" t="str">
        <f>IF(A238="","",SUMIFS('Stock Movement'!$F:$F,'Stock Movement'!$B:$B,A238,'Stock Movement'!$E:$E,"OUT"))</f>
        <v/>
      </c>
      <c r="H238" s="75" t="str">
        <f t="shared" si="1"/>
        <v/>
      </c>
      <c r="I238" s="150"/>
      <c r="J238" s="154"/>
      <c r="K238" s="91" t="str">
        <f t="shared" si="2"/>
        <v/>
      </c>
    </row>
    <row r="239" ht="15.75" customHeight="1">
      <c r="A239" s="147"/>
      <c r="B239" s="155"/>
      <c r="C239" s="147"/>
      <c r="D239" s="147" t="str">
        <f t="array" ref="D239">IF(A239="","",IFERROR(INDEX('Location Master'!$E$2:$E$502, IFERROR(MATCH(A239,'Location Master'!$G$2:$G$502,0), IFERROR(MATCH(A239&amp;" (*",'Location Master'!$G$2:$G$502,0), MATCH(A239&amp;"*",'Location Master'!$G$2:$G$502,0)))), ""))</f>
        <v/>
      </c>
      <c r="E239" s="156"/>
      <c r="F239" s="86" t="str">
        <f>IF(A239="","",SUMIFS('Stock Movement'!$F:$F,'Stock Movement'!$B:$B,A239,'Stock Movement'!$E:$E,"IN"))</f>
        <v/>
      </c>
      <c r="G239" s="86" t="str">
        <f>IF(A239="","",SUMIFS('Stock Movement'!$F:$F,'Stock Movement'!$B:$B,A239,'Stock Movement'!$E:$E,"OUT"))</f>
        <v/>
      </c>
      <c r="H239" s="86" t="str">
        <f t="shared" si="1"/>
        <v/>
      </c>
      <c r="I239" s="147"/>
      <c r="J239" s="156"/>
      <c r="K239" s="83" t="str">
        <f t="shared" si="2"/>
        <v/>
      </c>
    </row>
    <row r="240" ht="15.75" customHeight="1">
      <c r="A240" s="150"/>
      <c r="B240" s="153"/>
      <c r="C240" s="150"/>
      <c r="D240" s="150" t="str">
        <f t="array" ref="D240">IF(A240="","",IFERROR(INDEX('Location Master'!$E$2:$E$502, IFERROR(MATCH(A240,'Location Master'!$G$2:$G$502,0), IFERROR(MATCH(A240&amp;" (*",'Location Master'!$G$2:$G$502,0), MATCH(A240&amp;"*",'Location Master'!$G$2:$G$502,0)))), ""))</f>
        <v/>
      </c>
      <c r="E240" s="154"/>
      <c r="F240" s="75" t="str">
        <f>IF(A240="","",SUMIFS('Stock Movement'!$F:$F,'Stock Movement'!$B:$B,A240,'Stock Movement'!$E:$E,"IN"))</f>
        <v/>
      </c>
      <c r="G240" s="75" t="str">
        <f>IF(A240="","",SUMIFS('Stock Movement'!$F:$F,'Stock Movement'!$B:$B,A240,'Stock Movement'!$E:$E,"OUT"))</f>
        <v/>
      </c>
      <c r="H240" s="75" t="str">
        <f t="shared" si="1"/>
        <v/>
      </c>
      <c r="I240" s="150"/>
      <c r="J240" s="154"/>
      <c r="K240" s="91" t="str">
        <f t="shared" si="2"/>
        <v/>
      </c>
    </row>
    <row r="241" ht="15.75" customHeight="1">
      <c r="A241" s="147"/>
      <c r="B241" s="155"/>
      <c r="C241" s="147"/>
      <c r="D241" s="147" t="str">
        <f t="array" ref="D241">IF(A241="","",IFERROR(INDEX('Location Master'!$E$2:$E$502, IFERROR(MATCH(A241,'Location Master'!$G$2:$G$502,0), IFERROR(MATCH(A241&amp;" (*",'Location Master'!$G$2:$G$502,0), MATCH(A241&amp;"*",'Location Master'!$G$2:$G$502,0)))), ""))</f>
        <v/>
      </c>
      <c r="E241" s="156"/>
      <c r="F241" s="86" t="str">
        <f>IF(A241="","",SUMIFS('Stock Movement'!$F:$F,'Stock Movement'!$B:$B,A241,'Stock Movement'!$E:$E,"IN"))</f>
        <v/>
      </c>
      <c r="G241" s="86" t="str">
        <f>IF(A241="","",SUMIFS('Stock Movement'!$F:$F,'Stock Movement'!$B:$B,A241,'Stock Movement'!$E:$E,"OUT"))</f>
        <v/>
      </c>
      <c r="H241" s="86" t="str">
        <f t="shared" si="1"/>
        <v/>
      </c>
      <c r="I241" s="147"/>
      <c r="J241" s="156"/>
      <c r="K241" s="83" t="str">
        <f t="shared" si="2"/>
        <v/>
      </c>
    </row>
    <row r="242" ht="15.75" customHeight="1">
      <c r="A242" s="150"/>
      <c r="B242" s="153"/>
      <c r="C242" s="150"/>
      <c r="D242" s="150" t="str">
        <f t="array" ref="D242">IF(A242="","",IFERROR(INDEX('Location Master'!$E$2:$E$502, IFERROR(MATCH(A242,'Location Master'!$G$2:$G$502,0), IFERROR(MATCH(A242&amp;" (*",'Location Master'!$G$2:$G$502,0), MATCH(A242&amp;"*",'Location Master'!$G$2:$G$502,0)))), ""))</f>
        <v/>
      </c>
      <c r="E242" s="154"/>
      <c r="F242" s="75" t="str">
        <f>IF(A242="","",SUMIFS('Stock Movement'!$F:$F,'Stock Movement'!$B:$B,A242,'Stock Movement'!$E:$E,"IN"))</f>
        <v/>
      </c>
      <c r="G242" s="75" t="str">
        <f>IF(A242="","",SUMIFS('Stock Movement'!$F:$F,'Stock Movement'!$B:$B,A242,'Stock Movement'!$E:$E,"OUT"))</f>
        <v/>
      </c>
      <c r="H242" s="75" t="str">
        <f t="shared" si="1"/>
        <v/>
      </c>
      <c r="I242" s="150"/>
      <c r="J242" s="154"/>
      <c r="K242" s="91" t="str">
        <f t="shared" si="2"/>
        <v/>
      </c>
    </row>
    <row r="243" ht="15.75" customHeight="1">
      <c r="A243" s="147"/>
      <c r="B243" s="155"/>
      <c r="C243" s="147"/>
      <c r="D243" s="147" t="str">
        <f t="array" ref="D243">IF(A243="","",IFERROR(INDEX('Location Master'!$E$2:$E$502, IFERROR(MATCH(A243,'Location Master'!$G$2:$G$502,0), IFERROR(MATCH(A243&amp;" (*",'Location Master'!$G$2:$G$502,0), MATCH(A243&amp;"*",'Location Master'!$G$2:$G$502,0)))), ""))</f>
        <v/>
      </c>
      <c r="E243" s="156"/>
      <c r="F243" s="86" t="str">
        <f>IF(A243="","",SUMIFS('Stock Movement'!$F:$F,'Stock Movement'!$B:$B,A243,'Stock Movement'!$E:$E,"IN"))</f>
        <v/>
      </c>
      <c r="G243" s="86" t="str">
        <f>IF(A243="","",SUMIFS('Stock Movement'!$F:$F,'Stock Movement'!$B:$B,A243,'Stock Movement'!$E:$E,"OUT"))</f>
        <v/>
      </c>
      <c r="H243" s="86" t="str">
        <f t="shared" si="1"/>
        <v/>
      </c>
      <c r="I243" s="147"/>
      <c r="J243" s="156"/>
      <c r="K243" s="83" t="str">
        <f t="shared" si="2"/>
        <v/>
      </c>
    </row>
    <row r="244" ht="15.75" customHeight="1">
      <c r="A244" s="150"/>
      <c r="B244" s="153"/>
      <c r="C244" s="150"/>
      <c r="D244" s="150" t="str">
        <f t="array" ref="D244">IF(A244="","",IFERROR(INDEX('Location Master'!$E$2:$E$502, IFERROR(MATCH(A244,'Location Master'!$G$2:$G$502,0), IFERROR(MATCH(A244&amp;" (*",'Location Master'!$G$2:$G$502,0), MATCH(A244&amp;"*",'Location Master'!$G$2:$G$502,0)))), ""))</f>
        <v/>
      </c>
      <c r="E244" s="154"/>
      <c r="F244" s="75" t="str">
        <f>IF(A244="","",SUMIFS('Stock Movement'!$F:$F,'Stock Movement'!$B:$B,A244,'Stock Movement'!$E:$E,"IN"))</f>
        <v/>
      </c>
      <c r="G244" s="75" t="str">
        <f>IF(A244="","",SUMIFS('Stock Movement'!$F:$F,'Stock Movement'!$B:$B,A244,'Stock Movement'!$E:$E,"OUT"))</f>
        <v/>
      </c>
      <c r="H244" s="75" t="str">
        <f t="shared" si="1"/>
        <v/>
      </c>
      <c r="I244" s="150"/>
      <c r="J244" s="154"/>
      <c r="K244" s="91" t="str">
        <f t="shared" si="2"/>
        <v/>
      </c>
    </row>
    <row r="245" ht="15.75" customHeight="1">
      <c r="A245" s="147"/>
      <c r="B245" s="155"/>
      <c r="C245" s="147"/>
      <c r="D245" s="147" t="str">
        <f t="array" ref="D245">IF(A245="","",IFERROR(INDEX('Location Master'!$E$2:$E$502, IFERROR(MATCH(A245,'Location Master'!$G$2:$G$502,0), IFERROR(MATCH(A245&amp;" (*",'Location Master'!$G$2:$G$502,0), MATCH(A245&amp;"*",'Location Master'!$G$2:$G$502,0)))), ""))</f>
        <v/>
      </c>
      <c r="E245" s="156"/>
      <c r="F245" s="86" t="str">
        <f>IF(A245="","",SUMIFS('Stock Movement'!$F:$F,'Stock Movement'!$B:$B,A245,'Stock Movement'!$E:$E,"IN"))</f>
        <v/>
      </c>
      <c r="G245" s="86" t="str">
        <f>IF(A245="","",SUMIFS('Stock Movement'!$F:$F,'Stock Movement'!$B:$B,A245,'Stock Movement'!$E:$E,"OUT"))</f>
        <v/>
      </c>
      <c r="H245" s="86" t="str">
        <f t="shared" si="1"/>
        <v/>
      </c>
      <c r="I245" s="147"/>
      <c r="J245" s="156"/>
      <c r="K245" s="83" t="str">
        <f t="shared" si="2"/>
        <v/>
      </c>
    </row>
    <row r="246" ht="15.75" customHeight="1">
      <c r="A246" s="150"/>
      <c r="B246" s="153"/>
      <c r="C246" s="150"/>
      <c r="D246" s="150" t="str">
        <f t="array" ref="D246">IF(A246="","",IFERROR(INDEX('Location Master'!$E$2:$E$502, IFERROR(MATCH(A246,'Location Master'!$G$2:$G$502,0), IFERROR(MATCH(A246&amp;" (*",'Location Master'!$G$2:$G$502,0), MATCH(A246&amp;"*",'Location Master'!$G$2:$G$502,0)))), ""))</f>
        <v/>
      </c>
      <c r="E246" s="154"/>
      <c r="F246" s="75" t="str">
        <f>IF(A246="","",SUMIFS('Stock Movement'!$F:$F,'Stock Movement'!$B:$B,A246,'Stock Movement'!$E:$E,"IN"))</f>
        <v/>
      </c>
      <c r="G246" s="75" t="str">
        <f>IF(A246="","",SUMIFS('Stock Movement'!$F:$F,'Stock Movement'!$B:$B,A246,'Stock Movement'!$E:$E,"OUT"))</f>
        <v/>
      </c>
      <c r="H246" s="75" t="str">
        <f t="shared" si="1"/>
        <v/>
      </c>
      <c r="I246" s="150"/>
      <c r="J246" s="154"/>
      <c r="K246" s="91" t="str">
        <f t="shared" si="2"/>
        <v/>
      </c>
    </row>
    <row r="247" ht="15.75" customHeight="1">
      <c r="A247" s="147"/>
      <c r="B247" s="155"/>
      <c r="C247" s="147"/>
      <c r="D247" s="147" t="str">
        <f t="array" ref="D247">IF(A247="","",IFERROR(INDEX('Location Master'!$E$2:$E$502, IFERROR(MATCH(A247,'Location Master'!$G$2:$G$502,0), IFERROR(MATCH(A247&amp;" (*",'Location Master'!$G$2:$G$502,0), MATCH(A247&amp;"*",'Location Master'!$G$2:$G$502,0)))), ""))</f>
        <v/>
      </c>
      <c r="E247" s="156"/>
      <c r="F247" s="86" t="str">
        <f>IF(A247="","",SUMIFS('Stock Movement'!$F:$F,'Stock Movement'!$B:$B,A247,'Stock Movement'!$E:$E,"IN"))</f>
        <v/>
      </c>
      <c r="G247" s="86" t="str">
        <f>IF(A247="","",SUMIFS('Stock Movement'!$F:$F,'Stock Movement'!$B:$B,A247,'Stock Movement'!$E:$E,"OUT"))</f>
        <v/>
      </c>
      <c r="H247" s="86" t="str">
        <f t="shared" si="1"/>
        <v/>
      </c>
      <c r="I247" s="147"/>
      <c r="J247" s="156"/>
      <c r="K247" s="83" t="str">
        <f t="shared" si="2"/>
        <v/>
      </c>
    </row>
    <row r="248" ht="15.75" customHeight="1">
      <c r="A248" s="150"/>
      <c r="B248" s="153"/>
      <c r="C248" s="150"/>
      <c r="D248" s="150" t="str">
        <f t="array" ref="D248">IF(A248="","",IFERROR(INDEX('Location Master'!$E$2:$E$502, IFERROR(MATCH(A248,'Location Master'!$G$2:$G$502,0), IFERROR(MATCH(A248&amp;" (*",'Location Master'!$G$2:$G$502,0), MATCH(A248&amp;"*",'Location Master'!$G$2:$G$502,0)))), ""))</f>
        <v/>
      </c>
      <c r="E248" s="154"/>
      <c r="F248" s="75" t="str">
        <f>IF(A248="","",SUMIFS('Stock Movement'!$F:$F,'Stock Movement'!$B:$B,A248,'Stock Movement'!$E:$E,"IN"))</f>
        <v/>
      </c>
      <c r="G248" s="75" t="str">
        <f>IF(A248="","",SUMIFS('Stock Movement'!$F:$F,'Stock Movement'!$B:$B,A248,'Stock Movement'!$E:$E,"OUT"))</f>
        <v/>
      </c>
      <c r="H248" s="75" t="str">
        <f t="shared" si="1"/>
        <v/>
      </c>
      <c r="I248" s="150"/>
      <c r="J248" s="154"/>
      <c r="K248" s="91" t="str">
        <f t="shared" si="2"/>
        <v/>
      </c>
    </row>
    <row r="249" ht="15.75" customHeight="1">
      <c r="A249" s="147"/>
      <c r="B249" s="155"/>
      <c r="C249" s="147"/>
      <c r="D249" s="147" t="str">
        <f t="array" ref="D249">IF(A249="","",IFERROR(INDEX('Location Master'!$E$2:$E$502, IFERROR(MATCH(A249,'Location Master'!$G$2:$G$502,0), IFERROR(MATCH(A249&amp;" (*",'Location Master'!$G$2:$G$502,0), MATCH(A249&amp;"*",'Location Master'!$G$2:$G$502,0)))), ""))</f>
        <v/>
      </c>
      <c r="E249" s="156"/>
      <c r="F249" s="86" t="str">
        <f>IF(A249="","",SUMIFS('Stock Movement'!$F:$F,'Stock Movement'!$B:$B,A249,'Stock Movement'!$E:$E,"IN"))</f>
        <v/>
      </c>
      <c r="G249" s="86" t="str">
        <f>IF(A249="","",SUMIFS('Stock Movement'!$F:$F,'Stock Movement'!$B:$B,A249,'Stock Movement'!$E:$E,"OUT"))</f>
        <v/>
      </c>
      <c r="H249" s="86" t="str">
        <f t="shared" si="1"/>
        <v/>
      </c>
      <c r="I249" s="147"/>
      <c r="J249" s="156"/>
      <c r="K249" s="83" t="str">
        <f t="shared" si="2"/>
        <v/>
      </c>
    </row>
    <row r="250" ht="15.75" customHeight="1">
      <c r="A250" s="150"/>
      <c r="B250" s="153"/>
      <c r="C250" s="150"/>
      <c r="D250" s="150" t="str">
        <f t="array" ref="D250">IF(A250="","",IFERROR(INDEX('Location Master'!$E$2:$E$502, IFERROR(MATCH(A250,'Location Master'!$G$2:$G$502,0), IFERROR(MATCH(A250&amp;" (*",'Location Master'!$G$2:$G$502,0), MATCH(A250&amp;"*",'Location Master'!$G$2:$G$502,0)))), ""))</f>
        <v/>
      </c>
      <c r="E250" s="154"/>
      <c r="F250" s="75" t="str">
        <f>IF(A250="","",SUMIFS('Stock Movement'!$F:$F,'Stock Movement'!$B:$B,A250,'Stock Movement'!$E:$E,"IN"))</f>
        <v/>
      </c>
      <c r="G250" s="75" t="str">
        <f>IF(A250="","",SUMIFS('Stock Movement'!$F:$F,'Stock Movement'!$B:$B,A250,'Stock Movement'!$E:$E,"OUT"))</f>
        <v/>
      </c>
      <c r="H250" s="75" t="str">
        <f t="shared" si="1"/>
        <v/>
      </c>
      <c r="I250" s="150"/>
      <c r="J250" s="154"/>
      <c r="K250" s="91" t="str">
        <f t="shared" si="2"/>
        <v/>
      </c>
    </row>
    <row r="251" ht="15.75" customHeight="1">
      <c r="A251" s="147"/>
      <c r="B251" s="155"/>
      <c r="C251" s="147"/>
      <c r="D251" s="147" t="str">
        <f t="array" ref="D251">IF(A251="","",IFERROR(INDEX('Location Master'!$E$2:$E$502, IFERROR(MATCH(A251,'Location Master'!$G$2:$G$502,0), IFERROR(MATCH(A251&amp;" (*",'Location Master'!$G$2:$G$502,0), MATCH(A251&amp;"*",'Location Master'!$G$2:$G$502,0)))), ""))</f>
        <v/>
      </c>
      <c r="E251" s="156"/>
      <c r="F251" s="86" t="str">
        <f>IF(A251="","",SUMIFS('Stock Movement'!$F:$F,'Stock Movement'!$B:$B,A251,'Stock Movement'!$E:$E,"IN"))</f>
        <v/>
      </c>
      <c r="G251" s="86" t="str">
        <f>IF(A251="","",SUMIFS('Stock Movement'!$F:$F,'Stock Movement'!$B:$B,A251,'Stock Movement'!$E:$E,"OUT"))</f>
        <v/>
      </c>
      <c r="H251" s="86" t="str">
        <f t="shared" si="1"/>
        <v/>
      </c>
      <c r="I251" s="147"/>
      <c r="J251" s="156"/>
      <c r="K251" s="83" t="str">
        <f t="shared" si="2"/>
        <v/>
      </c>
    </row>
    <row r="252" ht="15.75" customHeight="1">
      <c r="A252" s="150"/>
      <c r="B252" s="153"/>
      <c r="C252" s="150"/>
      <c r="D252" s="150" t="str">
        <f t="array" ref="D252">IF(A252="","",IFERROR(INDEX('Location Master'!$E$2:$E$502, IFERROR(MATCH(A252,'Location Master'!$G$2:$G$502,0), IFERROR(MATCH(A252&amp;" (*",'Location Master'!$G$2:$G$502,0), MATCH(A252&amp;"*",'Location Master'!$G$2:$G$502,0)))), ""))</f>
        <v/>
      </c>
      <c r="E252" s="154"/>
      <c r="F252" s="75" t="str">
        <f>IF(A252="","",SUMIFS('Stock Movement'!$F:$F,'Stock Movement'!$B:$B,A252,'Stock Movement'!$E:$E,"IN"))</f>
        <v/>
      </c>
      <c r="G252" s="75" t="str">
        <f>IF(A252="","",SUMIFS('Stock Movement'!$F:$F,'Stock Movement'!$B:$B,A252,'Stock Movement'!$E:$E,"OUT"))</f>
        <v/>
      </c>
      <c r="H252" s="75" t="str">
        <f t="shared" si="1"/>
        <v/>
      </c>
      <c r="I252" s="150"/>
      <c r="J252" s="154"/>
      <c r="K252" s="91" t="str">
        <f t="shared" si="2"/>
        <v/>
      </c>
    </row>
    <row r="253" ht="15.75" customHeight="1">
      <c r="A253" s="147"/>
      <c r="B253" s="155"/>
      <c r="C253" s="147"/>
      <c r="D253" s="147" t="str">
        <f t="array" ref="D253">IF(A253="","",IFERROR(INDEX('Location Master'!$E$2:$E$502, IFERROR(MATCH(A253,'Location Master'!$G$2:$G$502,0), IFERROR(MATCH(A253&amp;" (*",'Location Master'!$G$2:$G$502,0), MATCH(A253&amp;"*",'Location Master'!$G$2:$G$502,0)))), ""))</f>
        <v/>
      </c>
      <c r="E253" s="156"/>
      <c r="F253" s="86" t="str">
        <f>IF(A253="","",SUMIFS('Stock Movement'!$F:$F,'Stock Movement'!$B:$B,A253,'Stock Movement'!$E:$E,"IN"))</f>
        <v/>
      </c>
      <c r="G253" s="86" t="str">
        <f>IF(A253="","",SUMIFS('Stock Movement'!$F:$F,'Stock Movement'!$B:$B,A253,'Stock Movement'!$E:$E,"OUT"))</f>
        <v/>
      </c>
      <c r="H253" s="86" t="str">
        <f t="shared" si="1"/>
        <v/>
      </c>
      <c r="I253" s="147"/>
      <c r="J253" s="156"/>
      <c r="K253" s="83" t="str">
        <f t="shared" si="2"/>
        <v/>
      </c>
    </row>
    <row r="254" ht="15.75" customHeight="1">
      <c r="A254" s="150"/>
      <c r="B254" s="153"/>
      <c r="C254" s="150"/>
      <c r="D254" s="150" t="str">
        <f t="array" ref="D254">IF(A254="","",IFERROR(INDEX('Location Master'!$E$2:$E$502, IFERROR(MATCH(A254,'Location Master'!$G$2:$G$502,0), IFERROR(MATCH(A254&amp;" (*",'Location Master'!$G$2:$G$502,0), MATCH(A254&amp;"*",'Location Master'!$G$2:$G$502,0)))), ""))</f>
        <v/>
      </c>
      <c r="E254" s="154"/>
      <c r="F254" s="75" t="str">
        <f>IF(A254="","",SUMIFS('Stock Movement'!$F:$F,'Stock Movement'!$B:$B,A254,'Stock Movement'!$E:$E,"IN"))</f>
        <v/>
      </c>
      <c r="G254" s="75" t="str">
        <f>IF(A254="","",SUMIFS('Stock Movement'!$F:$F,'Stock Movement'!$B:$B,A254,'Stock Movement'!$E:$E,"OUT"))</f>
        <v/>
      </c>
      <c r="H254" s="75" t="str">
        <f t="shared" si="1"/>
        <v/>
      </c>
      <c r="I254" s="150"/>
      <c r="J254" s="154"/>
      <c r="K254" s="91" t="str">
        <f t="shared" si="2"/>
        <v/>
      </c>
    </row>
    <row r="255" ht="15.75" customHeight="1">
      <c r="A255" s="147"/>
      <c r="B255" s="155"/>
      <c r="C255" s="147"/>
      <c r="D255" s="147" t="str">
        <f t="array" ref="D255">IF(A255="","",IFERROR(INDEX('Location Master'!$E$2:$E$502, IFERROR(MATCH(A255,'Location Master'!$G$2:$G$502,0), IFERROR(MATCH(A255&amp;" (*",'Location Master'!$G$2:$G$502,0), MATCH(A255&amp;"*",'Location Master'!$G$2:$G$502,0)))), ""))</f>
        <v/>
      </c>
      <c r="E255" s="156"/>
      <c r="F255" s="86" t="str">
        <f>IF(A255="","",SUMIFS('Stock Movement'!$F:$F,'Stock Movement'!$B:$B,A255,'Stock Movement'!$E:$E,"IN"))</f>
        <v/>
      </c>
      <c r="G255" s="86" t="str">
        <f>IF(A255="","",SUMIFS('Stock Movement'!$F:$F,'Stock Movement'!$B:$B,A255,'Stock Movement'!$E:$E,"OUT"))</f>
        <v/>
      </c>
      <c r="H255" s="86" t="str">
        <f t="shared" si="1"/>
        <v/>
      </c>
      <c r="I255" s="147"/>
      <c r="J255" s="156"/>
      <c r="K255" s="83" t="str">
        <f t="shared" si="2"/>
        <v/>
      </c>
    </row>
    <row r="256" ht="15.75" customHeight="1">
      <c r="A256" s="150"/>
      <c r="B256" s="153"/>
      <c r="C256" s="150"/>
      <c r="D256" s="150" t="str">
        <f t="array" ref="D256">IF(A256="","",IFERROR(INDEX('Location Master'!$E$2:$E$502, IFERROR(MATCH(A256,'Location Master'!$G$2:$G$502,0), IFERROR(MATCH(A256&amp;" (*",'Location Master'!$G$2:$G$502,0), MATCH(A256&amp;"*",'Location Master'!$G$2:$G$502,0)))), ""))</f>
        <v/>
      </c>
      <c r="E256" s="154"/>
      <c r="F256" s="75" t="str">
        <f>IF(A256="","",SUMIFS('Stock Movement'!$F:$F,'Stock Movement'!$B:$B,A256,'Stock Movement'!$E:$E,"IN"))</f>
        <v/>
      </c>
      <c r="G256" s="75" t="str">
        <f>IF(A256="","",SUMIFS('Stock Movement'!$F:$F,'Stock Movement'!$B:$B,A256,'Stock Movement'!$E:$E,"OUT"))</f>
        <v/>
      </c>
      <c r="H256" s="75" t="str">
        <f t="shared" si="1"/>
        <v/>
      </c>
      <c r="I256" s="150"/>
      <c r="J256" s="154"/>
      <c r="K256" s="91" t="str">
        <f t="shared" si="2"/>
        <v/>
      </c>
    </row>
    <row r="257" ht="15.75" customHeight="1">
      <c r="A257" s="147"/>
      <c r="B257" s="155"/>
      <c r="C257" s="147"/>
      <c r="D257" s="147" t="str">
        <f t="array" ref="D257">IF(A257="","",IFERROR(INDEX('Location Master'!$E$2:$E$502, IFERROR(MATCH(A257,'Location Master'!$G$2:$G$502,0), IFERROR(MATCH(A257&amp;" (*",'Location Master'!$G$2:$G$502,0), MATCH(A257&amp;"*",'Location Master'!$G$2:$G$502,0)))), ""))</f>
        <v/>
      </c>
      <c r="E257" s="156"/>
      <c r="F257" s="86" t="str">
        <f>IF(A257="","",SUMIFS('Stock Movement'!$F:$F,'Stock Movement'!$B:$B,A257,'Stock Movement'!$E:$E,"IN"))</f>
        <v/>
      </c>
      <c r="G257" s="86" t="str">
        <f>IF(A257="","",SUMIFS('Stock Movement'!$F:$F,'Stock Movement'!$B:$B,A257,'Stock Movement'!$E:$E,"OUT"))</f>
        <v/>
      </c>
      <c r="H257" s="86" t="str">
        <f t="shared" si="1"/>
        <v/>
      </c>
      <c r="I257" s="147"/>
      <c r="J257" s="156"/>
      <c r="K257" s="83" t="str">
        <f t="shared" si="2"/>
        <v/>
      </c>
    </row>
    <row r="258" ht="15.75" customHeight="1">
      <c r="A258" s="150"/>
      <c r="B258" s="153"/>
      <c r="C258" s="150"/>
      <c r="D258" s="150" t="str">
        <f t="array" ref="D258">IF(A258="","",IFERROR(INDEX('Location Master'!$E$2:$E$502, IFERROR(MATCH(A258,'Location Master'!$G$2:$G$502,0), IFERROR(MATCH(A258&amp;" (*",'Location Master'!$G$2:$G$502,0), MATCH(A258&amp;"*",'Location Master'!$G$2:$G$502,0)))), ""))</f>
        <v/>
      </c>
      <c r="E258" s="154"/>
      <c r="F258" s="75" t="str">
        <f>IF(A258="","",SUMIFS('Stock Movement'!$F:$F,'Stock Movement'!$B:$B,A258,'Stock Movement'!$E:$E,"IN"))</f>
        <v/>
      </c>
      <c r="G258" s="75" t="str">
        <f>IF(A258="","",SUMIFS('Stock Movement'!$F:$F,'Stock Movement'!$B:$B,A258,'Stock Movement'!$E:$E,"OUT"))</f>
        <v/>
      </c>
      <c r="H258" s="75" t="str">
        <f t="shared" si="1"/>
        <v/>
      </c>
      <c r="I258" s="150"/>
      <c r="J258" s="154"/>
      <c r="K258" s="91" t="str">
        <f t="shared" si="2"/>
        <v/>
      </c>
    </row>
    <row r="259" ht="15.75" customHeight="1">
      <c r="A259" s="147"/>
      <c r="B259" s="155"/>
      <c r="C259" s="147"/>
      <c r="D259" s="147" t="str">
        <f t="array" ref="D259">IF(A259="","",IFERROR(INDEX('Location Master'!$E$2:$E$502, IFERROR(MATCH(A259,'Location Master'!$G$2:$G$502,0), IFERROR(MATCH(A259&amp;" (*",'Location Master'!$G$2:$G$502,0), MATCH(A259&amp;"*",'Location Master'!$G$2:$G$502,0)))), ""))</f>
        <v/>
      </c>
      <c r="E259" s="156"/>
      <c r="F259" s="86" t="str">
        <f>IF(A259="","",SUMIFS('Stock Movement'!$F:$F,'Stock Movement'!$B:$B,A259,'Stock Movement'!$E:$E,"IN"))</f>
        <v/>
      </c>
      <c r="G259" s="86" t="str">
        <f>IF(A259="","",SUMIFS('Stock Movement'!$F:$F,'Stock Movement'!$B:$B,A259,'Stock Movement'!$E:$E,"OUT"))</f>
        <v/>
      </c>
      <c r="H259" s="86" t="str">
        <f t="shared" si="1"/>
        <v/>
      </c>
      <c r="I259" s="147"/>
      <c r="J259" s="156"/>
      <c r="K259" s="83" t="str">
        <f t="shared" si="2"/>
        <v/>
      </c>
    </row>
    <row r="260" ht="15.75" customHeight="1">
      <c r="A260" s="150"/>
      <c r="B260" s="153"/>
      <c r="C260" s="150"/>
      <c r="D260" s="150" t="str">
        <f t="array" ref="D260">IF(A260="","",IFERROR(INDEX('Location Master'!$E$2:$E$502, IFERROR(MATCH(A260,'Location Master'!$G$2:$G$502,0), IFERROR(MATCH(A260&amp;" (*",'Location Master'!$G$2:$G$502,0), MATCH(A260&amp;"*",'Location Master'!$G$2:$G$502,0)))), ""))</f>
        <v/>
      </c>
      <c r="E260" s="154"/>
      <c r="F260" s="75" t="str">
        <f>IF(A260="","",SUMIFS('Stock Movement'!$F:$F,'Stock Movement'!$B:$B,A260,'Stock Movement'!$E:$E,"IN"))</f>
        <v/>
      </c>
      <c r="G260" s="75" t="str">
        <f>IF(A260="","",SUMIFS('Stock Movement'!$F:$F,'Stock Movement'!$B:$B,A260,'Stock Movement'!$E:$E,"OUT"))</f>
        <v/>
      </c>
      <c r="H260" s="75" t="str">
        <f t="shared" si="1"/>
        <v/>
      </c>
      <c r="I260" s="150"/>
      <c r="J260" s="154"/>
      <c r="K260" s="91" t="str">
        <f t="shared" si="2"/>
        <v/>
      </c>
    </row>
    <row r="261" ht="15.75" customHeight="1">
      <c r="A261" s="147"/>
      <c r="B261" s="155"/>
      <c r="C261" s="147"/>
      <c r="D261" s="147" t="str">
        <f t="array" ref="D261">IF(A261="","",IFERROR(INDEX('Location Master'!$E$2:$E$502, IFERROR(MATCH(A261,'Location Master'!$G$2:$G$502,0), IFERROR(MATCH(A261&amp;" (*",'Location Master'!$G$2:$G$502,0), MATCH(A261&amp;"*",'Location Master'!$G$2:$G$502,0)))), ""))</f>
        <v/>
      </c>
      <c r="E261" s="156"/>
      <c r="F261" s="86" t="str">
        <f>IF(A261="","",SUMIFS('Stock Movement'!$F:$F,'Stock Movement'!$B:$B,A261,'Stock Movement'!$E:$E,"IN"))</f>
        <v/>
      </c>
      <c r="G261" s="86" t="str">
        <f>IF(A261="","",SUMIFS('Stock Movement'!$F:$F,'Stock Movement'!$B:$B,A261,'Stock Movement'!$E:$E,"OUT"))</f>
        <v/>
      </c>
      <c r="H261" s="86" t="str">
        <f t="shared" si="1"/>
        <v/>
      </c>
      <c r="I261" s="147"/>
      <c r="J261" s="156"/>
      <c r="K261" s="83" t="str">
        <f t="shared" si="2"/>
        <v/>
      </c>
    </row>
    <row r="262" ht="15.75" customHeight="1">
      <c r="A262" s="150"/>
      <c r="B262" s="153"/>
      <c r="C262" s="150"/>
      <c r="D262" s="150" t="str">
        <f t="array" ref="D262">IF(A262="","",IFERROR(INDEX('Location Master'!$E$2:$E$502, IFERROR(MATCH(A262,'Location Master'!$G$2:$G$502,0), IFERROR(MATCH(A262&amp;" (*",'Location Master'!$G$2:$G$502,0), MATCH(A262&amp;"*",'Location Master'!$G$2:$G$502,0)))), ""))</f>
        <v/>
      </c>
      <c r="E262" s="154"/>
      <c r="F262" s="75" t="str">
        <f>IF(A262="","",SUMIFS('Stock Movement'!$F:$F,'Stock Movement'!$B:$B,A262,'Stock Movement'!$E:$E,"IN"))</f>
        <v/>
      </c>
      <c r="G262" s="75" t="str">
        <f>IF(A262="","",SUMIFS('Stock Movement'!$F:$F,'Stock Movement'!$B:$B,A262,'Stock Movement'!$E:$E,"OUT"))</f>
        <v/>
      </c>
      <c r="H262" s="75" t="str">
        <f t="shared" si="1"/>
        <v/>
      </c>
      <c r="I262" s="150"/>
      <c r="J262" s="154"/>
      <c r="K262" s="91" t="str">
        <f t="shared" si="2"/>
        <v/>
      </c>
    </row>
    <row r="263" ht="15.75" customHeight="1">
      <c r="A263" s="147"/>
      <c r="B263" s="155"/>
      <c r="C263" s="147"/>
      <c r="D263" s="147" t="str">
        <f t="array" ref="D263">IF(A263="","",IFERROR(INDEX('Location Master'!$E$2:$E$502, IFERROR(MATCH(A263,'Location Master'!$G$2:$G$502,0), IFERROR(MATCH(A263&amp;" (*",'Location Master'!$G$2:$G$502,0), MATCH(A263&amp;"*",'Location Master'!$G$2:$G$502,0)))), ""))</f>
        <v/>
      </c>
      <c r="E263" s="156"/>
      <c r="F263" s="86" t="str">
        <f>IF(A263="","",SUMIFS('Stock Movement'!$F:$F,'Stock Movement'!$B:$B,A263,'Stock Movement'!$E:$E,"IN"))</f>
        <v/>
      </c>
      <c r="G263" s="86" t="str">
        <f>IF(A263="","",SUMIFS('Stock Movement'!$F:$F,'Stock Movement'!$B:$B,A263,'Stock Movement'!$E:$E,"OUT"))</f>
        <v/>
      </c>
      <c r="H263" s="86" t="str">
        <f t="shared" si="1"/>
        <v/>
      </c>
      <c r="I263" s="147"/>
      <c r="J263" s="156"/>
      <c r="K263" s="83" t="str">
        <f t="shared" si="2"/>
        <v/>
      </c>
    </row>
    <row r="264" ht="15.75" customHeight="1">
      <c r="A264" s="150"/>
      <c r="B264" s="153"/>
      <c r="C264" s="150"/>
      <c r="D264" s="150" t="str">
        <f t="array" ref="D264">IF(A264="","",IFERROR(INDEX('Location Master'!$E$2:$E$502, IFERROR(MATCH(A264,'Location Master'!$G$2:$G$502,0), IFERROR(MATCH(A264&amp;" (*",'Location Master'!$G$2:$G$502,0), MATCH(A264&amp;"*",'Location Master'!$G$2:$G$502,0)))), ""))</f>
        <v/>
      </c>
      <c r="E264" s="154"/>
      <c r="F264" s="75" t="str">
        <f>IF(A264="","",SUMIFS('Stock Movement'!$F:$F,'Stock Movement'!$B:$B,A264,'Stock Movement'!$E:$E,"IN"))</f>
        <v/>
      </c>
      <c r="G264" s="75" t="str">
        <f>IF(A264="","",SUMIFS('Stock Movement'!$F:$F,'Stock Movement'!$B:$B,A264,'Stock Movement'!$E:$E,"OUT"))</f>
        <v/>
      </c>
      <c r="H264" s="75" t="str">
        <f t="shared" si="1"/>
        <v/>
      </c>
      <c r="I264" s="150"/>
      <c r="J264" s="154"/>
      <c r="K264" s="91" t="str">
        <f t="shared" si="2"/>
        <v/>
      </c>
    </row>
    <row r="265" ht="15.75" customHeight="1">
      <c r="A265" s="147"/>
      <c r="B265" s="155"/>
      <c r="C265" s="147"/>
      <c r="D265" s="147" t="str">
        <f t="array" ref="D265">IF(A265="","",IFERROR(INDEX('Location Master'!$E$2:$E$502, IFERROR(MATCH(A265,'Location Master'!$G$2:$G$502,0), IFERROR(MATCH(A265&amp;" (*",'Location Master'!$G$2:$G$502,0), MATCH(A265&amp;"*",'Location Master'!$G$2:$G$502,0)))), ""))</f>
        <v/>
      </c>
      <c r="E265" s="156"/>
      <c r="F265" s="86" t="str">
        <f>IF(A265="","",SUMIFS('Stock Movement'!$F:$F,'Stock Movement'!$B:$B,A265,'Stock Movement'!$E:$E,"IN"))</f>
        <v/>
      </c>
      <c r="G265" s="86" t="str">
        <f>IF(A265="","",SUMIFS('Stock Movement'!$F:$F,'Stock Movement'!$B:$B,A265,'Stock Movement'!$E:$E,"OUT"))</f>
        <v/>
      </c>
      <c r="H265" s="86" t="str">
        <f t="shared" si="1"/>
        <v/>
      </c>
      <c r="I265" s="147"/>
      <c r="J265" s="156"/>
      <c r="K265" s="83" t="str">
        <f t="shared" si="2"/>
        <v/>
      </c>
    </row>
    <row r="266" ht="15.75" customHeight="1">
      <c r="A266" s="150"/>
      <c r="B266" s="153"/>
      <c r="C266" s="150"/>
      <c r="D266" s="150" t="str">
        <f t="array" ref="D266">IF(A266="","",IFERROR(INDEX('Location Master'!$E$2:$E$502, IFERROR(MATCH(A266,'Location Master'!$G$2:$G$502,0), IFERROR(MATCH(A266&amp;" (*",'Location Master'!$G$2:$G$502,0), MATCH(A266&amp;"*",'Location Master'!$G$2:$G$502,0)))), ""))</f>
        <v/>
      </c>
      <c r="E266" s="154"/>
      <c r="F266" s="75" t="str">
        <f>IF(A266="","",SUMIFS('Stock Movement'!$F:$F,'Stock Movement'!$B:$B,A266,'Stock Movement'!$E:$E,"IN"))</f>
        <v/>
      </c>
      <c r="G266" s="75" t="str">
        <f>IF(A266="","",SUMIFS('Stock Movement'!$F:$F,'Stock Movement'!$B:$B,A266,'Stock Movement'!$E:$E,"OUT"))</f>
        <v/>
      </c>
      <c r="H266" s="75" t="str">
        <f t="shared" si="1"/>
        <v/>
      </c>
      <c r="I266" s="150"/>
      <c r="J266" s="154"/>
      <c r="K266" s="91" t="str">
        <f t="shared" si="2"/>
        <v/>
      </c>
    </row>
    <row r="267" ht="15.75" customHeight="1">
      <c r="A267" s="147"/>
      <c r="B267" s="155"/>
      <c r="C267" s="147"/>
      <c r="D267" s="147" t="str">
        <f t="array" ref="D267">IF(A267="","",IFERROR(INDEX('Location Master'!$E$2:$E$502, IFERROR(MATCH(A267,'Location Master'!$G$2:$G$502,0), IFERROR(MATCH(A267&amp;" (*",'Location Master'!$G$2:$G$502,0), MATCH(A267&amp;"*",'Location Master'!$G$2:$G$502,0)))), ""))</f>
        <v/>
      </c>
      <c r="E267" s="156"/>
      <c r="F267" s="86" t="str">
        <f>IF(A267="","",SUMIFS('Stock Movement'!$F:$F,'Stock Movement'!$B:$B,A267,'Stock Movement'!$E:$E,"IN"))</f>
        <v/>
      </c>
      <c r="G267" s="86" t="str">
        <f>IF(A267="","",SUMIFS('Stock Movement'!$F:$F,'Stock Movement'!$B:$B,A267,'Stock Movement'!$E:$E,"OUT"))</f>
        <v/>
      </c>
      <c r="H267" s="86" t="str">
        <f t="shared" si="1"/>
        <v/>
      </c>
      <c r="I267" s="147"/>
      <c r="J267" s="156"/>
      <c r="K267" s="83" t="str">
        <f t="shared" si="2"/>
        <v/>
      </c>
    </row>
    <row r="268" ht="15.75" customHeight="1">
      <c r="A268" s="150"/>
      <c r="B268" s="153"/>
      <c r="C268" s="150"/>
      <c r="D268" s="150" t="str">
        <f t="array" ref="D268">IF(A268="","",IFERROR(INDEX('Location Master'!$E$2:$E$502, IFERROR(MATCH(A268,'Location Master'!$G$2:$G$502,0), IFERROR(MATCH(A268&amp;" (*",'Location Master'!$G$2:$G$502,0), MATCH(A268&amp;"*",'Location Master'!$G$2:$G$502,0)))), ""))</f>
        <v/>
      </c>
      <c r="E268" s="154"/>
      <c r="F268" s="75" t="str">
        <f>IF(A268="","",SUMIFS('Stock Movement'!$F:$F,'Stock Movement'!$B:$B,A268,'Stock Movement'!$E:$E,"IN"))</f>
        <v/>
      </c>
      <c r="G268" s="75" t="str">
        <f>IF(A268="","",SUMIFS('Stock Movement'!$F:$F,'Stock Movement'!$B:$B,A268,'Stock Movement'!$E:$E,"OUT"))</f>
        <v/>
      </c>
      <c r="H268" s="75" t="str">
        <f t="shared" si="1"/>
        <v/>
      </c>
      <c r="I268" s="150"/>
      <c r="J268" s="154"/>
      <c r="K268" s="91" t="str">
        <f t="shared" si="2"/>
        <v/>
      </c>
    </row>
    <row r="269" ht="15.75" customHeight="1">
      <c r="A269" s="147"/>
      <c r="B269" s="155"/>
      <c r="C269" s="147"/>
      <c r="D269" s="147" t="str">
        <f t="array" ref="D269">IF(A269="","",IFERROR(INDEX('Location Master'!$E$2:$E$502, IFERROR(MATCH(A269,'Location Master'!$G$2:$G$502,0), IFERROR(MATCH(A269&amp;" (*",'Location Master'!$G$2:$G$502,0), MATCH(A269&amp;"*",'Location Master'!$G$2:$G$502,0)))), ""))</f>
        <v/>
      </c>
      <c r="E269" s="156"/>
      <c r="F269" s="86" t="str">
        <f>IF(A269="","",SUMIFS('Stock Movement'!$F:$F,'Stock Movement'!$B:$B,A269,'Stock Movement'!$E:$E,"IN"))</f>
        <v/>
      </c>
      <c r="G269" s="86" t="str">
        <f>IF(A269="","",SUMIFS('Stock Movement'!$F:$F,'Stock Movement'!$B:$B,A269,'Stock Movement'!$E:$E,"OUT"))</f>
        <v/>
      </c>
      <c r="H269" s="86" t="str">
        <f t="shared" si="1"/>
        <v/>
      </c>
      <c r="I269" s="147"/>
      <c r="J269" s="156"/>
      <c r="K269" s="83" t="str">
        <f t="shared" si="2"/>
        <v/>
      </c>
    </row>
    <row r="270" ht="15.75" customHeight="1">
      <c r="A270" s="150"/>
      <c r="B270" s="153"/>
      <c r="C270" s="150"/>
      <c r="D270" s="150" t="str">
        <f t="array" ref="D270">IF(A270="","",IFERROR(INDEX('Location Master'!$E$2:$E$502, IFERROR(MATCH(A270,'Location Master'!$G$2:$G$502,0), IFERROR(MATCH(A270&amp;" (*",'Location Master'!$G$2:$G$502,0), MATCH(A270&amp;"*",'Location Master'!$G$2:$G$502,0)))), ""))</f>
        <v/>
      </c>
      <c r="E270" s="154"/>
      <c r="F270" s="75" t="str">
        <f>IF(A270="","",SUMIFS('Stock Movement'!$F:$F,'Stock Movement'!$B:$B,A270,'Stock Movement'!$E:$E,"IN"))</f>
        <v/>
      </c>
      <c r="G270" s="75" t="str">
        <f>IF(A270="","",SUMIFS('Stock Movement'!$F:$F,'Stock Movement'!$B:$B,A270,'Stock Movement'!$E:$E,"OUT"))</f>
        <v/>
      </c>
      <c r="H270" s="75" t="str">
        <f t="shared" si="1"/>
        <v/>
      </c>
      <c r="I270" s="150"/>
      <c r="J270" s="154"/>
      <c r="K270" s="91" t="str">
        <f t="shared" si="2"/>
        <v/>
      </c>
    </row>
    <row r="271" ht="15.75" customHeight="1">
      <c r="A271" s="147"/>
      <c r="B271" s="155"/>
      <c r="C271" s="147"/>
      <c r="D271" s="147" t="str">
        <f t="array" ref="D271">IF(A271="","",IFERROR(INDEX('Location Master'!$E$2:$E$502, IFERROR(MATCH(A271,'Location Master'!$G$2:$G$502,0), IFERROR(MATCH(A271&amp;" (*",'Location Master'!$G$2:$G$502,0), MATCH(A271&amp;"*",'Location Master'!$G$2:$G$502,0)))), ""))</f>
        <v/>
      </c>
      <c r="E271" s="156"/>
      <c r="F271" s="86" t="str">
        <f>IF(A271="","",SUMIFS('Stock Movement'!$F:$F,'Stock Movement'!$B:$B,A271,'Stock Movement'!$E:$E,"IN"))</f>
        <v/>
      </c>
      <c r="G271" s="86" t="str">
        <f>IF(A271="","",SUMIFS('Stock Movement'!$F:$F,'Stock Movement'!$B:$B,A271,'Stock Movement'!$E:$E,"OUT"))</f>
        <v/>
      </c>
      <c r="H271" s="86" t="str">
        <f t="shared" si="1"/>
        <v/>
      </c>
      <c r="I271" s="147"/>
      <c r="J271" s="156"/>
      <c r="K271" s="83" t="str">
        <f t="shared" si="2"/>
        <v/>
      </c>
    </row>
    <row r="272" ht="15.75" customHeight="1">
      <c r="A272" s="150"/>
      <c r="B272" s="153"/>
      <c r="C272" s="150"/>
      <c r="D272" s="150" t="str">
        <f t="array" ref="D272">IF(A272="","",IFERROR(INDEX('Location Master'!$E$2:$E$502, IFERROR(MATCH(A272,'Location Master'!$G$2:$G$502,0), IFERROR(MATCH(A272&amp;" (*",'Location Master'!$G$2:$G$502,0), MATCH(A272&amp;"*",'Location Master'!$G$2:$G$502,0)))), ""))</f>
        <v/>
      </c>
      <c r="E272" s="154"/>
      <c r="F272" s="75" t="str">
        <f>IF(A272="","",SUMIFS('Stock Movement'!$F:$F,'Stock Movement'!$B:$B,A272,'Stock Movement'!$E:$E,"IN"))</f>
        <v/>
      </c>
      <c r="G272" s="75" t="str">
        <f>IF(A272="","",SUMIFS('Stock Movement'!$F:$F,'Stock Movement'!$B:$B,A272,'Stock Movement'!$E:$E,"OUT"))</f>
        <v/>
      </c>
      <c r="H272" s="75" t="str">
        <f t="shared" si="1"/>
        <v/>
      </c>
      <c r="I272" s="150"/>
      <c r="J272" s="154"/>
      <c r="K272" s="91" t="str">
        <f t="shared" si="2"/>
        <v/>
      </c>
    </row>
    <row r="273" ht="15.75" customHeight="1">
      <c r="A273" s="147"/>
      <c r="B273" s="155"/>
      <c r="C273" s="147"/>
      <c r="D273" s="147" t="str">
        <f t="array" ref="D273">IF(A273="","",IFERROR(INDEX('Location Master'!$E$2:$E$502, IFERROR(MATCH(A273,'Location Master'!$G$2:$G$502,0), IFERROR(MATCH(A273&amp;" (*",'Location Master'!$G$2:$G$502,0), MATCH(A273&amp;"*",'Location Master'!$G$2:$G$502,0)))), ""))</f>
        <v/>
      </c>
      <c r="E273" s="156"/>
      <c r="F273" s="86" t="str">
        <f>IF(A273="","",SUMIFS('Stock Movement'!$F:$F,'Stock Movement'!$B:$B,A273,'Stock Movement'!$E:$E,"IN"))</f>
        <v/>
      </c>
      <c r="G273" s="86" t="str">
        <f>IF(A273="","",SUMIFS('Stock Movement'!$F:$F,'Stock Movement'!$B:$B,A273,'Stock Movement'!$E:$E,"OUT"))</f>
        <v/>
      </c>
      <c r="H273" s="86" t="str">
        <f t="shared" si="1"/>
        <v/>
      </c>
      <c r="I273" s="147"/>
      <c r="J273" s="156"/>
      <c r="K273" s="83" t="str">
        <f t="shared" si="2"/>
        <v/>
      </c>
    </row>
    <row r="274" ht="15.75" customHeight="1">
      <c r="A274" s="150"/>
      <c r="B274" s="153"/>
      <c r="C274" s="150"/>
      <c r="D274" s="150" t="str">
        <f t="array" ref="D274">IF(A274="","",IFERROR(INDEX('Location Master'!$E$2:$E$502, IFERROR(MATCH(A274,'Location Master'!$G$2:$G$502,0), IFERROR(MATCH(A274&amp;" (*",'Location Master'!$G$2:$G$502,0), MATCH(A274&amp;"*",'Location Master'!$G$2:$G$502,0)))), ""))</f>
        <v/>
      </c>
      <c r="E274" s="154"/>
      <c r="F274" s="75" t="str">
        <f>IF(A274="","",SUMIFS('Stock Movement'!$F:$F,'Stock Movement'!$B:$B,A274,'Stock Movement'!$E:$E,"IN"))</f>
        <v/>
      </c>
      <c r="G274" s="75" t="str">
        <f>IF(A274="","",SUMIFS('Stock Movement'!$F:$F,'Stock Movement'!$B:$B,A274,'Stock Movement'!$E:$E,"OUT"))</f>
        <v/>
      </c>
      <c r="H274" s="75" t="str">
        <f t="shared" si="1"/>
        <v/>
      </c>
      <c r="I274" s="150"/>
      <c r="J274" s="154"/>
      <c r="K274" s="91" t="str">
        <f t="shared" si="2"/>
        <v/>
      </c>
    </row>
    <row r="275" ht="15.75" customHeight="1">
      <c r="A275" s="147"/>
      <c r="B275" s="155"/>
      <c r="C275" s="147"/>
      <c r="D275" s="147" t="str">
        <f t="array" ref="D275">IF(A275="","",IFERROR(INDEX('Location Master'!$E$2:$E$502, IFERROR(MATCH(A275,'Location Master'!$G$2:$G$502,0), IFERROR(MATCH(A275&amp;" (*",'Location Master'!$G$2:$G$502,0), MATCH(A275&amp;"*",'Location Master'!$G$2:$G$502,0)))), ""))</f>
        <v/>
      </c>
      <c r="E275" s="156"/>
      <c r="F275" s="86" t="str">
        <f>IF(A275="","",SUMIFS('Stock Movement'!$F:$F,'Stock Movement'!$B:$B,A275,'Stock Movement'!$E:$E,"IN"))</f>
        <v/>
      </c>
      <c r="G275" s="86" t="str">
        <f>IF(A275="","",SUMIFS('Stock Movement'!$F:$F,'Stock Movement'!$B:$B,A275,'Stock Movement'!$E:$E,"OUT"))</f>
        <v/>
      </c>
      <c r="H275" s="86" t="str">
        <f t="shared" si="1"/>
        <v/>
      </c>
      <c r="I275" s="147"/>
      <c r="J275" s="156"/>
      <c r="K275" s="83" t="str">
        <f t="shared" si="2"/>
        <v/>
      </c>
    </row>
    <row r="276" ht="15.75" customHeight="1">
      <c r="A276" s="150"/>
      <c r="B276" s="153"/>
      <c r="C276" s="150"/>
      <c r="D276" s="150" t="str">
        <f t="array" ref="D276">IF(A276="","",IFERROR(INDEX('Location Master'!$E$2:$E$502, IFERROR(MATCH(A276,'Location Master'!$G$2:$G$502,0), IFERROR(MATCH(A276&amp;" (*",'Location Master'!$G$2:$G$502,0), MATCH(A276&amp;"*",'Location Master'!$G$2:$G$502,0)))), ""))</f>
        <v/>
      </c>
      <c r="E276" s="154"/>
      <c r="F276" s="75" t="str">
        <f>IF(A276="","",SUMIFS('Stock Movement'!$F:$F,'Stock Movement'!$B:$B,A276,'Stock Movement'!$E:$E,"IN"))</f>
        <v/>
      </c>
      <c r="G276" s="75" t="str">
        <f>IF(A276="","",SUMIFS('Stock Movement'!$F:$F,'Stock Movement'!$B:$B,A276,'Stock Movement'!$E:$E,"OUT"))</f>
        <v/>
      </c>
      <c r="H276" s="75" t="str">
        <f t="shared" si="1"/>
        <v/>
      </c>
      <c r="I276" s="150"/>
      <c r="J276" s="154"/>
      <c r="K276" s="91" t="str">
        <f t="shared" si="2"/>
        <v/>
      </c>
    </row>
    <row r="277" ht="15.75" customHeight="1">
      <c r="A277" s="147"/>
      <c r="B277" s="155"/>
      <c r="C277" s="147"/>
      <c r="D277" s="147" t="str">
        <f t="array" ref="D277">IF(A277="","",IFERROR(INDEX('Location Master'!$E$2:$E$502, IFERROR(MATCH(A277,'Location Master'!$G$2:$G$502,0), IFERROR(MATCH(A277&amp;" (*",'Location Master'!$G$2:$G$502,0), MATCH(A277&amp;"*",'Location Master'!$G$2:$G$502,0)))), ""))</f>
        <v/>
      </c>
      <c r="E277" s="156"/>
      <c r="F277" s="86" t="str">
        <f>IF(A277="","",SUMIFS('Stock Movement'!$F:$F,'Stock Movement'!$B:$B,A277,'Stock Movement'!$E:$E,"IN"))</f>
        <v/>
      </c>
      <c r="G277" s="86" t="str">
        <f>IF(A277="","",SUMIFS('Stock Movement'!$F:$F,'Stock Movement'!$B:$B,A277,'Stock Movement'!$E:$E,"OUT"))</f>
        <v/>
      </c>
      <c r="H277" s="86" t="str">
        <f t="shared" si="1"/>
        <v/>
      </c>
      <c r="I277" s="147"/>
      <c r="J277" s="156"/>
      <c r="K277" s="83" t="str">
        <f t="shared" si="2"/>
        <v/>
      </c>
    </row>
    <row r="278" ht="15.75" customHeight="1">
      <c r="A278" s="150"/>
      <c r="B278" s="153"/>
      <c r="C278" s="150"/>
      <c r="D278" s="150" t="str">
        <f t="array" ref="D278">IF(A278="","",IFERROR(INDEX('Location Master'!$E$2:$E$502, IFERROR(MATCH(A278,'Location Master'!$G$2:$G$502,0), IFERROR(MATCH(A278&amp;" (*",'Location Master'!$G$2:$G$502,0), MATCH(A278&amp;"*",'Location Master'!$G$2:$G$502,0)))), ""))</f>
        <v/>
      </c>
      <c r="E278" s="154"/>
      <c r="F278" s="75" t="str">
        <f>IF(A278="","",SUMIFS('Stock Movement'!$F:$F,'Stock Movement'!$B:$B,A278,'Stock Movement'!$E:$E,"IN"))</f>
        <v/>
      </c>
      <c r="G278" s="75" t="str">
        <f>IF(A278="","",SUMIFS('Stock Movement'!$F:$F,'Stock Movement'!$B:$B,A278,'Stock Movement'!$E:$E,"OUT"))</f>
        <v/>
      </c>
      <c r="H278" s="75" t="str">
        <f t="shared" si="1"/>
        <v/>
      </c>
      <c r="I278" s="150"/>
      <c r="J278" s="154"/>
      <c r="K278" s="91" t="str">
        <f t="shared" si="2"/>
        <v/>
      </c>
    </row>
    <row r="279" ht="15.75" customHeight="1">
      <c r="A279" s="147"/>
      <c r="B279" s="155"/>
      <c r="C279" s="147"/>
      <c r="D279" s="147" t="str">
        <f t="array" ref="D279">IF(A279="","",IFERROR(INDEX('Location Master'!$E$2:$E$502, IFERROR(MATCH(A279,'Location Master'!$G$2:$G$502,0), IFERROR(MATCH(A279&amp;" (*",'Location Master'!$G$2:$G$502,0), MATCH(A279&amp;"*",'Location Master'!$G$2:$G$502,0)))), ""))</f>
        <v/>
      </c>
      <c r="E279" s="156"/>
      <c r="F279" s="86" t="str">
        <f>IF(A279="","",SUMIFS('Stock Movement'!$F:$F,'Stock Movement'!$B:$B,A279,'Stock Movement'!$E:$E,"IN"))</f>
        <v/>
      </c>
      <c r="G279" s="86" t="str">
        <f>IF(A279="","",SUMIFS('Stock Movement'!$F:$F,'Stock Movement'!$B:$B,A279,'Stock Movement'!$E:$E,"OUT"))</f>
        <v/>
      </c>
      <c r="H279" s="86" t="str">
        <f t="shared" si="1"/>
        <v/>
      </c>
      <c r="I279" s="147"/>
      <c r="J279" s="156"/>
      <c r="K279" s="83" t="str">
        <f t="shared" si="2"/>
        <v/>
      </c>
    </row>
    <row r="280" ht="15.75" customHeight="1">
      <c r="A280" s="150"/>
      <c r="B280" s="153"/>
      <c r="C280" s="150"/>
      <c r="D280" s="150" t="str">
        <f t="array" ref="D280">IF(A280="","",IFERROR(INDEX('Location Master'!$E$2:$E$502, IFERROR(MATCH(A280,'Location Master'!$G$2:$G$502,0), IFERROR(MATCH(A280&amp;" (*",'Location Master'!$G$2:$G$502,0), MATCH(A280&amp;"*",'Location Master'!$G$2:$G$502,0)))), ""))</f>
        <v/>
      </c>
      <c r="E280" s="154"/>
      <c r="F280" s="75" t="str">
        <f>IF(A280="","",SUMIFS('Stock Movement'!$F:$F,'Stock Movement'!$B:$B,A280,'Stock Movement'!$E:$E,"IN"))</f>
        <v/>
      </c>
      <c r="G280" s="75" t="str">
        <f>IF(A280="","",SUMIFS('Stock Movement'!$F:$F,'Stock Movement'!$B:$B,A280,'Stock Movement'!$E:$E,"OUT"))</f>
        <v/>
      </c>
      <c r="H280" s="75" t="str">
        <f t="shared" si="1"/>
        <v/>
      </c>
      <c r="I280" s="150"/>
      <c r="J280" s="154"/>
      <c r="K280" s="91" t="str">
        <f t="shared" si="2"/>
        <v/>
      </c>
    </row>
    <row r="281" ht="15.75" customHeight="1">
      <c r="A281" s="147"/>
      <c r="B281" s="155"/>
      <c r="C281" s="147"/>
      <c r="D281" s="147" t="str">
        <f t="array" ref="D281">IF(A281="","",IFERROR(INDEX('Location Master'!$E$2:$E$502, IFERROR(MATCH(A281,'Location Master'!$G$2:$G$502,0), IFERROR(MATCH(A281&amp;" (*",'Location Master'!$G$2:$G$502,0), MATCH(A281&amp;"*",'Location Master'!$G$2:$G$502,0)))), ""))</f>
        <v/>
      </c>
      <c r="E281" s="156"/>
      <c r="F281" s="86" t="str">
        <f>IF(A281="","",SUMIFS('Stock Movement'!$F:$F,'Stock Movement'!$B:$B,A281,'Stock Movement'!$E:$E,"IN"))</f>
        <v/>
      </c>
      <c r="G281" s="86" t="str">
        <f>IF(A281="","",SUMIFS('Stock Movement'!$F:$F,'Stock Movement'!$B:$B,A281,'Stock Movement'!$E:$E,"OUT"))</f>
        <v/>
      </c>
      <c r="H281" s="86" t="str">
        <f t="shared" si="1"/>
        <v/>
      </c>
      <c r="I281" s="147"/>
      <c r="J281" s="156"/>
      <c r="K281" s="83" t="str">
        <f t="shared" si="2"/>
        <v/>
      </c>
    </row>
    <row r="282" ht="15.75" customHeight="1">
      <c r="A282" s="150"/>
      <c r="B282" s="153"/>
      <c r="C282" s="150"/>
      <c r="D282" s="150" t="str">
        <f t="array" ref="D282">IF(A282="","",IFERROR(INDEX('Location Master'!$E$2:$E$502, IFERROR(MATCH(A282,'Location Master'!$G$2:$G$502,0), IFERROR(MATCH(A282&amp;" (*",'Location Master'!$G$2:$G$502,0), MATCH(A282&amp;"*",'Location Master'!$G$2:$G$502,0)))), ""))</f>
        <v/>
      </c>
      <c r="E282" s="154"/>
      <c r="F282" s="75" t="str">
        <f>IF(A282="","",SUMIFS('Stock Movement'!$F:$F,'Stock Movement'!$B:$B,A282,'Stock Movement'!$E:$E,"IN"))</f>
        <v/>
      </c>
      <c r="G282" s="75" t="str">
        <f>IF(A282="","",SUMIFS('Stock Movement'!$F:$F,'Stock Movement'!$B:$B,A282,'Stock Movement'!$E:$E,"OUT"))</f>
        <v/>
      </c>
      <c r="H282" s="75" t="str">
        <f t="shared" si="1"/>
        <v/>
      </c>
      <c r="I282" s="150"/>
      <c r="J282" s="154"/>
      <c r="K282" s="91" t="str">
        <f t="shared" si="2"/>
        <v/>
      </c>
    </row>
    <row r="283" ht="15.75" customHeight="1">
      <c r="A283" s="147"/>
      <c r="B283" s="155"/>
      <c r="C283" s="147"/>
      <c r="D283" s="147" t="str">
        <f t="array" ref="D283">IF(A283="","",IFERROR(INDEX('Location Master'!$E$2:$E$502, IFERROR(MATCH(A283,'Location Master'!$G$2:$G$502,0), IFERROR(MATCH(A283&amp;" (*",'Location Master'!$G$2:$G$502,0), MATCH(A283&amp;"*",'Location Master'!$G$2:$G$502,0)))), ""))</f>
        <v/>
      </c>
      <c r="E283" s="156"/>
      <c r="F283" s="86" t="str">
        <f>IF(A283="","",SUMIFS('Stock Movement'!$F:$F,'Stock Movement'!$B:$B,A283,'Stock Movement'!$E:$E,"IN"))</f>
        <v/>
      </c>
      <c r="G283" s="86" t="str">
        <f>IF(A283="","",SUMIFS('Stock Movement'!$F:$F,'Stock Movement'!$B:$B,A283,'Stock Movement'!$E:$E,"OUT"))</f>
        <v/>
      </c>
      <c r="H283" s="86" t="str">
        <f t="shared" si="1"/>
        <v/>
      </c>
      <c r="I283" s="147"/>
      <c r="J283" s="156"/>
      <c r="K283" s="83" t="str">
        <f t="shared" si="2"/>
        <v/>
      </c>
    </row>
    <row r="284" ht="15.75" customHeight="1">
      <c r="A284" s="150"/>
      <c r="B284" s="153"/>
      <c r="C284" s="150"/>
      <c r="D284" s="150" t="str">
        <f t="array" ref="D284">IF(A284="","",IFERROR(INDEX('Location Master'!$E$2:$E$502, IFERROR(MATCH(A284,'Location Master'!$G$2:$G$502,0), IFERROR(MATCH(A284&amp;" (*",'Location Master'!$G$2:$G$502,0), MATCH(A284&amp;"*",'Location Master'!$G$2:$G$502,0)))), ""))</f>
        <v/>
      </c>
      <c r="E284" s="154"/>
      <c r="F284" s="75" t="str">
        <f>IF(A284="","",SUMIFS('Stock Movement'!$F:$F,'Stock Movement'!$B:$B,A284,'Stock Movement'!$E:$E,"IN"))</f>
        <v/>
      </c>
      <c r="G284" s="75" t="str">
        <f>IF(A284="","",SUMIFS('Stock Movement'!$F:$F,'Stock Movement'!$B:$B,A284,'Stock Movement'!$E:$E,"OUT"))</f>
        <v/>
      </c>
      <c r="H284" s="75" t="str">
        <f t="shared" si="1"/>
        <v/>
      </c>
      <c r="I284" s="150"/>
      <c r="J284" s="154"/>
      <c r="K284" s="91" t="str">
        <f t="shared" si="2"/>
        <v/>
      </c>
    </row>
    <row r="285" ht="15.75" customHeight="1">
      <c r="A285" s="147"/>
      <c r="B285" s="155"/>
      <c r="C285" s="147"/>
      <c r="D285" s="147" t="str">
        <f t="array" ref="D285">IF(A285="","",IFERROR(INDEX('Location Master'!$E$2:$E$502, IFERROR(MATCH(A285,'Location Master'!$G$2:$G$502,0), IFERROR(MATCH(A285&amp;" (*",'Location Master'!$G$2:$G$502,0), MATCH(A285&amp;"*",'Location Master'!$G$2:$G$502,0)))), ""))</f>
        <v/>
      </c>
      <c r="E285" s="156"/>
      <c r="F285" s="86" t="str">
        <f>IF(A285="","",SUMIFS('Stock Movement'!$F:$F,'Stock Movement'!$B:$B,A285,'Stock Movement'!$E:$E,"IN"))</f>
        <v/>
      </c>
      <c r="G285" s="86" t="str">
        <f>IF(A285="","",SUMIFS('Stock Movement'!$F:$F,'Stock Movement'!$B:$B,A285,'Stock Movement'!$E:$E,"OUT"))</f>
        <v/>
      </c>
      <c r="H285" s="86" t="str">
        <f t="shared" si="1"/>
        <v/>
      </c>
      <c r="I285" s="147"/>
      <c r="J285" s="156"/>
      <c r="K285" s="83" t="str">
        <f t="shared" si="2"/>
        <v/>
      </c>
    </row>
    <row r="286" ht="15.75" customHeight="1">
      <c r="A286" s="150"/>
      <c r="B286" s="153"/>
      <c r="C286" s="150"/>
      <c r="D286" s="150" t="str">
        <f t="array" ref="D286">IF(A286="","",IFERROR(INDEX('Location Master'!$E$2:$E$502, IFERROR(MATCH(A286,'Location Master'!$G$2:$G$502,0), IFERROR(MATCH(A286&amp;" (*",'Location Master'!$G$2:$G$502,0), MATCH(A286&amp;"*",'Location Master'!$G$2:$G$502,0)))), ""))</f>
        <v/>
      </c>
      <c r="E286" s="154"/>
      <c r="F286" s="75" t="str">
        <f>IF(A286="","",SUMIFS('Stock Movement'!$F:$F,'Stock Movement'!$B:$B,A286,'Stock Movement'!$E:$E,"IN"))</f>
        <v/>
      </c>
      <c r="G286" s="75" t="str">
        <f>IF(A286="","",SUMIFS('Stock Movement'!$F:$F,'Stock Movement'!$B:$B,A286,'Stock Movement'!$E:$E,"OUT"))</f>
        <v/>
      </c>
      <c r="H286" s="75" t="str">
        <f t="shared" si="1"/>
        <v/>
      </c>
      <c r="I286" s="150"/>
      <c r="J286" s="154"/>
      <c r="K286" s="91" t="str">
        <f t="shared" si="2"/>
        <v/>
      </c>
    </row>
    <row r="287" ht="15.75" customHeight="1">
      <c r="A287" s="147"/>
      <c r="B287" s="155"/>
      <c r="C287" s="147"/>
      <c r="D287" s="147" t="str">
        <f t="array" ref="D287">IF(A287="","",IFERROR(INDEX('Location Master'!$E$2:$E$502, IFERROR(MATCH(A287,'Location Master'!$G$2:$G$502,0), IFERROR(MATCH(A287&amp;" (*",'Location Master'!$G$2:$G$502,0), MATCH(A287&amp;"*",'Location Master'!$G$2:$G$502,0)))), ""))</f>
        <v/>
      </c>
      <c r="E287" s="156"/>
      <c r="F287" s="86" t="str">
        <f>IF(A287="","",SUMIFS('Stock Movement'!$F:$F,'Stock Movement'!$B:$B,A287,'Stock Movement'!$E:$E,"IN"))</f>
        <v/>
      </c>
      <c r="G287" s="86" t="str">
        <f>IF(A287="","",SUMIFS('Stock Movement'!$F:$F,'Stock Movement'!$B:$B,A287,'Stock Movement'!$E:$E,"OUT"))</f>
        <v/>
      </c>
      <c r="H287" s="86" t="str">
        <f t="shared" si="1"/>
        <v/>
      </c>
      <c r="I287" s="147"/>
      <c r="J287" s="156"/>
      <c r="K287" s="83" t="str">
        <f t="shared" si="2"/>
        <v/>
      </c>
    </row>
    <row r="288" ht="15.75" customHeight="1">
      <c r="A288" s="150"/>
      <c r="B288" s="153"/>
      <c r="C288" s="150"/>
      <c r="D288" s="150" t="str">
        <f t="array" ref="D288">IF(A288="","",IFERROR(INDEX('Location Master'!$E$2:$E$502, IFERROR(MATCH(A288,'Location Master'!$G$2:$G$502,0), IFERROR(MATCH(A288&amp;" (*",'Location Master'!$G$2:$G$502,0), MATCH(A288&amp;"*",'Location Master'!$G$2:$G$502,0)))), ""))</f>
        <v/>
      </c>
      <c r="E288" s="154"/>
      <c r="F288" s="75" t="str">
        <f>IF(A288="","",SUMIFS('Stock Movement'!$F:$F,'Stock Movement'!$B:$B,A288,'Stock Movement'!$E:$E,"IN"))</f>
        <v/>
      </c>
      <c r="G288" s="75" t="str">
        <f>IF(A288="","",SUMIFS('Stock Movement'!$F:$F,'Stock Movement'!$B:$B,A288,'Stock Movement'!$E:$E,"OUT"))</f>
        <v/>
      </c>
      <c r="H288" s="75" t="str">
        <f t="shared" si="1"/>
        <v/>
      </c>
      <c r="I288" s="150"/>
      <c r="J288" s="154"/>
      <c r="K288" s="91" t="str">
        <f t="shared" si="2"/>
        <v/>
      </c>
    </row>
    <row r="289" ht="15.75" customHeight="1">
      <c r="A289" s="147"/>
      <c r="B289" s="155"/>
      <c r="C289" s="147"/>
      <c r="D289" s="147" t="str">
        <f t="array" ref="D289">IF(A289="","",IFERROR(INDEX('Location Master'!$E$2:$E$502, IFERROR(MATCH(A289,'Location Master'!$G$2:$G$502,0), IFERROR(MATCH(A289&amp;" (*",'Location Master'!$G$2:$G$502,0), MATCH(A289&amp;"*",'Location Master'!$G$2:$G$502,0)))), ""))</f>
        <v/>
      </c>
      <c r="E289" s="156"/>
      <c r="F289" s="86" t="str">
        <f>IF(A289="","",SUMIFS('Stock Movement'!$F:$F,'Stock Movement'!$B:$B,A289,'Stock Movement'!$E:$E,"IN"))</f>
        <v/>
      </c>
      <c r="G289" s="86" t="str">
        <f>IF(A289="","",SUMIFS('Stock Movement'!$F:$F,'Stock Movement'!$B:$B,A289,'Stock Movement'!$E:$E,"OUT"))</f>
        <v/>
      </c>
      <c r="H289" s="86" t="str">
        <f t="shared" si="1"/>
        <v/>
      </c>
      <c r="I289" s="147"/>
      <c r="J289" s="156"/>
      <c r="K289" s="83" t="str">
        <f t="shared" si="2"/>
        <v/>
      </c>
    </row>
    <row r="290" ht="15.75" customHeight="1">
      <c r="A290" s="150"/>
      <c r="B290" s="153"/>
      <c r="C290" s="150"/>
      <c r="D290" s="150" t="str">
        <f t="array" ref="D290">IF(A290="","",IFERROR(INDEX('Location Master'!$E$2:$E$502, IFERROR(MATCH(A290,'Location Master'!$G$2:$G$502,0), IFERROR(MATCH(A290&amp;" (*",'Location Master'!$G$2:$G$502,0), MATCH(A290&amp;"*",'Location Master'!$G$2:$G$502,0)))), ""))</f>
        <v/>
      </c>
      <c r="E290" s="154"/>
      <c r="F290" s="75" t="str">
        <f>IF(A290="","",SUMIFS('Stock Movement'!$F:$F,'Stock Movement'!$B:$B,A290,'Stock Movement'!$E:$E,"IN"))</f>
        <v/>
      </c>
      <c r="G290" s="75" t="str">
        <f>IF(A290="","",SUMIFS('Stock Movement'!$F:$F,'Stock Movement'!$B:$B,A290,'Stock Movement'!$E:$E,"OUT"))</f>
        <v/>
      </c>
      <c r="H290" s="75" t="str">
        <f t="shared" si="1"/>
        <v/>
      </c>
      <c r="I290" s="150"/>
      <c r="J290" s="154"/>
      <c r="K290" s="91" t="str">
        <f t="shared" si="2"/>
        <v/>
      </c>
    </row>
    <row r="291" ht="15.75" customHeight="1">
      <c r="A291" s="147"/>
      <c r="B291" s="155"/>
      <c r="C291" s="147"/>
      <c r="D291" s="147" t="str">
        <f t="array" ref="D291">IF(A291="","",IFERROR(INDEX('Location Master'!$E$2:$E$502, IFERROR(MATCH(A291,'Location Master'!$G$2:$G$502,0), IFERROR(MATCH(A291&amp;" (*",'Location Master'!$G$2:$G$502,0), MATCH(A291&amp;"*",'Location Master'!$G$2:$G$502,0)))), ""))</f>
        <v/>
      </c>
      <c r="E291" s="156"/>
      <c r="F291" s="86" t="str">
        <f>IF(A291="","",SUMIFS('Stock Movement'!$F:$F,'Stock Movement'!$B:$B,A291,'Stock Movement'!$E:$E,"IN"))</f>
        <v/>
      </c>
      <c r="G291" s="86" t="str">
        <f>IF(A291="","",SUMIFS('Stock Movement'!$F:$F,'Stock Movement'!$B:$B,A291,'Stock Movement'!$E:$E,"OUT"))</f>
        <v/>
      </c>
      <c r="H291" s="86" t="str">
        <f t="shared" si="1"/>
        <v/>
      </c>
      <c r="I291" s="147"/>
      <c r="J291" s="156"/>
      <c r="K291" s="83" t="str">
        <f t="shared" si="2"/>
        <v/>
      </c>
    </row>
    <row r="292" ht="15.75" customHeight="1">
      <c r="A292" s="150"/>
      <c r="B292" s="153"/>
      <c r="C292" s="150"/>
      <c r="D292" s="150" t="str">
        <f t="array" ref="D292">IF(A292="","",IFERROR(INDEX('Location Master'!$E$2:$E$502, IFERROR(MATCH(A292,'Location Master'!$G$2:$G$502,0), IFERROR(MATCH(A292&amp;" (*",'Location Master'!$G$2:$G$502,0), MATCH(A292&amp;"*",'Location Master'!$G$2:$G$502,0)))), ""))</f>
        <v/>
      </c>
      <c r="E292" s="154"/>
      <c r="F292" s="75" t="str">
        <f>IF(A292="","",SUMIFS('Stock Movement'!$F:$F,'Stock Movement'!$B:$B,A292,'Stock Movement'!$E:$E,"IN"))</f>
        <v/>
      </c>
      <c r="G292" s="75" t="str">
        <f>IF(A292="","",SUMIFS('Stock Movement'!$F:$F,'Stock Movement'!$B:$B,A292,'Stock Movement'!$E:$E,"OUT"))</f>
        <v/>
      </c>
      <c r="H292" s="75" t="str">
        <f t="shared" si="1"/>
        <v/>
      </c>
      <c r="I292" s="150"/>
      <c r="J292" s="154"/>
      <c r="K292" s="91" t="str">
        <f t="shared" si="2"/>
        <v/>
      </c>
    </row>
    <row r="293" ht="15.75" customHeight="1">
      <c r="A293" s="147"/>
      <c r="B293" s="155"/>
      <c r="C293" s="147"/>
      <c r="D293" s="147" t="str">
        <f t="array" ref="D293">IF(A293="","",IFERROR(INDEX('Location Master'!$E$2:$E$502, IFERROR(MATCH(A293,'Location Master'!$G$2:$G$502,0), IFERROR(MATCH(A293&amp;" (*",'Location Master'!$G$2:$G$502,0), MATCH(A293&amp;"*",'Location Master'!$G$2:$G$502,0)))), ""))</f>
        <v/>
      </c>
      <c r="E293" s="156"/>
      <c r="F293" s="86" t="str">
        <f>IF(A293="","",SUMIFS('Stock Movement'!$F:$F,'Stock Movement'!$B:$B,A293,'Stock Movement'!$E:$E,"IN"))</f>
        <v/>
      </c>
      <c r="G293" s="86" t="str">
        <f>IF(A293="","",SUMIFS('Stock Movement'!$F:$F,'Stock Movement'!$B:$B,A293,'Stock Movement'!$E:$E,"OUT"))</f>
        <v/>
      </c>
      <c r="H293" s="86" t="str">
        <f t="shared" si="1"/>
        <v/>
      </c>
      <c r="I293" s="147"/>
      <c r="J293" s="156"/>
      <c r="K293" s="83" t="str">
        <f t="shared" si="2"/>
        <v/>
      </c>
    </row>
    <row r="294" ht="15.75" customHeight="1">
      <c r="A294" s="150"/>
      <c r="B294" s="153"/>
      <c r="C294" s="150"/>
      <c r="D294" s="150" t="str">
        <f t="array" ref="D294">IF(A294="","",IFERROR(INDEX('Location Master'!$E$2:$E$502, IFERROR(MATCH(A294,'Location Master'!$G$2:$G$502,0), IFERROR(MATCH(A294&amp;" (*",'Location Master'!$G$2:$G$502,0), MATCH(A294&amp;"*",'Location Master'!$G$2:$G$502,0)))), ""))</f>
        <v/>
      </c>
      <c r="E294" s="154"/>
      <c r="F294" s="75" t="str">
        <f>IF(A294="","",SUMIFS('Stock Movement'!$F:$F,'Stock Movement'!$B:$B,A294,'Stock Movement'!$E:$E,"IN"))</f>
        <v/>
      </c>
      <c r="G294" s="75" t="str">
        <f>IF(A294="","",SUMIFS('Stock Movement'!$F:$F,'Stock Movement'!$B:$B,A294,'Stock Movement'!$E:$E,"OUT"))</f>
        <v/>
      </c>
      <c r="H294" s="75" t="str">
        <f t="shared" si="1"/>
        <v/>
      </c>
      <c r="I294" s="150"/>
      <c r="J294" s="154"/>
      <c r="K294" s="91" t="str">
        <f t="shared" si="2"/>
        <v/>
      </c>
    </row>
    <row r="295" ht="15.75" customHeight="1">
      <c r="A295" s="147"/>
      <c r="B295" s="155"/>
      <c r="C295" s="147"/>
      <c r="D295" s="147" t="str">
        <f t="array" ref="D295">IF(A295="","",IFERROR(INDEX('Location Master'!$E$2:$E$502, IFERROR(MATCH(A295,'Location Master'!$G$2:$G$502,0), IFERROR(MATCH(A295&amp;" (*",'Location Master'!$G$2:$G$502,0), MATCH(A295&amp;"*",'Location Master'!$G$2:$G$502,0)))), ""))</f>
        <v/>
      </c>
      <c r="E295" s="156"/>
      <c r="F295" s="86" t="str">
        <f>IF(A295="","",SUMIFS('Stock Movement'!$F:$F,'Stock Movement'!$B:$B,A295,'Stock Movement'!$E:$E,"IN"))</f>
        <v/>
      </c>
      <c r="G295" s="86" t="str">
        <f>IF(A295="","",SUMIFS('Stock Movement'!$F:$F,'Stock Movement'!$B:$B,A295,'Stock Movement'!$E:$E,"OUT"))</f>
        <v/>
      </c>
      <c r="H295" s="86" t="str">
        <f t="shared" si="1"/>
        <v/>
      </c>
      <c r="I295" s="147"/>
      <c r="J295" s="156"/>
      <c r="K295" s="83" t="str">
        <f t="shared" si="2"/>
        <v/>
      </c>
    </row>
    <row r="296" ht="15.75" customHeight="1">
      <c r="A296" s="150"/>
      <c r="B296" s="153"/>
      <c r="C296" s="150"/>
      <c r="D296" s="150" t="str">
        <f t="array" ref="D296">IF(A296="","",IFERROR(INDEX('Location Master'!$E$2:$E$502, IFERROR(MATCH(A296,'Location Master'!$G$2:$G$502,0), IFERROR(MATCH(A296&amp;" (*",'Location Master'!$G$2:$G$502,0), MATCH(A296&amp;"*",'Location Master'!$G$2:$G$502,0)))), ""))</f>
        <v/>
      </c>
      <c r="E296" s="154"/>
      <c r="F296" s="75" t="str">
        <f>IF(A296="","",SUMIFS('Stock Movement'!$F:$F,'Stock Movement'!$B:$B,A296,'Stock Movement'!$E:$E,"IN"))</f>
        <v/>
      </c>
      <c r="G296" s="75" t="str">
        <f>IF(A296="","",SUMIFS('Stock Movement'!$F:$F,'Stock Movement'!$B:$B,A296,'Stock Movement'!$E:$E,"OUT"))</f>
        <v/>
      </c>
      <c r="H296" s="75" t="str">
        <f t="shared" si="1"/>
        <v/>
      </c>
      <c r="I296" s="150"/>
      <c r="J296" s="154"/>
      <c r="K296" s="91" t="str">
        <f t="shared" si="2"/>
        <v/>
      </c>
    </row>
    <row r="297" ht="15.75" customHeight="1">
      <c r="A297" s="147"/>
      <c r="B297" s="155"/>
      <c r="C297" s="147"/>
      <c r="D297" s="147" t="str">
        <f t="array" ref="D297">IF(A297="","",IFERROR(INDEX('Location Master'!$E$2:$E$502, IFERROR(MATCH(A297,'Location Master'!$G$2:$G$502,0), IFERROR(MATCH(A297&amp;" (*",'Location Master'!$G$2:$G$502,0), MATCH(A297&amp;"*",'Location Master'!$G$2:$G$502,0)))), ""))</f>
        <v/>
      </c>
      <c r="E297" s="156"/>
      <c r="F297" s="86" t="str">
        <f>IF(A297="","",SUMIFS('Stock Movement'!$F:$F,'Stock Movement'!$B:$B,A297,'Stock Movement'!$E:$E,"IN"))</f>
        <v/>
      </c>
      <c r="G297" s="86" t="str">
        <f>IF(A297="","",SUMIFS('Stock Movement'!$F:$F,'Stock Movement'!$B:$B,A297,'Stock Movement'!$E:$E,"OUT"))</f>
        <v/>
      </c>
      <c r="H297" s="86" t="str">
        <f t="shared" si="1"/>
        <v/>
      </c>
      <c r="I297" s="147"/>
      <c r="J297" s="156"/>
      <c r="K297" s="83" t="str">
        <f t="shared" si="2"/>
        <v/>
      </c>
    </row>
    <row r="298" ht="15.75" customHeight="1">
      <c r="A298" s="150"/>
      <c r="B298" s="153"/>
      <c r="C298" s="150"/>
      <c r="D298" s="150" t="str">
        <f t="array" ref="D298">IF(A298="","",IFERROR(INDEX('Location Master'!$E$2:$E$502, IFERROR(MATCH(A298,'Location Master'!$G$2:$G$502,0), IFERROR(MATCH(A298&amp;" (*",'Location Master'!$G$2:$G$502,0), MATCH(A298&amp;"*",'Location Master'!$G$2:$G$502,0)))), ""))</f>
        <v/>
      </c>
      <c r="E298" s="154"/>
      <c r="F298" s="75" t="str">
        <f>IF(A298="","",SUMIFS('Stock Movement'!$F:$F,'Stock Movement'!$B:$B,A298,'Stock Movement'!$E:$E,"IN"))</f>
        <v/>
      </c>
      <c r="G298" s="75" t="str">
        <f>IF(A298="","",SUMIFS('Stock Movement'!$F:$F,'Stock Movement'!$B:$B,A298,'Stock Movement'!$E:$E,"OUT"))</f>
        <v/>
      </c>
      <c r="H298" s="75" t="str">
        <f t="shared" si="1"/>
        <v/>
      </c>
      <c r="I298" s="150"/>
      <c r="J298" s="154"/>
      <c r="K298" s="91" t="str">
        <f t="shared" si="2"/>
        <v/>
      </c>
    </row>
    <row r="299" ht="15.75" customHeight="1">
      <c r="A299" s="147"/>
      <c r="B299" s="155"/>
      <c r="C299" s="147"/>
      <c r="D299" s="147" t="str">
        <f t="array" ref="D299">IF(A299="","",IFERROR(INDEX('Location Master'!$E$2:$E$502, IFERROR(MATCH(A299,'Location Master'!$G$2:$G$502,0), IFERROR(MATCH(A299&amp;" (*",'Location Master'!$G$2:$G$502,0), MATCH(A299&amp;"*",'Location Master'!$G$2:$G$502,0)))), ""))</f>
        <v/>
      </c>
      <c r="E299" s="156"/>
      <c r="F299" s="86" t="str">
        <f>IF(A299="","",SUMIFS('Stock Movement'!$F:$F,'Stock Movement'!$B:$B,A299,'Stock Movement'!$E:$E,"IN"))</f>
        <v/>
      </c>
      <c r="G299" s="86" t="str">
        <f>IF(A299="","",SUMIFS('Stock Movement'!$F:$F,'Stock Movement'!$B:$B,A299,'Stock Movement'!$E:$E,"OUT"))</f>
        <v/>
      </c>
      <c r="H299" s="86" t="str">
        <f t="shared" si="1"/>
        <v/>
      </c>
      <c r="I299" s="147"/>
      <c r="J299" s="156"/>
      <c r="K299" s="83" t="str">
        <f t="shared" si="2"/>
        <v/>
      </c>
    </row>
    <row r="300" ht="15.75" customHeight="1">
      <c r="A300" s="150"/>
      <c r="B300" s="153"/>
      <c r="C300" s="150"/>
      <c r="D300" s="150" t="str">
        <f t="array" ref="D300">IF(A300="","",IFERROR(INDEX('Location Master'!$E$2:$E$502, IFERROR(MATCH(A300,'Location Master'!$G$2:$G$502,0), IFERROR(MATCH(A300&amp;" (*",'Location Master'!$G$2:$G$502,0), MATCH(A300&amp;"*",'Location Master'!$G$2:$G$502,0)))), ""))</f>
        <v/>
      </c>
      <c r="E300" s="154"/>
      <c r="F300" s="75" t="str">
        <f>IF(A300="","",SUMIFS('Stock Movement'!$F:$F,'Stock Movement'!$B:$B,A300,'Stock Movement'!$E:$E,"IN"))</f>
        <v/>
      </c>
      <c r="G300" s="75" t="str">
        <f>IF(A300="","",SUMIFS('Stock Movement'!$F:$F,'Stock Movement'!$B:$B,A300,'Stock Movement'!$E:$E,"OUT"))</f>
        <v/>
      </c>
      <c r="H300" s="75" t="str">
        <f t="shared" si="1"/>
        <v/>
      </c>
      <c r="I300" s="150"/>
      <c r="J300" s="154"/>
      <c r="K300" s="91" t="str">
        <f t="shared" si="2"/>
        <v/>
      </c>
    </row>
    <row r="301" ht="15.75" customHeight="1">
      <c r="A301" s="147"/>
      <c r="B301" s="155"/>
      <c r="C301" s="147"/>
      <c r="D301" s="147" t="str">
        <f t="array" ref="D301">IF(A301="","",IFERROR(INDEX('Location Master'!$E$2:$E$502, IFERROR(MATCH(A301,'Location Master'!$G$2:$G$502,0), IFERROR(MATCH(A301&amp;" (*",'Location Master'!$G$2:$G$502,0), MATCH(A301&amp;"*",'Location Master'!$G$2:$G$502,0)))), ""))</f>
        <v/>
      </c>
      <c r="E301" s="156"/>
      <c r="F301" s="86" t="str">
        <f>IF(A301="","",SUMIFS('Stock Movement'!$F:$F,'Stock Movement'!$B:$B,A301,'Stock Movement'!$E:$E,"IN"))</f>
        <v/>
      </c>
      <c r="G301" s="86" t="str">
        <f>IF(A301="","",SUMIFS('Stock Movement'!$F:$F,'Stock Movement'!$B:$B,A301,'Stock Movement'!$E:$E,"OUT"))</f>
        <v/>
      </c>
      <c r="H301" s="86" t="str">
        <f t="shared" si="1"/>
        <v/>
      </c>
      <c r="I301" s="147"/>
      <c r="J301" s="156"/>
      <c r="K301" s="83" t="str">
        <f t="shared" si="2"/>
        <v/>
      </c>
    </row>
    <row r="302" ht="15.75" customHeight="1">
      <c r="A302" s="150"/>
      <c r="B302" s="153"/>
      <c r="C302" s="150"/>
      <c r="D302" s="150" t="str">
        <f t="array" ref="D302">IF(A302="","",IFERROR(INDEX('Location Master'!$E$2:$E$502, IFERROR(MATCH(A302,'Location Master'!$G$2:$G$502,0), IFERROR(MATCH(A302&amp;" (*",'Location Master'!$G$2:$G$502,0), MATCH(A302&amp;"*",'Location Master'!$G$2:$G$502,0)))), ""))</f>
        <v/>
      </c>
      <c r="E302" s="154"/>
      <c r="F302" s="75" t="str">
        <f>IF(A302="","",SUMIFS('Stock Movement'!$F:$F,'Stock Movement'!$B:$B,A302,'Stock Movement'!$E:$E,"IN"))</f>
        <v/>
      </c>
      <c r="G302" s="75" t="str">
        <f>IF(A302="","",SUMIFS('Stock Movement'!$F:$F,'Stock Movement'!$B:$B,A302,'Stock Movement'!$E:$E,"OUT"))</f>
        <v/>
      </c>
      <c r="H302" s="75" t="str">
        <f t="shared" si="1"/>
        <v/>
      </c>
      <c r="I302" s="150"/>
      <c r="J302" s="154"/>
      <c r="K302" s="91" t="str">
        <f t="shared" si="2"/>
        <v/>
      </c>
    </row>
    <row r="303" ht="15.75" customHeight="1">
      <c r="A303" s="147"/>
      <c r="B303" s="155"/>
      <c r="C303" s="147"/>
      <c r="D303" s="147" t="str">
        <f t="array" ref="D303">IF(A303="","",IFERROR(INDEX('Location Master'!$E$2:$E$502, IFERROR(MATCH(A303,'Location Master'!$G$2:$G$502,0), IFERROR(MATCH(A303&amp;" (*",'Location Master'!$G$2:$G$502,0), MATCH(A303&amp;"*",'Location Master'!$G$2:$G$502,0)))), ""))</f>
        <v/>
      </c>
      <c r="E303" s="156"/>
      <c r="F303" s="86" t="str">
        <f>IF(A303="","",SUMIFS('Stock Movement'!$F:$F,'Stock Movement'!$B:$B,A303,'Stock Movement'!$E:$E,"IN"))</f>
        <v/>
      </c>
      <c r="G303" s="86" t="str">
        <f>IF(A303="","",SUMIFS('Stock Movement'!$F:$F,'Stock Movement'!$B:$B,A303,'Stock Movement'!$E:$E,"OUT"))</f>
        <v/>
      </c>
      <c r="H303" s="86" t="str">
        <f t="shared" si="1"/>
        <v/>
      </c>
      <c r="I303" s="147"/>
      <c r="J303" s="156"/>
      <c r="K303" s="83" t="str">
        <f t="shared" si="2"/>
        <v/>
      </c>
    </row>
    <row r="304" ht="15.75" customHeight="1">
      <c r="A304" s="150"/>
      <c r="B304" s="153"/>
      <c r="C304" s="150"/>
      <c r="D304" s="150" t="str">
        <f t="array" ref="D304">IF(A304="","",IFERROR(INDEX('Location Master'!$E$2:$E$502, IFERROR(MATCH(A304,'Location Master'!$G$2:$G$502,0), IFERROR(MATCH(A304&amp;" (*",'Location Master'!$G$2:$G$502,0), MATCH(A304&amp;"*",'Location Master'!$G$2:$G$502,0)))), ""))</f>
        <v/>
      </c>
      <c r="E304" s="154"/>
      <c r="F304" s="75" t="str">
        <f>IF(A304="","",SUMIFS('Stock Movement'!$F:$F,'Stock Movement'!$B:$B,A304,'Stock Movement'!$E:$E,"IN"))</f>
        <v/>
      </c>
      <c r="G304" s="75" t="str">
        <f>IF(A304="","",SUMIFS('Stock Movement'!$F:$F,'Stock Movement'!$B:$B,A304,'Stock Movement'!$E:$E,"OUT"))</f>
        <v/>
      </c>
      <c r="H304" s="75" t="str">
        <f t="shared" si="1"/>
        <v/>
      </c>
      <c r="I304" s="150"/>
      <c r="J304" s="154"/>
      <c r="K304" s="91" t="str">
        <f t="shared" si="2"/>
        <v/>
      </c>
    </row>
    <row r="305" ht="15.75" customHeight="1">
      <c r="A305" s="147"/>
      <c r="B305" s="155"/>
      <c r="C305" s="147"/>
      <c r="D305" s="147" t="str">
        <f t="array" ref="D305">IF(A305="","",IFERROR(INDEX('Location Master'!$E$2:$E$502, IFERROR(MATCH(A305,'Location Master'!$G$2:$G$502,0), IFERROR(MATCH(A305&amp;" (*",'Location Master'!$G$2:$G$502,0), MATCH(A305&amp;"*",'Location Master'!$G$2:$G$502,0)))), ""))</f>
        <v/>
      </c>
      <c r="E305" s="156"/>
      <c r="F305" s="86" t="str">
        <f>IF(A305="","",SUMIFS('Stock Movement'!$F:$F,'Stock Movement'!$B:$B,A305,'Stock Movement'!$E:$E,"IN"))</f>
        <v/>
      </c>
      <c r="G305" s="86" t="str">
        <f>IF(A305="","",SUMIFS('Stock Movement'!$F:$F,'Stock Movement'!$B:$B,A305,'Stock Movement'!$E:$E,"OUT"))</f>
        <v/>
      </c>
      <c r="H305" s="86" t="str">
        <f t="shared" si="1"/>
        <v/>
      </c>
      <c r="I305" s="147"/>
      <c r="J305" s="156"/>
      <c r="K305" s="83" t="str">
        <f t="shared" si="2"/>
        <v/>
      </c>
    </row>
    <row r="306" ht="15.75" customHeight="1">
      <c r="A306" s="150"/>
      <c r="B306" s="153"/>
      <c r="C306" s="150"/>
      <c r="D306" s="150" t="str">
        <f t="array" ref="D306">IF(A306="","",IFERROR(INDEX('Location Master'!$E$2:$E$502, IFERROR(MATCH(A306,'Location Master'!$G$2:$G$502,0), IFERROR(MATCH(A306&amp;" (*",'Location Master'!$G$2:$G$502,0), MATCH(A306&amp;"*",'Location Master'!$G$2:$G$502,0)))), ""))</f>
        <v/>
      </c>
      <c r="E306" s="154"/>
      <c r="F306" s="75" t="str">
        <f>IF(A306="","",SUMIFS('Stock Movement'!$F:$F,'Stock Movement'!$B:$B,A306,'Stock Movement'!$E:$E,"IN"))</f>
        <v/>
      </c>
      <c r="G306" s="75" t="str">
        <f>IF(A306="","",SUMIFS('Stock Movement'!$F:$F,'Stock Movement'!$B:$B,A306,'Stock Movement'!$E:$E,"OUT"))</f>
        <v/>
      </c>
      <c r="H306" s="75" t="str">
        <f t="shared" si="1"/>
        <v/>
      </c>
      <c r="I306" s="150"/>
      <c r="J306" s="154"/>
      <c r="K306" s="91" t="str">
        <f t="shared" si="2"/>
        <v/>
      </c>
    </row>
    <row r="307" ht="15.75" customHeight="1">
      <c r="A307" s="147"/>
      <c r="B307" s="155"/>
      <c r="C307" s="147"/>
      <c r="D307" s="147" t="str">
        <f t="array" ref="D307">IF(A307="","",IFERROR(INDEX('Location Master'!$E$2:$E$502, IFERROR(MATCH(A307,'Location Master'!$G$2:$G$502,0), IFERROR(MATCH(A307&amp;" (*",'Location Master'!$G$2:$G$502,0), MATCH(A307&amp;"*",'Location Master'!$G$2:$G$502,0)))), ""))</f>
        <v/>
      </c>
      <c r="E307" s="156"/>
      <c r="F307" s="86" t="str">
        <f>IF(A307="","",SUMIFS('Stock Movement'!$F:$F,'Stock Movement'!$B:$B,A307,'Stock Movement'!$E:$E,"IN"))</f>
        <v/>
      </c>
      <c r="G307" s="86" t="str">
        <f>IF(A307="","",SUMIFS('Stock Movement'!$F:$F,'Stock Movement'!$B:$B,A307,'Stock Movement'!$E:$E,"OUT"))</f>
        <v/>
      </c>
      <c r="H307" s="86" t="str">
        <f t="shared" si="1"/>
        <v/>
      </c>
      <c r="I307" s="147"/>
      <c r="J307" s="156"/>
      <c r="K307" s="83" t="str">
        <f t="shared" si="2"/>
        <v/>
      </c>
    </row>
    <row r="308" ht="15.75" customHeight="1">
      <c r="A308" s="150"/>
      <c r="B308" s="153"/>
      <c r="C308" s="150"/>
      <c r="D308" s="150" t="str">
        <f t="array" ref="D308">IF(A308="","",IFERROR(INDEX('Location Master'!$E$2:$E$502, IFERROR(MATCH(A308,'Location Master'!$G$2:$G$502,0), IFERROR(MATCH(A308&amp;" (*",'Location Master'!$G$2:$G$502,0), MATCH(A308&amp;"*",'Location Master'!$G$2:$G$502,0)))), ""))</f>
        <v/>
      </c>
      <c r="E308" s="154"/>
      <c r="F308" s="75" t="str">
        <f>IF(A308="","",SUMIFS('Stock Movement'!$F:$F,'Stock Movement'!$B:$B,A308,'Stock Movement'!$E:$E,"IN"))</f>
        <v/>
      </c>
      <c r="G308" s="75" t="str">
        <f>IF(A308="","",SUMIFS('Stock Movement'!$F:$F,'Stock Movement'!$B:$B,A308,'Stock Movement'!$E:$E,"OUT"))</f>
        <v/>
      </c>
      <c r="H308" s="75" t="str">
        <f t="shared" si="1"/>
        <v/>
      </c>
      <c r="I308" s="150"/>
      <c r="J308" s="154"/>
      <c r="K308" s="91" t="str">
        <f t="shared" si="2"/>
        <v/>
      </c>
    </row>
    <row r="309" ht="15.75" customHeight="1">
      <c r="A309" s="147"/>
      <c r="B309" s="155"/>
      <c r="C309" s="147"/>
      <c r="D309" s="147" t="str">
        <f t="array" ref="D309">IF(A309="","",IFERROR(INDEX('Location Master'!$E$2:$E$502, IFERROR(MATCH(A309,'Location Master'!$G$2:$G$502,0), IFERROR(MATCH(A309&amp;" (*",'Location Master'!$G$2:$G$502,0), MATCH(A309&amp;"*",'Location Master'!$G$2:$G$502,0)))), ""))</f>
        <v/>
      </c>
      <c r="E309" s="156"/>
      <c r="F309" s="86" t="str">
        <f>IF(A309="","",SUMIFS('Stock Movement'!$F:$F,'Stock Movement'!$B:$B,A309,'Stock Movement'!$E:$E,"IN"))</f>
        <v/>
      </c>
      <c r="G309" s="86" t="str">
        <f>IF(A309="","",SUMIFS('Stock Movement'!$F:$F,'Stock Movement'!$B:$B,A309,'Stock Movement'!$E:$E,"OUT"))</f>
        <v/>
      </c>
      <c r="H309" s="86" t="str">
        <f t="shared" si="1"/>
        <v/>
      </c>
      <c r="I309" s="147"/>
      <c r="J309" s="156"/>
      <c r="K309" s="83" t="str">
        <f t="shared" si="2"/>
        <v/>
      </c>
    </row>
    <row r="310" ht="15.75" customHeight="1">
      <c r="A310" s="150"/>
      <c r="B310" s="153"/>
      <c r="C310" s="150"/>
      <c r="D310" s="150" t="str">
        <f t="array" ref="D310">IF(A310="","",IFERROR(INDEX('Location Master'!$E$2:$E$502, IFERROR(MATCH(A310,'Location Master'!$G$2:$G$502,0), IFERROR(MATCH(A310&amp;" (*",'Location Master'!$G$2:$G$502,0), MATCH(A310&amp;"*",'Location Master'!$G$2:$G$502,0)))), ""))</f>
        <v/>
      </c>
      <c r="E310" s="154"/>
      <c r="F310" s="75" t="str">
        <f>IF(A310="","",SUMIFS('Stock Movement'!$F:$F,'Stock Movement'!$B:$B,A310,'Stock Movement'!$E:$E,"IN"))</f>
        <v/>
      </c>
      <c r="G310" s="75" t="str">
        <f>IF(A310="","",SUMIFS('Stock Movement'!$F:$F,'Stock Movement'!$B:$B,A310,'Stock Movement'!$E:$E,"OUT"))</f>
        <v/>
      </c>
      <c r="H310" s="75" t="str">
        <f t="shared" si="1"/>
        <v/>
      </c>
      <c r="I310" s="150"/>
      <c r="J310" s="154"/>
      <c r="K310" s="91" t="str">
        <f t="shared" si="2"/>
        <v/>
      </c>
    </row>
    <row r="311" ht="15.75" customHeight="1">
      <c r="A311" s="147"/>
      <c r="B311" s="155"/>
      <c r="C311" s="147"/>
      <c r="D311" s="147" t="str">
        <f t="array" ref="D311">IF(A311="","",IFERROR(INDEX('Location Master'!$E$2:$E$502, IFERROR(MATCH(A311,'Location Master'!$G$2:$G$502,0), IFERROR(MATCH(A311&amp;" (*",'Location Master'!$G$2:$G$502,0), MATCH(A311&amp;"*",'Location Master'!$G$2:$G$502,0)))), ""))</f>
        <v/>
      </c>
      <c r="E311" s="156"/>
      <c r="F311" s="86" t="str">
        <f>IF(A311="","",SUMIFS('Stock Movement'!$F:$F,'Stock Movement'!$B:$B,A311,'Stock Movement'!$E:$E,"IN"))</f>
        <v/>
      </c>
      <c r="G311" s="86" t="str">
        <f>IF(A311="","",SUMIFS('Stock Movement'!$F:$F,'Stock Movement'!$B:$B,A311,'Stock Movement'!$E:$E,"OUT"))</f>
        <v/>
      </c>
      <c r="H311" s="86" t="str">
        <f t="shared" si="1"/>
        <v/>
      </c>
      <c r="I311" s="147"/>
      <c r="J311" s="156"/>
      <c r="K311" s="83" t="str">
        <f t="shared" si="2"/>
        <v/>
      </c>
    </row>
    <row r="312" ht="15.75" customHeight="1">
      <c r="A312" s="150"/>
      <c r="B312" s="153"/>
      <c r="C312" s="150"/>
      <c r="D312" s="150" t="str">
        <f t="array" ref="D312">IF(A312="","",IFERROR(INDEX('Location Master'!$E$2:$E$502, IFERROR(MATCH(A312,'Location Master'!$G$2:$G$502,0), IFERROR(MATCH(A312&amp;" (*",'Location Master'!$G$2:$G$502,0), MATCH(A312&amp;"*",'Location Master'!$G$2:$G$502,0)))), ""))</f>
        <v/>
      </c>
      <c r="E312" s="154"/>
      <c r="F312" s="75" t="str">
        <f>IF(A312="","",SUMIFS('Stock Movement'!$F:$F,'Stock Movement'!$B:$B,A312,'Stock Movement'!$E:$E,"IN"))</f>
        <v/>
      </c>
      <c r="G312" s="75" t="str">
        <f>IF(A312="","",SUMIFS('Stock Movement'!$F:$F,'Stock Movement'!$B:$B,A312,'Stock Movement'!$E:$E,"OUT"))</f>
        <v/>
      </c>
      <c r="H312" s="75" t="str">
        <f t="shared" si="1"/>
        <v/>
      </c>
      <c r="I312" s="150"/>
      <c r="J312" s="154"/>
      <c r="K312" s="91" t="str">
        <f t="shared" si="2"/>
        <v/>
      </c>
    </row>
    <row r="313" ht="15.75" customHeight="1">
      <c r="A313" s="147"/>
      <c r="B313" s="155"/>
      <c r="C313" s="147"/>
      <c r="D313" s="147" t="str">
        <f t="array" ref="D313">IF(A313="","",IFERROR(INDEX('Location Master'!$E$2:$E$502, IFERROR(MATCH(A313,'Location Master'!$G$2:$G$502,0), IFERROR(MATCH(A313&amp;" (*",'Location Master'!$G$2:$G$502,0), MATCH(A313&amp;"*",'Location Master'!$G$2:$G$502,0)))), ""))</f>
        <v/>
      </c>
      <c r="E313" s="156"/>
      <c r="F313" s="86" t="str">
        <f>IF(A313="","",SUMIFS('Stock Movement'!$F:$F,'Stock Movement'!$B:$B,A313,'Stock Movement'!$E:$E,"IN"))</f>
        <v/>
      </c>
      <c r="G313" s="86" t="str">
        <f>IF(A313="","",SUMIFS('Stock Movement'!$F:$F,'Stock Movement'!$B:$B,A313,'Stock Movement'!$E:$E,"OUT"))</f>
        <v/>
      </c>
      <c r="H313" s="86" t="str">
        <f t="shared" si="1"/>
        <v/>
      </c>
      <c r="I313" s="147"/>
      <c r="J313" s="156"/>
      <c r="K313" s="83" t="str">
        <f t="shared" si="2"/>
        <v/>
      </c>
    </row>
    <row r="314" ht="15.75" customHeight="1">
      <c r="A314" s="150"/>
      <c r="B314" s="153"/>
      <c r="C314" s="150"/>
      <c r="D314" s="150" t="str">
        <f t="array" ref="D314">IF(A314="","",IFERROR(INDEX('Location Master'!$E$2:$E$502, IFERROR(MATCH(A314,'Location Master'!$G$2:$G$502,0), IFERROR(MATCH(A314&amp;" (*",'Location Master'!$G$2:$G$502,0), MATCH(A314&amp;"*",'Location Master'!$G$2:$G$502,0)))), ""))</f>
        <v/>
      </c>
      <c r="E314" s="154"/>
      <c r="F314" s="75" t="str">
        <f>IF(A314="","",SUMIFS('Stock Movement'!$F:$F,'Stock Movement'!$B:$B,A314,'Stock Movement'!$E:$E,"IN"))</f>
        <v/>
      </c>
      <c r="G314" s="75" t="str">
        <f>IF(A314="","",SUMIFS('Stock Movement'!$F:$F,'Stock Movement'!$B:$B,A314,'Stock Movement'!$E:$E,"OUT"))</f>
        <v/>
      </c>
      <c r="H314" s="75" t="str">
        <f t="shared" si="1"/>
        <v/>
      </c>
      <c r="I314" s="150"/>
      <c r="J314" s="154"/>
      <c r="K314" s="91" t="str">
        <f t="shared" si="2"/>
        <v/>
      </c>
    </row>
    <row r="315" ht="15.75" customHeight="1">
      <c r="A315" s="147"/>
      <c r="B315" s="155"/>
      <c r="C315" s="147"/>
      <c r="D315" s="147" t="str">
        <f t="array" ref="D315">IF(A315="","",IFERROR(INDEX('Location Master'!$E$2:$E$502, IFERROR(MATCH(A315,'Location Master'!$G$2:$G$502,0), IFERROR(MATCH(A315&amp;" (*",'Location Master'!$G$2:$G$502,0), MATCH(A315&amp;"*",'Location Master'!$G$2:$G$502,0)))), ""))</f>
        <v/>
      </c>
      <c r="E315" s="156"/>
      <c r="F315" s="86" t="str">
        <f>IF(A315="","",SUMIFS('Stock Movement'!$F:$F,'Stock Movement'!$B:$B,A315,'Stock Movement'!$E:$E,"IN"))</f>
        <v/>
      </c>
      <c r="G315" s="86" t="str">
        <f>IF(A315="","",SUMIFS('Stock Movement'!$F:$F,'Stock Movement'!$B:$B,A315,'Stock Movement'!$E:$E,"OUT"))</f>
        <v/>
      </c>
      <c r="H315" s="86" t="str">
        <f t="shared" si="1"/>
        <v/>
      </c>
      <c r="I315" s="147"/>
      <c r="J315" s="156"/>
      <c r="K315" s="83" t="str">
        <f t="shared" si="2"/>
        <v/>
      </c>
    </row>
    <row r="316" ht="15.75" customHeight="1">
      <c r="A316" s="150"/>
      <c r="B316" s="153"/>
      <c r="C316" s="150"/>
      <c r="D316" s="150" t="str">
        <f t="array" ref="D316">IF(A316="","",IFERROR(INDEX('Location Master'!$E$2:$E$502, IFERROR(MATCH(A316,'Location Master'!$G$2:$G$502,0), IFERROR(MATCH(A316&amp;" (*",'Location Master'!$G$2:$G$502,0), MATCH(A316&amp;"*",'Location Master'!$G$2:$G$502,0)))), ""))</f>
        <v/>
      </c>
      <c r="E316" s="154"/>
      <c r="F316" s="75" t="str">
        <f>IF(A316="","",SUMIFS('Stock Movement'!$F:$F,'Stock Movement'!$B:$B,A316,'Stock Movement'!$E:$E,"IN"))</f>
        <v/>
      </c>
      <c r="G316" s="75" t="str">
        <f>IF(A316="","",SUMIFS('Stock Movement'!$F:$F,'Stock Movement'!$B:$B,A316,'Stock Movement'!$E:$E,"OUT"))</f>
        <v/>
      </c>
      <c r="H316" s="75" t="str">
        <f t="shared" si="1"/>
        <v/>
      </c>
      <c r="I316" s="150"/>
      <c r="J316" s="154"/>
      <c r="K316" s="91" t="str">
        <f t="shared" si="2"/>
        <v/>
      </c>
    </row>
    <row r="317" ht="15.75" customHeight="1">
      <c r="A317" s="147"/>
      <c r="B317" s="155"/>
      <c r="C317" s="147"/>
      <c r="D317" s="147" t="str">
        <f t="array" ref="D317">IF(A317="","",IFERROR(INDEX('Location Master'!$E$2:$E$502, IFERROR(MATCH(A317,'Location Master'!$G$2:$G$502,0), IFERROR(MATCH(A317&amp;" (*",'Location Master'!$G$2:$G$502,0), MATCH(A317&amp;"*",'Location Master'!$G$2:$G$502,0)))), ""))</f>
        <v/>
      </c>
      <c r="E317" s="156"/>
      <c r="F317" s="86" t="str">
        <f>IF(A317="","",SUMIFS('Stock Movement'!$F:$F,'Stock Movement'!$B:$B,A317,'Stock Movement'!$E:$E,"IN"))</f>
        <v/>
      </c>
      <c r="G317" s="86" t="str">
        <f>IF(A317="","",SUMIFS('Stock Movement'!$F:$F,'Stock Movement'!$B:$B,A317,'Stock Movement'!$E:$E,"OUT"))</f>
        <v/>
      </c>
      <c r="H317" s="86" t="str">
        <f t="shared" si="1"/>
        <v/>
      </c>
      <c r="I317" s="147"/>
      <c r="J317" s="156"/>
      <c r="K317" s="83" t="str">
        <f t="shared" si="2"/>
        <v/>
      </c>
    </row>
    <row r="318" ht="15.75" customHeight="1">
      <c r="A318" s="150"/>
      <c r="B318" s="153"/>
      <c r="C318" s="150"/>
      <c r="D318" s="150" t="str">
        <f t="array" ref="D318">IF(A318="","",IFERROR(INDEX('Location Master'!$E$2:$E$502, IFERROR(MATCH(A318,'Location Master'!$G$2:$G$502,0), IFERROR(MATCH(A318&amp;" (*",'Location Master'!$G$2:$G$502,0), MATCH(A318&amp;"*",'Location Master'!$G$2:$G$502,0)))), ""))</f>
        <v/>
      </c>
      <c r="E318" s="154"/>
      <c r="F318" s="75" t="str">
        <f>IF(A318="","",SUMIFS('Stock Movement'!$F:$F,'Stock Movement'!$B:$B,A318,'Stock Movement'!$E:$E,"IN"))</f>
        <v/>
      </c>
      <c r="G318" s="75" t="str">
        <f>IF(A318="","",SUMIFS('Stock Movement'!$F:$F,'Stock Movement'!$B:$B,A318,'Stock Movement'!$E:$E,"OUT"))</f>
        <v/>
      </c>
      <c r="H318" s="75" t="str">
        <f t="shared" si="1"/>
        <v/>
      </c>
      <c r="I318" s="150"/>
      <c r="J318" s="154"/>
      <c r="K318" s="91" t="str">
        <f t="shared" si="2"/>
        <v/>
      </c>
    </row>
    <row r="319" ht="15.75" customHeight="1">
      <c r="A319" s="147"/>
      <c r="B319" s="155"/>
      <c r="C319" s="147"/>
      <c r="D319" s="147" t="str">
        <f t="array" ref="D319">IF(A319="","",IFERROR(INDEX('Location Master'!$E$2:$E$502, IFERROR(MATCH(A319,'Location Master'!$G$2:$G$502,0), IFERROR(MATCH(A319&amp;" (*",'Location Master'!$G$2:$G$502,0), MATCH(A319&amp;"*",'Location Master'!$G$2:$G$502,0)))), ""))</f>
        <v/>
      </c>
      <c r="E319" s="156"/>
      <c r="F319" s="86" t="str">
        <f>IF(A319="","",SUMIFS('Stock Movement'!$F:$F,'Stock Movement'!$B:$B,A319,'Stock Movement'!$E:$E,"IN"))</f>
        <v/>
      </c>
      <c r="G319" s="86" t="str">
        <f>IF(A319="","",SUMIFS('Stock Movement'!$F:$F,'Stock Movement'!$B:$B,A319,'Stock Movement'!$E:$E,"OUT"))</f>
        <v/>
      </c>
      <c r="H319" s="86" t="str">
        <f t="shared" si="1"/>
        <v/>
      </c>
      <c r="I319" s="147"/>
      <c r="J319" s="156"/>
      <c r="K319" s="83" t="str">
        <f t="shared" si="2"/>
        <v/>
      </c>
    </row>
    <row r="320" ht="15.75" customHeight="1">
      <c r="A320" s="150"/>
      <c r="B320" s="153"/>
      <c r="C320" s="150"/>
      <c r="D320" s="150" t="str">
        <f t="array" ref="D320">IF(A320="","",IFERROR(INDEX('Location Master'!$E$2:$E$502, IFERROR(MATCH(A320,'Location Master'!$G$2:$G$502,0), IFERROR(MATCH(A320&amp;" (*",'Location Master'!$G$2:$G$502,0), MATCH(A320&amp;"*",'Location Master'!$G$2:$G$502,0)))), ""))</f>
        <v/>
      </c>
      <c r="E320" s="154"/>
      <c r="F320" s="75" t="str">
        <f>IF(A320="","",SUMIFS('Stock Movement'!$F:$F,'Stock Movement'!$B:$B,A320,'Stock Movement'!$E:$E,"IN"))</f>
        <v/>
      </c>
      <c r="G320" s="75" t="str">
        <f>IF(A320="","",SUMIFS('Stock Movement'!$F:$F,'Stock Movement'!$B:$B,A320,'Stock Movement'!$E:$E,"OUT"))</f>
        <v/>
      </c>
      <c r="H320" s="75" t="str">
        <f t="shared" si="1"/>
        <v/>
      </c>
      <c r="I320" s="150"/>
      <c r="J320" s="154"/>
      <c r="K320" s="91" t="str">
        <f t="shared" si="2"/>
        <v/>
      </c>
    </row>
    <row r="321" ht="15.75" customHeight="1">
      <c r="A321" s="147"/>
      <c r="B321" s="155"/>
      <c r="C321" s="147"/>
      <c r="D321" s="147" t="str">
        <f t="array" ref="D321">IF(A321="","",IFERROR(INDEX('Location Master'!$E$2:$E$502, IFERROR(MATCH(A321,'Location Master'!$G$2:$G$502,0), IFERROR(MATCH(A321&amp;" (*",'Location Master'!$G$2:$G$502,0), MATCH(A321&amp;"*",'Location Master'!$G$2:$G$502,0)))), ""))</f>
        <v/>
      </c>
      <c r="E321" s="156"/>
      <c r="F321" s="86" t="str">
        <f>IF(A321="","",SUMIFS('Stock Movement'!$F:$F,'Stock Movement'!$B:$B,A321,'Stock Movement'!$E:$E,"IN"))</f>
        <v/>
      </c>
      <c r="G321" s="86" t="str">
        <f>IF(A321="","",SUMIFS('Stock Movement'!$F:$F,'Stock Movement'!$B:$B,A321,'Stock Movement'!$E:$E,"OUT"))</f>
        <v/>
      </c>
      <c r="H321" s="86" t="str">
        <f t="shared" si="1"/>
        <v/>
      </c>
      <c r="I321" s="147"/>
      <c r="J321" s="156"/>
      <c r="K321" s="83" t="str">
        <f t="shared" si="2"/>
        <v/>
      </c>
    </row>
    <row r="322" ht="15.75" customHeight="1">
      <c r="A322" s="150"/>
      <c r="B322" s="153"/>
      <c r="C322" s="150"/>
      <c r="D322" s="150" t="str">
        <f t="array" ref="D322">IF(A322="","",IFERROR(INDEX('Location Master'!$E$2:$E$502, IFERROR(MATCH(A322,'Location Master'!$G$2:$G$502,0), IFERROR(MATCH(A322&amp;" (*",'Location Master'!$G$2:$G$502,0), MATCH(A322&amp;"*",'Location Master'!$G$2:$G$502,0)))), ""))</f>
        <v/>
      </c>
      <c r="E322" s="154"/>
      <c r="F322" s="75" t="str">
        <f>IF(A322="","",SUMIFS('Stock Movement'!$F:$F,'Stock Movement'!$B:$B,A322,'Stock Movement'!$E:$E,"IN"))</f>
        <v/>
      </c>
      <c r="G322" s="75" t="str">
        <f>IF(A322="","",SUMIFS('Stock Movement'!$F:$F,'Stock Movement'!$B:$B,A322,'Stock Movement'!$E:$E,"OUT"))</f>
        <v/>
      </c>
      <c r="H322" s="75" t="str">
        <f t="shared" si="1"/>
        <v/>
      </c>
      <c r="I322" s="150"/>
      <c r="J322" s="154"/>
      <c r="K322" s="91" t="str">
        <f t="shared" si="2"/>
        <v/>
      </c>
    </row>
    <row r="323" ht="15.75" customHeight="1">
      <c r="A323" s="147"/>
      <c r="B323" s="155"/>
      <c r="C323" s="147"/>
      <c r="D323" s="147" t="str">
        <f t="array" ref="D323">IF(A323="","",IFERROR(INDEX('Location Master'!$E$2:$E$502, IFERROR(MATCH(A323,'Location Master'!$G$2:$G$502,0), IFERROR(MATCH(A323&amp;" (*",'Location Master'!$G$2:$G$502,0), MATCH(A323&amp;"*",'Location Master'!$G$2:$G$502,0)))), ""))</f>
        <v/>
      </c>
      <c r="E323" s="156"/>
      <c r="F323" s="86" t="str">
        <f>IF(A323="","",SUMIFS('Stock Movement'!$F:$F,'Stock Movement'!$B:$B,A323,'Stock Movement'!$E:$E,"IN"))</f>
        <v/>
      </c>
      <c r="G323" s="86" t="str">
        <f>IF(A323="","",SUMIFS('Stock Movement'!$F:$F,'Stock Movement'!$B:$B,A323,'Stock Movement'!$E:$E,"OUT"))</f>
        <v/>
      </c>
      <c r="H323" s="86" t="str">
        <f t="shared" si="1"/>
        <v/>
      </c>
      <c r="I323" s="147"/>
      <c r="J323" s="156"/>
      <c r="K323" s="83" t="str">
        <f t="shared" si="2"/>
        <v/>
      </c>
    </row>
    <row r="324" ht="15.75" customHeight="1">
      <c r="A324" s="150"/>
      <c r="B324" s="153"/>
      <c r="C324" s="150"/>
      <c r="D324" s="150" t="str">
        <f t="array" ref="D324">IF(A324="","",IFERROR(INDEX('Location Master'!$E$2:$E$502, IFERROR(MATCH(A324,'Location Master'!$G$2:$G$502,0), IFERROR(MATCH(A324&amp;" (*",'Location Master'!$G$2:$G$502,0), MATCH(A324&amp;"*",'Location Master'!$G$2:$G$502,0)))), ""))</f>
        <v/>
      </c>
      <c r="E324" s="154"/>
      <c r="F324" s="75" t="str">
        <f>IF(A324="","",SUMIFS('Stock Movement'!$F:$F,'Stock Movement'!$B:$B,A324,'Stock Movement'!$E:$E,"IN"))</f>
        <v/>
      </c>
      <c r="G324" s="75" t="str">
        <f>IF(A324="","",SUMIFS('Stock Movement'!$F:$F,'Stock Movement'!$B:$B,A324,'Stock Movement'!$E:$E,"OUT"))</f>
        <v/>
      </c>
      <c r="H324" s="75" t="str">
        <f t="shared" si="1"/>
        <v/>
      </c>
      <c r="I324" s="150"/>
      <c r="J324" s="154"/>
      <c r="K324" s="91" t="str">
        <f t="shared" si="2"/>
        <v/>
      </c>
    </row>
    <row r="325" ht="15.75" customHeight="1">
      <c r="A325" s="147"/>
      <c r="B325" s="155"/>
      <c r="C325" s="147"/>
      <c r="D325" s="147" t="str">
        <f t="array" ref="D325">IF(A325="","",IFERROR(INDEX('Location Master'!$E$2:$E$502, IFERROR(MATCH(A325,'Location Master'!$G$2:$G$502,0), IFERROR(MATCH(A325&amp;" (*",'Location Master'!$G$2:$G$502,0), MATCH(A325&amp;"*",'Location Master'!$G$2:$G$502,0)))), ""))</f>
        <v/>
      </c>
      <c r="E325" s="156"/>
      <c r="F325" s="86" t="str">
        <f>IF(A325="","",SUMIFS('Stock Movement'!$F:$F,'Stock Movement'!$B:$B,A325,'Stock Movement'!$E:$E,"IN"))</f>
        <v/>
      </c>
      <c r="G325" s="86" t="str">
        <f>IF(A325="","",SUMIFS('Stock Movement'!$F:$F,'Stock Movement'!$B:$B,A325,'Stock Movement'!$E:$E,"OUT"))</f>
        <v/>
      </c>
      <c r="H325" s="86" t="str">
        <f t="shared" si="1"/>
        <v/>
      </c>
      <c r="I325" s="147"/>
      <c r="J325" s="156"/>
      <c r="K325" s="83" t="str">
        <f t="shared" si="2"/>
        <v/>
      </c>
    </row>
    <row r="326" ht="15.75" customHeight="1">
      <c r="A326" s="150"/>
      <c r="B326" s="153"/>
      <c r="C326" s="150"/>
      <c r="D326" s="150" t="str">
        <f t="array" ref="D326">IF(A326="","",IFERROR(INDEX('Location Master'!$E$2:$E$502, IFERROR(MATCH(A326,'Location Master'!$G$2:$G$502,0), IFERROR(MATCH(A326&amp;" (*",'Location Master'!$G$2:$G$502,0), MATCH(A326&amp;"*",'Location Master'!$G$2:$G$502,0)))), ""))</f>
        <v/>
      </c>
      <c r="E326" s="154"/>
      <c r="F326" s="75" t="str">
        <f>IF(A326="","",SUMIFS('Stock Movement'!$F:$F,'Stock Movement'!$B:$B,A326,'Stock Movement'!$E:$E,"IN"))</f>
        <v/>
      </c>
      <c r="G326" s="75" t="str">
        <f>IF(A326="","",SUMIFS('Stock Movement'!$F:$F,'Stock Movement'!$B:$B,A326,'Stock Movement'!$E:$E,"OUT"))</f>
        <v/>
      </c>
      <c r="H326" s="75" t="str">
        <f t="shared" si="1"/>
        <v/>
      </c>
      <c r="I326" s="150"/>
      <c r="J326" s="154"/>
      <c r="K326" s="91" t="str">
        <f t="shared" si="2"/>
        <v/>
      </c>
    </row>
    <row r="327" ht="15.75" customHeight="1">
      <c r="A327" s="147"/>
      <c r="B327" s="155"/>
      <c r="C327" s="147"/>
      <c r="D327" s="147" t="str">
        <f t="array" ref="D327">IF(A327="","",IFERROR(INDEX('Location Master'!$E$2:$E$502, IFERROR(MATCH(A327,'Location Master'!$G$2:$G$502,0), IFERROR(MATCH(A327&amp;" (*",'Location Master'!$G$2:$G$502,0), MATCH(A327&amp;"*",'Location Master'!$G$2:$G$502,0)))), ""))</f>
        <v/>
      </c>
      <c r="E327" s="156"/>
      <c r="F327" s="86" t="str">
        <f>IF(A327="","",SUMIFS('Stock Movement'!$F:$F,'Stock Movement'!$B:$B,A327,'Stock Movement'!$E:$E,"IN"))</f>
        <v/>
      </c>
      <c r="G327" s="86" t="str">
        <f>IF(A327="","",SUMIFS('Stock Movement'!$F:$F,'Stock Movement'!$B:$B,A327,'Stock Movement'!$E:$E,"OUT"))</f>
        <v/>
      </c>
      <c r="H327" s="86" t="str">
        <f t="shared" si="1"/>
        <v/>
      </c>
      <c r="I327" s="147"/>
      <c r="J327" s="156"/>
      <c r="K327" s="83" t="str">
        <f t="shared" si="2"/>
        <v/>
      </c>
    </row>
    <row r="328" ht="15.75" customHeight="1">
      <c r="A328" s="150"/>
      <c r="B328" s="153"/>
      <c r="C328" s="150"/>
      <c r="D328" s="150" t="str">
        <f t="array" ref="D328">IF(A328="","",IFERROR(INDEX('Location Master'!$E$2:$E$502, IFERROR(MATCH(A328,'Location Master'!$G$2:$G$502,0), IFERROR(MATCH(A328&amp;" (*",'Location Master'!$G$2:$G$502,0), MATCH(A328&amp;"*",'Location Master'!$G$2:$G$502,0)))), ""))</f>
        <v/>
      </c>
      <c r="E328" s="154"/>
      <c r="F328" s="75" t="str">
        <f>IF(A328="","",SUMIFS('Stock Movement'!$F:$F,'Stock Movement'!$B:$B,A328,'Stock Movement'!$E:$E,"IN"))</f>
        <v/>
      </c>
      <c r="G328" s="75" t="str">
        <f>IF(A328="","",SUMIFS('Stock Movement'!$F:$F,'Stock Movement'!$B:$B,A328,'Stock Movement'!$E:$E,"OUT"))</f>
        <v/>
      </c>
      <c r="H328" s="75" t="str">
        <f t="shared" si="1"/>
        <v/>
      </c>
      <c r="I328" s="150"/>
      <c r="J328" s="154"/>
      <c r="K328" s="91" t="str">
        <f t="shared" si="2"/>
        <v/>
      </c>
    </row>
    <row r="329" ht="15.75" customHeight="1">
      <c r="A329" s="147"/>
      <c r="B329" s="155"/>
      <c r="C329" s="147"/>
      <c r="D329" s="147" t="str">
        <f t="array" ref="D329">IF(A329="","",IFERROR(INDEX('Location Master'!$E$2:$E$502, IFERROR(MATCH(A329,'Location Master'!$G$2:$G$502,0), IFERROR(MATCH(A329&amp;" (*",'Location Master'!$G$2:$G$502,0), MATCH(A329&amp;"*",'Location Master'!$G$2:$G$502,0)))), ""))</f>
        <v/>
      </c>
      <c r="E329" s="156"/>
      <c r="F329" s="86" t="str">
        <f>IF(A329="","",SUMIFS('Stock Movement'!$F:$F,'Stock Movement'!$B:$B,A329,'Stock Movement'!$E:$E,"IN"))</f>
        <v/>
      </c>
      <c r="G329" s="86" t="str">
        <f>IF(A329="","",SUMIFS('Stock Movement'!$F:$F,'Stock Movement'!$B:$B,A329,'Stock Movement'!$E:$E,"OUT"))</f>
        <v/>
      </c>
      <c r="H329" s="86" t="str">
        <f t="shared" si="1"/>
        <v/>
      </c>
      <c r="I329" s="147"/>
      <c r="J329" s="156"/>
      <c r="K329" s="83" t="str">
        <f t="shared" si="2"/>
        <v/>
      </c>
    </row>
    <row r="330" ht="15.75" customHeight="1">
      <c r="A330" s="150"/>
      <c r="B330" s="153"/>
      <c r="C330" s="150"/>
      <c r="D330" s="150" t="str">
        <f t="array" ref="D330">IF(A330="","",IFERROR(INDEX('Location Master'!$E$2:$E$502, IFERROR(MATCH(A330,'Location Master'!$G$2:$G$502,0), IFERROR(MATCH(A330&amp;" (*",'Location Master'!$G$2:$G$502,0), MATCH(A330&amp;"*",'Location Master'!$G$2:$G$502,0)))), ""))</f>
        <v/>
      </c>
      <c r="E330" s="154"/>
      <c r="F330" s="75" t="str">
        <f>IF(A330="","",SUMIFS('Stock Movement'!$F:$F,'Stock Movement'!$B:$B,A330,'Stock Movement'!$E:$E,"IN"))</f>
        <v/>
      </c>
      <c r="G330" s="75" t="str">
        <f>IF(A330="","",SUMIFS('Stock Movement'!$F:$F,'Stock Movement'!$B:$B,A330,'Stock Movement'!$E:$E,"OUT"))</f>
        <v/>
      </c>
      <c r="H330" s="75" t="str">
        <f t="shared" si="1"/>
        <v/>
      </c>
      <c r="I330" s="150"/>
      <c r="J330" s="154"/>
      <c r="K330" s="91" t="str">
        <f t="shared" si="2"/>
        <v/>
      </c>
    </row>
    <row r="331" ht="15.75" customHeight="1">
      <c r="A331" s="147"/>
      <c r="B331" s="155"/>
      <c r="C331" s="147"/>
      <c r="D331" s="147" t="str">
        <f t="array" ref="D331">IF(A331="","",IFERROR(INDEX('Location Master'!$E$2:$E$502, IFERROR(MATCH(A331,'Location Master'!$G$2:$G$502,0), IFERROR(MATCH(A331&amp;" (*",'Location Master'!$G$2:$G$502,0), MATCH(A331&amp;"*",'Location Master'!$G$2:$G$502,0)))), ""))</f>
        <v/>
      </c>
      <c r="E331" s="156"/>
      <c r="F331" s="86" t="str">
        <f>IF(A331="","",SUMIFS('Stock Movement'!$F:$F,'Stock Movement'!$B:$B,A331,'Stock Movement'!$E:$E,"IN"))</f>
        <v/>
      </c>
      <c r="G331" s="86" t="str">
        <f>IF(A331="","",SUMIFS('Stock Movement'!$F:$F,'Stock Movement'!$B:$B,A331,'Stock Movement'!$E:$E,"OUT"))</f>
        <v/>
      </c>
      <c r="H331" s="86" t="str">
        <f t="shared" si="1"/>
        <v/>
      </c>
      <c r="I331" s="147"/>
      <c r="J331" s="156"/>
      <c r="K331" s="83" t="str">
        <f t="shared" si="2"/>
        <v/>
      </c>
    </row>
    <row r="332" ht="15.75" customHeight="1">
      <c r="A332" s="150"/>
      <c r="B332" s="153"/>
      <c r="C332" s="150"/>
      <c r="D332" s="150" t="str">
        <f t="array" ref="D332">IF(A332="","",IFERROR(INDEX('Location Master'!$E$2:$E$502, IFERROR(MATCH(A332,'Location Master'!$G$2:$G$502,0), IFERROR(MATCH(A332&amp;" (*",'Location Master'!$G$2:$G$502,0), MATCH(A332&amp;"*",'Location Master'!$G$2:$G$502,0)))), ""))</f>
        <v/>
      </c>
      <c r="E332" s="154"/>
      <c r="F332" s="75" t="str">
        <f>IF(A332="","",SUMIFS('Stock Movement'!$F:$F,'Stock Movement'!$B:$B,A332,'Stock Movement'!$E:$E,"IN"))</f>
        <v/>
      </c>
      <c r="G332" s="75" t="str">
        <f>IF(A332="","",SUMIFS('Stock Movement'!$F:$F,'Stock Movement'!$B:$B,A332,'Stock Movement'!$E:$E,"OUT"))</f>
        <v/>
      </c>
      <c r="H332" s="75" t="str">
        <f t="shared" si="1"/>
        <v/>
      </c>
      <c r="I332" s="150"/>
      <c r="J332" s="154"/>
      <c r="K332" s="91" t="str">
        <f t="shared" si="2"/>
        <v/>
      </c>
    </row>
    <row r="333" ht="15.75" customHeight="1">
      <c r="A333" s="147"/>
      <c r="B333" s="155"/>
      <c r="C333" s="147"/>
      <c r="D333" s="147" t="str">
        <f t="array" ref="D333">IF(A333="","",IFERROR(INDEX('Location Master'!$E$2:$E$502, IFERROR(MATCH(A333,'Location Master'!$G$2:$G$502,0), IFERROR(MATCH(A333&amp;" (*",'Location Master'!$G$2:$G$502,0), MATCH(A333&amp;"*",'Location Master'!$G$2:$G$502,0)))), ""))</f>
        <v/>
      </c>
      <c r="E333" s="156"/>
      <c r="F333" s="86" t="str">
        <f>IF(A333="","",SUMIFS('Stock Movement'!$F:$F,'Stock Movement'!$B:$B,A333,'Stock Movement'!$E:$E,"IN"))</f>
        <v/>
      </c>
      <c r="G333" s="86" t="str">
        <f>IF(A333="","",SUMIFS('Stock Movement'!$F:$F,'Stock Movement'!$B:$B,A333,'Stock Movement'!$E:$E,"OUT"))</f>
        <v/>
      </c>
      <c r="H333" s="86" t="str">
        <f t="shared" si="1"/>
        <v/>
      </c>
      <c r="I333" s="147"/>
      <c r="J333" s="156"/>
      <c r="K333" s="83" t="str">
        <f t="shared" si="2"/>
        <v/>
      </c>
    </row>
    <row r="334" ht="15.75" customHeight="1">
      <c r="A334" s="150"/>
      <c r="B334" s="153"/>
      <c r="C334" s="150"/>
      <c r="D334" s="150" t="str">
        <f t="array" ref="D334">IF(A334="","",IFERROR(INDEX('Location Master'!$E$2:$E$502, IFERROR(MATCH(A334,'Location Master'!$G$2:$G$502,0), IFERROR(MATCH(A334&amp;" (*",'Location Master'!$G$2:$G$502,0), MATCH(A334&amp;"*",'Location Master'!$G$2:$G$502,0)))), ""))</f>
        <v/>
      </c>
      <c r="E334" s="154"/>
      <c r="F334" s="75" t="str">
        <f>IF(A334="","",SUMIFS('Stock Movement'!$F:$F,'Stock Movement'!$B:$B,A334,'Stock Movement'!$E:$E,"IN"))</f>
        <v/>
      </c>
      <c r="G334" s="75" t="str">
        <f>IF(A334="","",SUMIFS('Stock Movement'!$F:$F,'Stock Movement'!$B:$B,A334,'Stock Movement'!$E:$E,"OUT"))</f>
        <v/>
      </c>
      <c r="H334" s="75" t="str">
        <f t="shared" si="1"/>
        <v/>
      </c>
      <c r="I334" s="150"/>
      <c r="J334" s="154"/>
      <c r="K334" s="91" t="str">
        <f t="shared" si="2"/>
        <v/>
      </c>
    </row>
    <row r="335" ht="15.75" customHeight="1">
      <c r="A335" s="147"/>
      <c r="B335" s="155"/>
      <c r="C335" s="147"/>
      <c r="D335" s="147" t="str">
        <f t="array" ref="D335">IF(A335="","",IFERROR(INDEX('Location Master'!$E$2:$E$502, IFERROR(MATCH(A335,'Location Master'!$G$2:$G$502,0), IFERROR(MATCH(A335&amp;" (*",'Location Master'!$G$2:$G$502,0), MATCH(A335&amp;"*",'Location Master'!$G$2:$G$502,0)))), ""))</f>
        <v/>
      </c>
      <c r="E335" s="156"/>
      <c r="F335" s="86" t="str">
        <f>IF(A335="","",SUMIFS('Stock Movement'!$F:$F,'Stock Movement'!$B:$B,A335,'Stock Movement'!$E:$E,"IN"))</f>
        <v/>
      </c>
      <c r="G335" s="86" t="str">
        <f>IF(A335="","",SUMIFS('Stock Movement'!$F:$F,'Stock Movement'!$B:$B,A335,'Stock Movement'!$E:$E,"OUT"))</f>
        <v/>
      </c>
      <c r="H335" s="86" t="str">
        <f t="shared" si="1"/>
        <v/>
      </c>
      <c r="I335" s="147"/>
      <c r="J335" s="156"/>
      <c r="K335" s="83" t="str">
        <f t="shared" si="2"/>
        <v/>
      </c>
    </row>
    <row r="336" ht="15.75" customHeight="1">
      <c r="A336" s="150"/>
      <c r="B336" s="153"/>
      <c r="C336" s="150"/>
      <c r="D336" s="150" t="str">
        <f t="array" ref="D336">IF(A336="","",IFERROR(INDEX('Location Master'!$E$2:$E$502, IFERROR(MATCH(A336,'Location Master'!$G$2:$G$502,0), IFERROR(MATCH(A336&amp;" (*",'Location Master'!$G$2:$G$502,0), MATCH(A336&amp;"*",'Location Master'!$G$2:$G$502,0)))), ""))</f>
        <v/>
      </c>
      <c r="E336" s="154"/>
      <c r="F336" s="75" t="str">
        <f>IF(A336="","",SUMIFS('Stock Movement'!$F:$F,'Stock Movement'!$B:$B,A336,'Stock Movement'!$E:$E,"IN"))</f>
        <v/>
      </c>
      <c r="G336" s="75" t="str">
        <f>IF(A336="","",SUMIFS('Stock Movement'!$F:$F,'Stock Movement'!$B:$B,A336,'Stock Movement'!$E:$E,"OUT"))</f>
        <v/>
      </c>
      <c r="H336" s="75" t="str">
        <f t="shared" si="1"/>
        <v/>
      </c>
      <c r="I336" s="150"/>
      <c r="J336" s="154"/>
      <c r="K336" s="91" t="str">
        <f t="shared" si="2"/>
        <v/>
      </c>
    </row>
    <row r="337" ht="15.75" customHeight="1">
      <c r="A337" s="147"/>
      <c r="B337" s="155"/>
      <c r="C337" s="147"/>
      <c r="D337" s="147" t="str">
        <f t="array" ref="D337">IF(A337="","",IFERROR(INDEX('Location Master'!$E$2:$E$502, IFERROR(MATCH(A337,'Location Master'!$G$2:$G$502,0), IFERROR(MATCH(A337&amp;" (*",'Location Master'!$G$2:$G$502,0), MATCH(A337&amp;"*",'Location Master'!$G$2:$G$502,0)))), ""))</f>
        <v/>
      </c>
      <c r="E337" s="156"/>
      <c r="F337" s="86" t="str">
        <f>IF(A337="","",SUMIFS('Stock Movement'!$F:$F,'Stock Movement'!$B:$B,A337,'Stock Movement'!$E:$E,"IN"))</f>
        <v/>
      </c>
      <c r="G337" s="86" t="str">
        <f>IF(A337="","",SUMIFS('Stock Movement'!$F:$F,'Stock Movement'!$B:$B,A337,'Stock Movement'!$E:$E,"OUT"))</f>
        <v/>
      </c>
      <c r="H337" s="86" t="str">
        <f t="shared" si="1"/>
        <v/>
      </c>
      <c r="I337" s="147"/>
      <c r="J337" s="156"/>
      <c r="K337" s="83" t="str">
        <f t="shared" si="2"/>
        <v/>
      </c>
    </row>
    <row r="338" ht="15.75" customHeight="1">
      <c r="A338" s="150"/>
      <c r="B338" s="153"/>
      <c r="C338" s="150"/>
      <c r="D338" s="150" t="str">
        <f t="array" ref="D338">IF(A338="","",IFERROR(INDEX('Location Master'!$E$2:$E$502, IFERROR(MATCH(A338,'Location Master'!$G$2:$G$502,0), IFERROR(MATCH(A338&amp;" (*",'Location Master'!$G$2:$G$502,0), MATCH(A338&amp;"*",'Location Master'!$G$2:$G$502,0)))), ""))</f>
        <v/>
      </c>
      <c r="E338" s="154"/>
      <c r="F338" s="75" t="str">
        <f>IF(A338="","",SUMIFS('Stock Movement'!$F:$F,'Stock Movement'!$B:$B,A338,'Stock Movement'!$E:$E,"IN"))</f>
        <v/>
      </c>
      <c r="G338" s="75" t="str">
        <f>IF(A338="","",SUMIFS('Stock Movement'!$F:$F,'Stock Movement'!$B:$B,A338,'Stock Movement'!$E:$E,"OUT"))</f>
        <v/>
      </c>
      <c r="H338" s="75" t="str">
        <f t="shared" si="1"/>
        <v/>
      </c>
      <c r="I338" s="150"/>
      <c r="J338" s="154"/>
      <c r="K338" s="91" t="str">
        <f t="shared" si="2"/>
        <v/>
      </c>
    </row>
    <row r="339" ht="15.75" customHeight="1">
      <c r="A339" s="147"/>
      <c r="B339" s="155"/>
      <c r="C339" s="147"/>
      <c r="D339" s="147" t="str">
        <f t="array" ref="D339">IF(A339="","",IFERROR(INDEX('Location Master'!$E$2:$E$502, IFERROR(MATCH(A339,'Location Master'!$G$2:$G$502,0), IFERROR(MATCH(A339&amp;" (*",'Location Master'!$G$2:$G$502,0), MATCH(A339&amp;"*",'Location Master'!$G$2:$G$502,0)))), ""))</f>
        <v/>
      </c>
      <c r="E339" s="156"/>
      <c r="F339" s="86" t="str">
        <f>IF(A339="","",SUMIFS('Stock Movement'!$F:$F,'Stock Movement'!$B:$B,A339,'Stock Movement'!$E:$E,"IN"))</f>
        <v/>
      </c>
      <c r="G339" s="86" t="str">
        <f>IF(A339="","",SUMIFS('Stock Movement'!$F:$F,'Stock Movement'!$B:$B,A339,'Stock Movement'!$E:$E,"OUT"))</f>
        <v/>
      </c>
      <c r="H339" s="86" t="str">
        <f t="shared" si="1"/>
        <v/>
      </c>
      <c r="I339" s="147"/>
      <c r="J339" s="156"/>
      <c r="K339" s="83" t="str">
        <f t="shared" si="2"/>
        <v/>
      </c>
    </row>
    <row r="340" ht="15.75" customHeight="1">
      <c r="A340" s="150"/>
      <c r="B340" s="153"/>
      <c r="C340" s="150"/>
      <c r="D340" s="150" t="str">
        <f t="array" ref="D340">IF(A340="","",IFERROR(INDEX('Location Master'!$E$2:$E$502, IFERROR(MATCH(A340,'Location Master'!$G$2:$G$502,0), IFERROR(MATCH(A340&amp;" (*",'Location Master'!$G$2:$G$502,0), MATCH(A340&amp;"*",'Location Master'!$G$2:$G$502,0)))), ""))</f>
        <v/>
      </c>
      <c r="E340" s="154"/>
      <c r="F340" s="75" t="str">
        <f>IF(A340="","",SUMIFS('Stock Movement'!$F:$F,'Stock Movement'!$B:$B,A340,'Stock Movement'!$E:$E,"IN"))</f>
        <v/>
      </c>
      <c r="G340" s="75" t="str">
        <f>IF(A340="","",SUMIFS('Stock Movement'!$F:$F,'Stock Movement'!$B:$B,A340,'Stock Movement'!$E:$E,"OUT"))</f>
        <v/>
      </c>
      <c r="H340" s="75" t="str">
        <f t="shared" si="1"/>
        <v/>
      </c>
      <c r="I340" s="150"/>
      <c r="J340" s="154"/>
      <c r="K340" s="91" t="str">
        <f t="shared" si="2"/>
        <v/>
      </c>
    </row>
    <row r="341" ht="15.75" customHeight="1">
      <c r="A341" s="147"/>
      <c r="B341" s="155"/>
      <c r="C341" s="147"/>
      <c r="D341" s="147" t="str">
        <f t="array" ref="D341">IF(A341="","",IFERROR(INDEX('Location Master'!$E$2:$E$502, IFERROR(MATCH(A341,'Location Master'!$G$2:$G$502,0), IFERROR(MATCH(A341&amp;" (*",'Location Master'!$G$2:$G$502,0), MATCH(A341&amp;"*",'Location Master'!$G$2:$G$502,0)))), ""))</f>
        <v/>
      </c>
      <c r="E341" s="156"/>
      <c r="F341" s="86" t="str">
        <f>IF(A341="","",SUMIFS('Stock Movement'!$F:$F,'Stock Movement'!$B:$B,A341,'Stock Movement'!$E:$E,"IN"))</f>
        <v/>
      </c>
      <c r="G341" s="86" t="str">
        <f>IF(A341="","",SUMIFS('Stock Movement'!$F:$F,'Stock Movement'!$B:$B,A341,'Stock Movement'!$E:$E,"OUT"))</f>
        <v/>
      </c>
      <c r="H341" s="86" t="str">
        <f t="shared" si="1"/>
        <v/>
      </c>
      <c r="I341" s="147"/>
      <c r="J341" s="156"/>
      <c r="K341" s="83" t="str">
        <f t="shared" si="2"/>
        <v/>
      </c>
    </row>
    <row r="342" ht="15.75" customHeight="1">
      <c r="A342" s="150"/>
      <c r="B342" s="153"/>
      <c r="C342" s="150"/>
      <c r="D342" s="150" t="str">
        <f t="array" ref="D342">IF(A342="","",IFERROR(INDEX('Location Master'!$E$2:$E$502, IFERROR(MATCH(A342,'Location Master'!$G$2:$G$502,0), IFERROR(MATCH(A342&amp;" (*",'Location Master'!$G$2:$G$502,0), MATCH(A342&amp;"*",'Location Master'!$G$2:$G$502,0)))), ""))</f>
        <v/>
      </c>
      <c r="E342" s="154"/>
      <c r="F342" s="75" t="str">
        <f>IF(A342="","",SUMIFS('Stock Movement'!$F:$F,'Stock Movement'!$B:$B,A342,'Stock Movement'!$E:$E,"IN"))</f>
        <v/>
      </c>
      <c r="G342" s="75" t="str">
        <f>IF(A342="","",SUMIFS('Stock Movement'!$F:$F,'Stock Movement'!$B:$B,A342,'Stock Movement'!$E:$E,"OUT"))</f>
        <v/>
      </c>
      <c r="H342" s="75" t="str">
        <f t="shared" si="1"/>
        <v/>
      </c>
      <c r="I342" s="150"/>
      <c r="J342" s="154"/>
      <c r="K342" s="91" t="str">
        <f t="shared" si="2"/>
        <v/>
      </c>
    </row>
    <row r="343" ht="15.75" customHeight="1">
      <c r="A343" s="147"/>
      <c r="B343" s="155"/>
      <c r="C343" s="147"/>
      <c r="D343" s="147" t="str">
        <f t="array" ref="D343">IF(A343="","",IFERROR(INDEX('Location Master'!$E$2:$E$502, IFERROR(MATCH(A343,'Location Master'!$G$2:$G$502,0), IFERROR(MATCH(A343&amp;" (*",'Location Master'!$G$2:$G$502,0), MATCH(A343&amp;"*",'Location Master'!$G$2:$G$502,0)))), ""))</f>
        <v/>
      </c>
      <c r="E343" s="156"/>
      <c r="F343" s="86" t="str">
        <f>IF(A343="","",SUMIFS('Stock Movement'!$F:$F,'Stock Movement'!$B:$B,A343,'Stock Movement'!$E:$E,"IN"))</f>
        <v/>
      </c>
      <c r="G343" s="86" t="str">
        <f>IF(A343="","",SUMIFS('Stock Movement'!$F:$F,'Stock Movement'!$B:$B,A343,'Stock Movement'!$E:$E,"OUT"))</f>
        <v/>
      </c>
      <c r="H343" s="86" t="str">
        <f t="shared" si="1"/>
        <v/>
      </c>
      <c r="I343" s="147"/>
      <c r="J343" s="156"/>
      <c r="K343" s="83" t="str">
        <f t="shared" si="2"/>
        <v/>
      </c>
    </row>
    <row r="344" ht="15.75" customHeight="1">
      <c r="A344" s="150"/>
      <c r="B344" s="153"/>
      <c r="C344" s="150"/>
      <c r="D344" s="150" t="str">
        <f t="array" ref="D344">IF(A344="","",IFERROR(INDEX('Location Master'!$E$2:$E$502, IFERROR(MATCH(A344,'Location Master'!$G$2:$G$502,0), IFERROR(MATCH(A344&amp;" (*",'Location Master'!$G$2:$G$502,0), MATCH(A344&amp;"*",'Location Master'!$G$2:$G$502,0)))), ""))</f>
        <v/>
      </c>
      <c r="E344" s="154"/>
      <c r="F344" s="75" t="str">
        <f>IF(A344="","",SUMIFS('Stock Movement'!$F:$F,'Stock Movement'!$B:$B,A344,'Stock Movement'!$E:$E,"IN"))</f>
        <v/>
      </c>
      <c r="G344" s="75" t="str">
        <f>IF(A344="","",SUMIFS('Stock Movement'!$F:$F,'Stock Movement'!$B:$B,A344,'Stock Movement'!$E:$E,"OUT"))</f>
        <v/>
      </c>
      <c r="H344" s="75" t="str">
        <f t="shared" si="1"/>
        <v/>
      </c>
      <c r="I344" s="150"/>
      <c r="J344" s="154"/>
      <c r="K344" s="91" t="str">
        <f t="shared" si="2"/>
        <v/>
      </c>
    </row>
    <row r="345" ht="15.75" customHeight="1">
      <c r="A345" s="147"/>
      <c r="B345" s="155"/>
      <c r="C345" s="147"/>
      <c r="D345" s="147" t="str">
        <f t="array" ref="D345">IF(A345="","",IFERROR(INDEX('Location Master'!$E$2:$E$502, IFERROR(MATCH(A345,'Location Master'!$G$2:$G$502,0), IFERROR(MATCH(A345&amp;" (*",'Location Master'!$G$2:$G$502,0), MATCH(A345&amp;"*",'Location Master'!$G$2:$G$502,0)))), ""))</f>
        <v/>
      </c>
      <c r="E345" s="156"/>
      <c r="F345" s="86" t="str">
        <f>IF(A345="","",SUMIFS('Stock Movement'!$F:$F,'Stock Movement'!$B:$B,A345,'Stock Movement'!$E:$E,"IN"))</f>
        <v/>
      </c>
      <c r="G345" s="86" t="str">
        <f>IF(A345="","",SUMIFS('Stock Movement'!$F:$F,'Stock Movement'!$B:$B,A345,'Stock Movement'!$E:$E,"OUT"))</f>
        <v/>
      </c>
      <c r="H345" s="86" t="str">
        <f t="shared" si="1"/>
        <v/>
      </c>
      <c r="I345" s="147"/>
      <c r="J345" s="156"/>
      <c r="K345" s="83" t="str">
        <f t="shared" si="2"/>
        <v/>
      </c>
    </row>
    <row r="346" ht="15.75" customHeight="1">
      <c r="A346" s="150"/>
      <c r="B346" s="153"/>
      <c r="C346" s="150"/>
      <c r="D346" s="150" t="str">
        <f t="array" ref="D346">IF(A346="","",IFERROR(INDEX('Location Master'!$E$2:$E$502, IFERROR(MATCH(A346,'Location Master'!$G$2:$G$502,0), IFERROR(MATCH(A346&amp;" (*",'Location Master'!$G$2:$G$502,0), MATCH(A346&amp;"*",'Location Master'!$G$2:$G$502,0)))), ""))</f>
        <v/>
      </c>
      <c r="E346" s="154"/>
      <c r="F346" s="75" t="str">
        <f>IF(A346="","",SUMIFS('Stock Movement'!$F:$F,'Stock Movement'!$B:$B,A346,'Stock Movement'!$E:$E,"IN"))</f>
        <v/>
      </c>
      <c r="G346" s="75" t="str">
        <f>IF(A346="","",SUMIFS('Stock Movement'!$F:$F,'Stock Movement'!$B:$B,A346,'Stock Movement'!$E:$E,"OUT"))</f>
        <v/>
      </c>
      <c r="H346" s="75" t="str">
        <f t="shared" si="1"/>
        <v/>
      </c>
      <c r="I346" s="150"/>
      <c r="J346" s="154"/>
      <c r="K346" s="91" t="str">
        <f t="shared" si="2"/>
        <v/>
      </c>
    </row>
    <row r="347" ht="15.75" customHeight="1">
      <c r="A347" s="147"/>
      <c r="B347" s="155"/>
      <c r="C347" s="147"/>
      <c r="D347" s="147" t="str">
        <f t="array" ref="D347">IF(A347="","",IFERROR(INDEX('Location Master'!$E$2:$E$502, IFERROR(MATCH(A347,'Location Master'!$G$2:$G$502,0), IFERROR(MATCH(A347&amp;" (*",'Location Master'!$G$2:$G$502,0), MATCH(A347&amp;"*",'Location Master'!$G$2:$G$502,0)))), ""))</f>
        <v/>
      </c>
      <c r="E347" s="156"/>
      <c r="F347" s="86" t="str">
        <f>IF(A347="","",SUMIFS('Stock Movement'!$F:$F,'Stock Movement'!$B:$B,A347,'Stock Movement'!$E:$E,"IN"))</f>
        <v/>
      </c>
      <c r="G347" s="86" t="str">
        <f>IF(A347="","",SUMIFS('Stock Movement'!$F:$F,'Stock Movement'!$B:$B,A347,'Stock Movement'!$E:$E,"OUT"))</f>
        <v/>
      </c>
      <c r="H347" s="86" t="str">
        <f t="shared" si="1"/>
        <v/>
      </c>
      <c r="I347" s="147"/>
      <c r="J347" s="156"/>
      <c r="K347" s="83" t="str">
        <f t="shared" si="2"/>
        <v/>
      </c>
    </row>
    <row r="348" ht="15.75" customHeight="1">
      <c r="A348" s="150"/>
      <c r="B348" s="153"/>
      <c r="C348" s="150"/>
      <c r="D348" s="150" t="str">
        <f t="array" ref="D348">IF(A348="","",IFERROR(INDEX('Location Master'!$E$2:$E$502, IFERROR(MATCH(A348,'Location Master'!$G$2:$G$502,0), IFERROR(MATCH(A348&amp;" (*",'Location Master'!$G$2:$G$502,0), MATCH(A348&amp;"*",'Location Master'!$G$2:$G$502,0)))), ""))</f>
        <v/>
      </c>
      <c r="E348" s="154"/>
      <c r="F348" s="75" t="str">
        <f>IF(A348="","",SUMIFS('Stock Movement'!$F:$F,'Stock Movement'!$B:$B,A348,'Stock Movement'!$E:$E,"IN"))</f>
        <v/>
      </c>
      <c r="G348" s="75" t="str">
        <f>IF(A348="","",SUMIFS('Stock Movement'!$F:$F,'Stock Movement'!$B:$B,A348,'Stock Movement'!$E:$E,"OUT"))</f>
        <v/>
      </c>
      <c r="H348" s="75" t="str">
        <f t="shared" si="1"/>
        <v/>
      </c>
      <c r="I348" s="150"/>
      <c r="J348" s="154"/>
      <c r="K348" s="91" t="str">
        <f t="shared" si="2"/>
        <v/>
      </c>
    </row>
    <row r="349" ht="15.75" customHeight="1">
      <c r="A349" s="147"/>
      <c r="B349" s="155"/>
      <c r="C349" s="147"/>
      <c r="D349" s="147" t="str">
        <f t="array" ref="D349">IF(A349="","",IFERROR(INDEX('Location Master'!$E$2:$E$502, IFERROR(MATCH(A349,'Location Master'!$G$2:$G$502,0), IFERROR(MATCH(A349&amp;" (*",'Location Master'!$G$2:$G$502,0), MATCH(A349&amp;"*",'Location Master'!$G$2:$G$502,0)))), ""))</f>
        <v/>
      </c>
      <c r="E349" s="156"/>
      <c r="F349" s="86" t="str">
        <f>IF(A349="","",SUMIFS('Stock Movement'!$F:$F,'Stock Movement'!$B:$B,A349,'Stock Movement'!$E:$E,"IN"))</f>
        <v/>
      </c>
      <c r="G349" s="86" t="str">
        <f>IF(A349="","",SUMIFS('Stock Movement'!$F:$F,'Stock Movement'!$B:$B,A349,'Stock Movement'!$E:$E,"OUT"))</f>
        <v/>
      </c>
      <c r="H349" s="86" t="str">
        <f t="shared" si="1"/>
        <v/>
      </c>
      <c r="I349" s="147"/>
      <c r="J349" s="156"/>
      <c r="K349" s="83" t="str">
        <f t="shared" si="2"/>
        <v/>
      </c>
    </row>
    <row r="350" ht="15.75" customHeight="1">
      <c r="A350" s="150"/>
      <c r="B350" s="153"/>
      <c r="C350" s="150"/>
      <c r="D350" s="150" t="str">
        <f t="array" ref="D350">IF(A350="","",IFERROR(INDEX('Location Master'!$E$2:$E$502, IFERROR(MATCH(A350,'Location Master'!$G$2:$G$502,0), IFERROR(MATCH(A350&amp;" (*",'Location Master'!$G$2:$G$502,0), MATCH(A350&amp;"*",'Location Master'!$G$2:$G$502,0)))), ""))</f>
        <v/>
      </c>
      <c r="E350" s="154"/>
      <c r="F350" s="75" t="str">
        <f>IF(A350="","",SUMIFS('Stock Movement'!$F:$F,'Stock Movement'!$B:$B,A350,'Stock Movement'!$E:$E,"IN"))</f>
        <v/>
      </c>
      <c r="G350" s="75" t="str">
        <f>IF(A350="","",SUMIFS('Stock Movement'!$F:$F,'Stock Movement'!$B:$B,A350,'Stock Movement'!$E:$E,"OUT"))</f>
        <v/>
      </c>
      <c r="H350" s="75" t="str">
        <f t="shared" si="1"/>
        <v/>
      </c>
      <c r="I350" s="150"/>
      <c r="J350" s="154"/>
      <c r="K350" s="91" t="str">
        <f t="shared" si="2"/>
        <v/>
      </c>
    </row>
    <row r="351" ht="15.75" customHeight="1">
      <c r="A351" s="147"/>
      <c r="B351" s="155"/>
      <c r="C351" s="147"/>
      <c r="D351" s="147" t="str">
        <f t="array" ref="D351">IF(A351="","",IFERROR(INDEX('Location Master'!$E$2:$E$502, IFERROR(MATCH(A351,'Location Master'!$G$2:$G$502,0), IFERROR(MATCH(A351&amp;" (*",'Location Master'!$G$2:$G$502,0), MATCH(A351&amp;"*",'Location Master'!$G$2:$G$502,0)))), ""))</f>
        <v/>
      </c>
      <c r="E351" s="156"/>
      <c r="F351" s="86" t="str">
        <f>IF(A351="","",SUMIFS('Stock Movement'!$F:$F,'Stock Movement'!$B:$B,A351,'Stock Movement'!$E:$E,"IN"))</f>
        <v/>
      </c>
      <c r="G351" s="86" t="str">
        <f>IF(A351="","",SUMIFS('Stock Movement'!$F:$F,'Stock Movement'!$B:$B,A351,'Stock Movement'!$E:$E,"OUT"))</f>
        <v/>
      </c>
      <c r="H351" s="86" t="str">
        <f t="shared" si="1"/>
        <v/>
      </c>
      <c r="I351" s="147"/>
      <c r="J351" s="156"/>
      <c r="K351" s="83" t="str">
        <f t="shared" si="2"/>
        <v/>
      </c>
    </row>
    <row r="352" ht="15.75" customHeight="1">
      <c r="A352" s="150"/>
      <c r="B352" s="153"/>
      <c r="C352" s="150"/>
      <c r="D352" s="150" t="str">
        <f t="array" ref="D352">IF(A352="","",IFERROR(INDEX('Location Master'!$E$2:$E$502, IFERROR(MATCH(A352,'Location Master'!$G$2:$G$502,0), IFERROR(MATCH(A352&amp;" (*",'Location Master'!$G$2:$G$502,0), MATCH(A352&amp;"*",'Location Master'!$G$2:$G$502,0)))), ""))</f>
        <v/>
      </c>
      <c r="E352" s="154"/>
      <c r="F352" s="75" t="str">
        <f>IF(A352="","",SUMIFS('Stock Movement'!$F:$F,'Stock Movement'!$B:$B,A352,'Stock Movement'!$E:$E,"IN"))</f>
        <v/>
      </c>
      <c r="G352" s="75" t="str">
        <f>IF(A352="","",SUMIFS('Stock Movement'!$F:$F,'Stock Movement'!$B:$B,A352,'Stock Movement'!$E:$E,"OUT"))</f>
        <v/>
      </c>
      <c r="H352" s="75" t="str">
        <f t="shared" si="1"/>
        <v/>
      </c>
      <c r="I352" s="150"/>
      <c r="J352" s="154"/>
      <c r="K352" s="91" t="str">
        <f t="shared" si="2"/>
        <v/>
      </c>
    </row>
    <row r="353" ht="15.75" customHeight="1">
      <c r="A353" s="147"/>
      <c r="B353" s="155"/>
      <c r="C353" s="147"/>
      <c r="D353" s="147" t="str">
        <f t="array" ref="D353">IF(A353="","",IFERROR(INDEX('Location Master'!$E$2:$E$502, IFERROR(MATCH(A353,'Location Master'!$G$2:$G$502,0), IFERROR(MATCH(A353&amp;" (*",'Location Master'!$G$2:$G$502,0), MATCH(A353&amp;"*",'Location Master'!$G$2:$G$502,0)))), ""))</f>
        <v/>
      </c>
      <c r="E353" s="156"/>
      <c r="F353" s="86" t="str">
        <f>IF(A353="","",SUMIFS('Stock Movement'!$F:$F,'Stock Movement'!$B:$B,A353,'Stock Movement'!$E:$E,"IN"))</f>
        <v/>
      </c>
      <c r="G353" s="86" t="str">
        <f>IF(A353="","",SUMIFS('Stock Movement'!$F:$F,'Stock Movement'!$B:$B,A353,'Stock Movement'!$E:$E,"OUT"))</f>
        <v/>
      </c>
      <c r="H353" s="86" t="str">
        <f t="shared" si="1"/>
        <v/>
      </c>
      <c r="I353" s="147"/>
      <c r="J353" s="156"/>
      <c r="K353" s="83" t="str">
        <f t="shared" si="2"/>
        <v/>
      </c>
    </row>
    <row r="354" ht="15.75" customHeight="1">
      <c r="A354" s="150"/>
      <c r="B354" s="153"/>
      <c r="C354" s="150"/>
      <c r="D354" s="150" t="str">
        <f t="array" ref="D354">IF(A354="","",IFERROR(INDEX('Location Master'!$E$2:$E$502, IFERROR(MATCH(A354,'Location Master'!$G$2:$G$502,0), IFERROR(MATCH(A354&amp;" (*",'Location Master'!$G$2:$G$502,0), MATCH(A354&amp;"*",'Location Master'!$G$2:$G$502,0)))), ""))</f>
        <v/>
      </c>
      <c r="E354" s="154"/>
      <c r="F354" s="75" t="str">
        <f>IF(A354="","",SUMIFS('Stock Movement'!$F:$F,'Stock Movement'!$B:$B,A354,'Stock Movement'!$E:$E,"IN"))</f>
        <v/>
      </c>
      <c r="G354" s="75" t="str">
        <f>IF(A354="","",SUMIFS('Stock Movement'!$F:$F,'Stock Movement'!$B:$B,A354,'Stock Movement'!$E:$E,"OUT"))</f>
        <v/>
      </c>
      <c r="H354" s="75" t="str">
        <f t="shared" si="1"/>
        <v/>
      </c>
      <c r="I354" s="150"/>
      <c r="J354" s="154"/>
      <c r="K354" s="91" t="str">
        <f t="shared" si="2"/>
        <v/>
      </c>
    </row>
    <row r="355" ht="15.75" customHeight="1">
      <c r="A355" s="147"/>
      <c r="B355" s="155"/>
      <c r="C355" s="147"/>
      <c r="D355" s="147" t="str">
        <f t="array" ref="D355">IF(A355="","",IFERROR(INDEX('Location Master'!$E$2:$E$502, IFERROR(MATCH(A355,'Location Master'!$G$2:$G$502,0), IFERROR(MATCH(A355&amp;" (*",'Location Master'!$G$2:$G$502,0), MATCH(A355&amp;"*",'Location Master'!$G$2:$G$502,0)))), ""))</f>
        <v/>
      </c>
      <c r="E355" s="156"/>
      <c r="F355" s="86" t="str">
        <f>IF(A355="","",SUMIFS('Stock Movement'!$F:$F,'Stock Movement'!$B:$B,A355,'Stock Movement'!$E:$E,"IN"))</f>
        <v/>
      </c>
      <c r="G355" s="86" t="str">
        <f>IF(A355="","",SUMIFS('Stock Movement'!$F:$F,'Stock Movement'!$B:$B,A355,'Stock Movement'!$E:$E,"OUT"))</f>
        <v/>
      </c>
      <c r="H355" s="86" t="str">
        <f t="shared" si="1"/>
        <v/>
      </c>
      <c r="I355" s="147"/>
      <c r="J355" s="156"/>
      <c r="K355" s="83" t="str">
        <f t="shared" si="2"/>
        <v/>
      </c>
    </row>
    <row r="356" ht="15.75" customHeight="1">
      <c r="A356" s="150"/>
      <c r="B356" s="153"/>
      <c r="C356" s="150"/>
      <c r="D356" s="150" t="str">
        <f t="array" ref="D356">IF(A356="","",IFERROR(INDEX('Location Master'!$E$2:$E$502, IFERROR(MATCH(A356,'Location Master'!$G$2:$G$502,0), IFERROR(MATCH(A356&amp;" (*",'Location Master'!$G$2:$G$502,0), MATCH(A356&amp;"*",'Location Master'!$G$2:$G$502,0)))), ""))</f>
        <v/>
      </c>
      <c r="E356" s="154"/>
      <c r="F356" s="75" t="str">
        <f>IF(A356="","",SUMIFS('Stock Movement'!$F:$F,'Stock Movement'!$B:$B,A356,'Stock Movement'!$E:$E,"IN"))</f>
        <v/>
      </c>
      <c r="G356" s="75" t="str">
        <f>IF(A356="","",SUMIFS('Stock Movement'!$F:$F,'Stock Movement'!$B:$B,A356,'Stock Movement'!$E:$E,"OUT"))</f>
        <v/>
      </c>
      <c r="H356" s="75" t="str">
        <f t="shared" si="1"/>
        <v/>
      </c>
      <c r="I356" s="150"/>
      <c r="J356" s="154"/>
      <c r="K356" s="91" t="str">
        <f t="shared" si="2"/>
        <v/>
      </c>
    </row>
    <row r="357" ht="15.75" customHeight="1">
      <c r="A357" s="147"/>
      <c r="B357" s="155"/>
      <c r="C357" s="147"/>
      <c r="D357" s="147" t="str">
        <f t="array" ref="D357">IF(A357="","",IFERROR(INDEX('Location Master'!$E$2:$E$502, IFERROR(MATCH(A357,'Location Master'!$G$2:$G$502,0), IFERROR(MATCH(A357&amp;" (*",'Location Master'!$G$2:$G$502,0), MATCH(A357&amp;"*",'Location Master'!$G$2:$G$502,0)))), ""))</f>
        <v/>
      </c>
      <c r="E357" s="156"/>
      <c r="F357" s="86" t="str">
        <f>IF(A357="","",SUMIFS('Stock Movement'!$F:$F,'Stock Movement'!$B:$B,A357,'Stock Movement'!$E:$E,"IN"))</f>
        <v/>
      </c>
      <c r="G357" s="86" t="str">
        <f>IF(A357="","",SUMIFS('Stock Movement'!$F:$F,'Stock Movement'!$B:$B,A357,'Stock Movement'!$E:$E,"OUT"))</f>
        <v/>
      </c>
      <c r="H357" s="86" t="str">
        <f t="shared" si="1"/>
        <v/>
      </c>
      <c r="I357" s="147"/>
      <c r="J357" s="156"/>
      <c r="K357" s="83" t="str">
        <f t="shared" si="2"/>
        <v/>
      </c>
    </row>
    <row r="358" ht="15.75" customHeight="1">
      <c r="A358" s="150"/>
      <c r="B358" s="153"/>
      <c r="C358" s="150"/>
      <c r="D358" s="150" t="str">
        <f t="array" ref="D358">IF(A358="","",IFERROR(INDEX('Location Master'!$E$2:$E$502, IFERROR(MATCH(A358,'Location Master'!$G$2:$G$502,0), IFERROR(MATCH(A358&amp;" (*",'Location Master'!$G$2:$G$502,0), MATCH(A358&amp;"*",'Location Master'!$G$2:$G$502,0)))), ""))</f>
        <v/>
      </c>
      <c r="E358" s="154"/>
      <c r="F358" s="75" t="str">
        <f>IF(A358="","",SUMIFS('Stock Movement'!$F:$F,'Stock Movement'!$B:$B,A358,'Stock Movement'!$E:$E,"IN"))</f>
        <v/>
      </c>
      <c r="G358" s="75" t="str">
        <f>IF(A358="","",SUMIFS('Stock Movement'!$F:$F,'Stock Movement'!$B:$B,A358,'Stock Movement'!$E:$E,"OUT"))</f>
        <v/>
      </c>
      <c r="H358" s="75" t="str">
        <f t="shared" si="1"/>
        <v/>
      </c>
      <c r="I358" s="150"/>
      <c r="J358" s="154"/>
      <c r="K358" s="91" t="str">
        <f t="shared" si="2"/>
        <v/>
      </c>
    </row>
    <row r="359" ht="15.75" customHeight="1">
      <c r="A359" s="147"/>
      <c r="B359" s="155"/>
      <c r="C359" s="147"/>
      <c r="D359" s="147" t="str">
        <f t="array" ref="D359">IF(A359="","",IFERROR(INDEX('Location Master'!$E$2:$E$502, IFERROR(MATCH(A359,'Location Master'!$G$2:$G$502,0), IFERROR(MATCH(A359&amp;" (*",'Location Master'!$G$2:$G$502,0), MATCH(A359&amp;"*",'Location Master'!$G$2:$G$502,0)))), ""))</f>
        <v/>
      </c>
      <c r="E359" s="156"/>
      <c r="F359" s="86" t="str">
        <f>IF(A359="","",SUMIFS('Stock Movement'!$F:$F,'Stock Movement'!$B:$B,A359,'Stock Movement'!$E:$E,"IN"))</f>
        <v/>
      </c>
      <c r="G359" s="86" t="str">
        <f>IF(A359="","",SUMIFS('Stock Movement'!$F:$F,'Stock Movement'!$B:$B,A359,'Stock Movement'!$E:$E,"OUT"))</f>
        <v/>
      </c>
      <c r="H359" s="86" t="str">
        <f t="shared" si="1"/>
        <v/>
      </c>
      <c r="I359" s="147"/>
      <c r="J359" s="156"/>
      <c r="K359" s="83" t="str">
        <f t="shared" si="2"/>
        <v/>
      </c>
    </row>
    <row r="360" ht="15.75" customHeight="1">
      <c r="A360" s="150"/>
      <c r="B360" s="153"/>
      <c r="C360" s="150"/>
      <c r="D360" s="150" t="str">
        <f t="array" ref="D360">IF(A360="","",IFERROR(INDEX('Location Master'!$E$2:$E$502, IFERROR(MATCH(A360,'Location Master'!$G$2:$G$502,0), IFERROR(MATCH(A360&amp;" (*",'Location Master'!$G$2:$G$502,0), MATCH(A360&amp;"*",'Location Master'!$G$2:$G$502,0)))), ""))</f>
        <v/>
      </c>
      <c r="E360" s="154"/>
      <c r="F360" s="75" t="str">
        <f>IF(A360="","",SUMIFS('Stock Movement'!$F:$F,'Stock Movement'!$B:$B,A360,'Stock Movement'!$E:$E,"IN"))</f>
        <v/>
      </c>
      <c r="G360" s="75" t="str">
        <f>IF(A360="","",SUMIFS('Stock Movement'!$F:$F,'Stock Movement'!$B:$B,A360,'Stock Movement'!$E:$E,"OUT"))</f>
        <v/>
      </c>
      <c r="H360" s="75" t="str">
        <f t="shared" si="1"/>
        <v/>
      </c>
      <c r="I360" s="150"/>
      <c r="J360" s="154"/>
      <c r="K360" s="91" t="str">
        <f t="shared" si="2"/>
        <v/>
      </c>
    </row>
    <row r="361" ht="15.75" customHeight="1">
      <c r="A361" s="147"/>
      <c r="B361" s="155"/>
      <c r="C361" s="147"/>
      <c r="D361" s="147" t="str">
        <f t="array" ref="D361">IF(A361="","",IFERROR(INDEX('Location Master'!$E$2:$E$502, IFERROR(MATCH(A361,'Location Master'!$G$2:$G$502,0), IFERROR(MATCH(A361&amp;" (*",'Location Master'!$G$2:$G$502,0), MATCH(A361&amp;"*",'Location Master'!$G$2:$G$502,0)))), ""))</f>
        <v/>
      </c>
      <c r="E361" s="156"/>
      <c r="F361" s="86" t="str">
        <f>IF(A361="","",SUMIFS('Stock Movement'!$F:$F,'Stock Movement'!$B:$B,A361,'Stock Movement'!$E:$E,"IN"))</f>
        <v/>
      </c>
      <c r="G361" s="86" t="str">
        <f>IF(A361="","",SUMIFS('Stock Movement'!$F:$F,'Stock Movement'!$B:$B,A361,'Stock Movement'!$E:$E,"OUT"))</f>
        <v/>
      </c>
      <c r="H361" s="86" t="str">
        <f t="shared" si="1"/>
        <v/>
      </c>
      <c r="I361" s="147"/>
      <c r="J361" s="156"/>
      <c r="K361" s="83" t="str">
        <f t="shared" si="2"/>
        <v/>
      </c>
    </row>
    <row r="362" ht="15.75" customHeight="1">
      <c r="A362" s="150"/>
      <c r="B362" s="153"/>
      <c r="C362" s="150"/>
      <c r="D362" s="150" t="str">
        <f t="array" ref="D362">IF(A362="","",IFERROR(INDEX('Location Master'!$E$2:$E$502, IFERROR(MATCH(A362,'Location Master'!$G$2:$G$502,0), IFERROR(MATCH(A362&amp;" (*",'Location Master'!$G$2:$G$502,0), MATCH(A362&amp;"*",'Location Master'!$G$2:$G$502,0)))), ""))</f>
        <v/>
      </c>
      <c r="E362" s="154"/>
      <c r="F362" s="75" t="str">
        <f>IF(A362="","",SUMIFS('Stock Movement'!$F:$F,'Stock Movement'!$B:$B,A362,'Stock Movement'!$E:$E,"IN"))</f>
        <v/>
      </c>
      <c r="G362" s="75" t="str">
        <f>IF(A362="","",SUMIFS('Stock Movement'!$F:$F,'Stock Movement'!$B:$B,A362,'Stock Movement'!$E:$E,"OUT"))</f>
        <v/>
      </c>
      <c r="H362" s="75" t="str">
        <f t="shared" si="1"/>
        <v/>
      </c>
      <c r="I362" s="150"/>
      <c r="J362" s="154"/>
      <c r="K362" s="91" t="str">
        <f t="shared" si="2"/>
        <v/>
      </c>
    </row>
    <row r="363" ht="15.75" customHeight="1">
      <c r="A363" s="147"/>
      <c r="B363" s="155"/>
      <c r="C363" s="147"/>
      <c r="D363" s="147" t="str">
        <f t="array" ref="D363">IF(A363="","",IFERROR(INDEX('Location Master'!$E$2:$E$502, IFERROR(MATCH(A363,'Location Master'!$G$2:$G$502,0), IFERROR(MATCH(A363&amp;" (*",'Location Master'!$G$2:$G$502,0), MATCH(A363&amp;"*",'Location Master'!$G$2:$G$502,0)))), ""))</f>
        <v/>
      </c>
      <c r="E363" s="156"/>
      <c r="F363" s="86" t="str">
        <f>IF(A363="","",SUMIFS('Stock Movement'!$F:$F,'Stock Movement'!$B:$B,A363,'Stock Movement'!$E:$E,"IN"))</f>
        <v/>
      </c>
      <c r="G363" s="86" t="str">
        <f>IF(A363="","",SUMIFS('Stock Movement'!$F:$F,'Stock Movement'!$B:$B,A363,'Stock Movement'!$E:$E,"OUT"))</f>
        <v/>
      </c>
      <c r="H363" s="86" t="str">
        <f t="shared" si="1"/>
        <v/>
      </c>
      <c r="I363" s="147"/>
      <c r="J363" s="156"/>
      <c r="K363" s="83" t="str">
        <f t="shared" si="2"/>
        <v/>
      </c>
    </row>
    <row r="364" ht="15.75" customHeight="1">
      <c r="A364" s="150"/>
      <c r="B364" s="153"/>
      <c r="C364" s="150"/>
      <c r="D364" s="150" t="str">
        <f t="array" ref="D364">IF(A364="","",IFERROR(INDEX('Location Master'!$E$2:$E$502, IFERROR(MATCH(A364,'Location Master'!$G$2:$G$502,0), IFERROR(MATCH(A364&amp;" (*",'Location Master'!$G$2:$G$502,0), MATCH(A364&amp;"*",'Location Master'!$G$2:$G$502,0)))), ""))</f>
        <v/>
      </c>
      <c r="E364" s="154"/>
      <c r="F364" s="75" t="str">
        <f>IF(A364="","",SUMIFS('Stock Movement'!$F:$F,'Stock Movement'!$B:$B,A364,'Stock Movement'!$E:$E,"IN"))</f>
        <v/>
      </c>
      <c r="G364" s="75" t="str">
        <f>IF(A364="","",SUMIFS('Stock Movement'!$F:$F,'Stock Movement'!$B:$B,A364,'Stock Movement'!$E:$E,"OUT"))</f>
        <v/>
      </c>
      <c r="H364" s="75" t="str">
        <f t="shared" si="1"/>
        <v/>
      </c>
      <c r="I364" s="150"/>
      <c r="J364" s="154"/>
      <c r="K364" s="91" t="str">
        <f t="shared" si="2"/>
        <v/>
      </c>
    </row>
    <row r="365" ht="15.75" customHeight="1">
      <c r="A365" s="147"/>
      <c r="B365" s="155"/>
      <c r="C365" s="147"/>
      <c r="D365" s="147" t="str">
        <f t="array" ref="D365">IF(A365="","",IFERROR(INDEX('Location Master'!$E$2:$E$502, IFERROR(MATCH(A365,'Location Master'!$G$2:$G$502,0), IFERROR(MATCH(A365&amp;" (*",'Location Master'!$G$2:$G$502,0), MATCH(A365&amp;"*",'Location Master'!$G$2:$G$502,0)))), ""))</f>
        <v/>
      </c>
      <c r="E365" s="156"/>
      <c r="F365" s="86" t="str">
        <f>IF(A365="","",SUMIFS('Stock Movement'!$F:$F,'Stock Movement'!$B:$B,A365,'Stock Movement'!$E:$E,"IN"))</f>
        <v/>
      </c>
      <c r="G365" s="86" t="str">
        <f>IF(A365="","",SUMIFS('Stock Movement'!$F:$F,'Stock Movement'!$B:$B,A365,'Stock Movement'!$E:$E,"OUT"))</f>
        <v/>
      </c>
      <c r="H365" s="86" t="str">
        <f t="shared" si="1"/>
        <v/>
      </c>
      <c r="I365" s="147"/>
      <c r="J365" s="156"/>
      <c r="K365" s="83" t="str">
        <f t="shared" si="2"/>
        <v/>
      </c>
    </row>
    <row r="366" ht="15.75" customHeight="1">
      <c r="A366" s="150"/>
      <c r="B366" s="153"/>
      <c r="C366" s="150"/>
      <c r="D366" s="150" t="str">
        <f t="array" ref="D366">IF(A366="","",IFERROR(INDEX('Location Master'!$E$2:$E$502, IFERROR(MATCH(A366,'Location Master'!$G$2:$G$502,0), IFERROR(MATCH(A366&amp;" (*",'Location Master'!$G$2:$G$502,0), MATCH(A366&amp;"*",'Location Master'!$G$2:$G$502,0)))), ""))</f>
        <v/>
      </c>
      <c r="E366" s="154"/>
      <c r="F366" s="75" t="str">
        <f>IF(A366="","",SUMIFS('Stock Movement'!$F:$F,'Stock Movement'!$B:$B,A366,'Stock Movement'!$E:$E,"IN"))</f>
        <v/>
      </c>
      <c r="G366" s="75" t="str">
        <f>IF(A366="","",SUMIFS('Stock Movement'!$F:$F,'Stock Movement'!$B:$B,A366,'Stock Movement'!$E:$E,"OUT"))</f>
        <v/>
      </c>
      <c r="H366" s="75" t="str">
        <f t="shared" si="1"/>
        <v/>
      </c>
      <c r="I366" s="150"/>
      <c r="J366" s="154"/>
      <c r="K366" s="91" t="str">
        <f t="shared" si="2"/>
        <v/>
      </c>
    </row>
    <row r="367" ht="15.75" customHeight="1">
      <c r="A367" s="147"/>
      <c r="B367" s="155"/>
      <c r="C367" s="147"/>
      <c r="D367" s="147" t="str">
        <f t="array" ref="D367">IF(A367="","",IFERROR(INDEX('Location Master'!$E$2:$E$502, IFERROR(MATCH(A367,'Location Master'!$G$2:$G$502,0), IFERROR(MATCH(A367&amp;" (*",'Location Master'!$G$2:$G$502,0), MATCH(A367&amp;"*",'Location Master'!$G$2:$G$502,0)))), ""))</f>
        <v/>
      </c>
      <c r="E367" s="156"/>
      <c r="F367" s="86" t="str">
        <f>IF(A367="","",SUMIFS('Stock Movement'!$F:$F,'Stock Movement'!$B:$B,A367,'Stock Movement'!$E:$E,"IN"))</f>
        <v/>
      </c>
      <c r="G367" s="86" t="str">
        <f>IF(A367="","",SUMIFS('Stock Movement'!$F:$F,'Stock Movement'!$B:$B,A367,'Stock Movement'!$E:$E,"OUT"))</f>
        <v/>
      </c>
      <c r="H367" s="86" t="str">
        <f t="shared" si="1"/>
        <v/>
      </c>
      <c r="I367" s="147"/>
      <c r="J367" s="156"/>
      <c r="K367" s="83" t="str">
        <f t="shared" si="2"/>
        <v/>
      </c>
    </row>
    <row r="368" ht="15.75" customHeight="1">
      <c r="A368" s="150"/>
      <c r="B368" s="153"/>
      <c r="C368" s="150"/>
      <c r="D368" s="150" t="str">
        <f t="array" ref="D368">IF(A368="","",IFERROR(INDEX('Location Master'!$E$2:$E$502, IFERROR(MATCH(A368,'Location Master'!$G$2:$G$502,0), IFERROR(MATCH(A368&amp;" (*",'Location Master'!$G$2:$G$502,0), MATCH(A368&amp;"*",'Location Master'!$G$2:$G$502,0)))), ""))</f>
        <v/>
      </c>
      <c r="E368" s="154"/>
      <c r="F368" s="75" t="str">
        <f>IF(A368="","",SUMIFS('Stock Movement'!$F:$F,'Stock Movement'!$B:$B,A368,'Stock Movement'!$E:$E,"IN"))</f>
        <v/>
      </c>
      <c r="G368" s="75" t="str">
        <f>IF(A368="","",SUMIFS('Stock Movement'!$F:$F,'Stock Movement'!$B:$B,A368,'Stock Movement'!$E:$E,"OUT"))</f>
        <v/>
      </c>
      <c r="H368" s="75" t="str">
        <f t="shared" si="1"/>
        <v/>
      </c>
      <c r="I368" s="150"/>
      <c r="J368" s="154"/>
      <c r="K368" s="91" t="str">
        <f t="shared" si="2"/>
        <v/>
      </c>
    </row>
    <row r="369" ht="15.75" customHeight="1">
      <c r="A369" s="147"/>
      <c r="B369" s="155"/>
      <c r="C369" s="147"/>
      <c r="D369" s="147" t="str">
        <f t="array" ref="D369">IF(A369="","",IFERROR(INDEX('Location Master'!$E$2:$E$502, IFERROR(MATCH(A369,'Location Master'!$G$2:$G$502,0), IFERROR(MATCH(A369&amp;" (*",'Location Master'!$G$2:$G$502,0), MATCH(A369&amp;"*",'Location Master'!$G$2:$G$502,0)))), ""))</f>
        <v/>
      </c>
      <c r="E369" s="156"/>
      <c r="F369" s="86" t="str">
        <f>IF(A369="","",SUMIFS('Stock Movement'!$F:$F,'Stock Movement'!$B:$B,A369,'Stock Movement'!$E:$E,"IN"))</f>
        <v/>
      </c>
      <c r="G369" s="86" t="str">
        <f>IF(A369="","",SUMIFS('Stock Movement'!$F:$F,'Stock Movement'!$B:$B,A369,'Stock Movement'!$E:$E,"OUT"))</f>
        <v/>
      </c>
      <c r="H369" s="86" t="str">
        <f t="shared" si="1"/>
        <v/>
      </c>
      <c r="I369" s="147"/>
      <c r="J369" s="156"/>
      <c r="K369" s="83" t="str">
        <f t="shared" si="2"/>
        <v/>
      </c>
    </row>
    <row r="370" ht="15.75" customHeight="1">
      <c r="A370" s="150"/>
      <c r="B370" s="153"/>
      <c r="C370" s="150"/>
      <c r="D370" s="150" t="str">
        <f t="array" ref="D370">IF(A370="","",IFERROR(INDEX('Location Master'!$E$2:$E$502, IFERROR(MATCH(A370,'Location Master'!$G$2:$G$502,0), IFERROR(MATCH(A370&amp;" (*",'Location Master'!$G$2:$G$502,0), MATCH(A370&amp;"*",'Location Master'!$G$2:$G$502,0)))), ""))</f>
        <v/>
      </c>
      <c r="E370" s="154"/>
      <c r="F370" s="75" t="str">
        <f>IF(A370="","",SUMIFS('Stock Movement'!$F:$F,'Stock Movement'!$B:$B,A370,'Stock Movement'!$E:$E,"IN"))</f>
        <v/>
      </c>
      <c r="G370" s="75" t="str">
        <f>IF(A370="","",SUMIFS('Stock Movement'!$F:$F,'Stock Movement'!$B:$B,A370,'Stock Movement'!$E:$E,"OUT"))</f>
        <v/>
      </c>
      <c r="H370" s="75" t="str">
        <f t="shared" si="1"/>
        <v/>
      </c>
      <c r="I370" s="150"/>
      <c r="J370" s="154"/>
      <c r="K370" s="91" t="str">
        <f t="shared" si="2"/>
        <v/>
      </c>
    </row>
    <row r="371" ht="15.75" customHeight="1">
      <c r="A371" s="147"/>
      <c r="B371" s="155"/>
      <c r="C371" s="147"/>
      <c r="D371" s="147" t="str">
        <f t="array" ref="D371">IF(A371="","",IFERROR(INDEX('Location Master'!$E$2:$E$502, IFERROR(MATCH(A371,'Location Master'!$G$2:$G$502,0), IFERROR(MATCH(A371&amp;" (*",'Location Master'!$G$2:$G$502,0), MATCH(A371&amp;"*",'Location Master'!$G$2:$G$502,0)))), ""))</f>
        <v/>
      </c>
      <c r="E371" s="156"/>
      <c r="F371" s="86" t="str">
        <f>IF(A371="","",SUMIFS('Stock Movement'!$F:$F,'Stock Movement'!$B:$B,A371,'Stock Movement'!$E:$E,"IN"))</f>
        <v/>
      </c>
      <c r="G371" s="86" t="str">
        <f>IF(A371="","",SUMIFS('Stock Movement'!$F:$F,'Stock Movement'!$B:$B,A371,'Stock Movement'!$E:$E,"OUT"))</f>
        <v/>
      </c>
      <c r="H371" s="86" t="str">
        <f t="shared" si="1"/>
        <v/>
      </c>
      <c r="I371" s="147"/>
      <c r="J371" s="156"/>
      <c r="K371" s="83" t="str">
        <f t="shared" si="2"/>
        <v/>
      </c>
    </row>
    <row r="372" ht="15.75" customHeight="1">
      <c r="A372" s="150"/>
      <c r="B372" s="153"/>
      <c r="C372" s="150"/>
      <c r="D372" s="150" t="str">
        <f t="array" ref="D372">IF(A372="","",IFERROR(INDEX('Location Master'!$E$2:$E$502, IFERROR(MATCH(A372,'Location Master'!$G$2:$G$502,0), IFERROR(MATCH(A372&amp;" (*",'Location Master'!$G$2:$G$502,0), MATCH(A372&amp;"*",'Location Master'!$G$2:$G$502,0)))), ""))</f>
        <v/>
      </c>
      <c r="E372" s="154"/>
      <c r="F372" s="75" t="str">
        <f>IF(A372="","",SUMIFS('Stock Movement'!$F:$F,'Stock Movement'!$B:$B,A372,'Stock Movement'!$E:$E,"IN"))</f>
        <v/>
      </c>
      <c r="G372" s="75" t="str">
        <f>IF(A372="","",SUMIFS('Stock Movement'!$F:$F,'Stock Movement'!$B:$B,A372,'Stock Movement'!$E:$E,"OUT"))</f>
        <v/>
      </c>
      <c r="H372" s="75" t="str">
        <f t="shared" si="1"/>
        <v/>
      </c>
      <c r="I372" s="150"/>
      <c r="J372" s="154"/>
      <c r="K372" s="91" t="str">
        <f t="shared" si="2"/>
        <v/>
      </c>
    </row>
    <row r="373" ht="15.75" customHeight="1">
      <c r="A373" s="147"/>
      <c r="B373" s="155"/>
      <c r="C373" s="147"/>
      <c r="D373" s="147" t="str">
        <f t="array" ref="D373">IF(A373="","",IFERROR(INDEX('Location Master'!$E$2:$E$502, IFERROR(MATCH(A373,'Location Master'!$G$2:$G$502,0), IFERROR(MATCH(A373&amp;" (*",'Location Master'!$G$2:$G$502,0), MATCH(A373&amp;"*",'Location Master'!$G$2:$G$502,0)))), ""))</f>
        <v/>
      </c>
      <c r="E373" s="156"/>
      <c r="F373" s="86" t="str">
        <f>IF(A373="","",SUMIFS('Stock Movement'!$F:$F,'Stock Movement'!$B:$B,A373,'Stock Movement'!$E:$E,"IN"))</f>
        <v/>
      </c>
      <c r="G373" s="86" t="str">
        <f>IF(A373="","",SUMIFS('Stock Movement'!$F:$F,'Stock Movement'!$B:$B,A373,'Stock Movement'!$E:$E,"OUT"))</f>
        <v/>
      </c>
      <c r="H373" s="86" t="str">
        <f t="shared" si="1"/>
        <v/>
      </c>
      <c r="I373" s="147"/>
      <c r="J373" s="156"/>
      <c r="K373" s="83" t="str">
        <f t="shared" si="2"/>
        <v/>
      </c>
    </row>
    <row r="374" ht="15.75" customHeight="1">
      <c r="A374" s="150"/>
      <c r="B374" s="153"/>
      <c r="C374" s="150"/>
      <c r="D374" s="150" t="str">
        <f t="array" ref="D374">IF(A374="","",IFERROR(INDEX('Location Master'!$E$2:$E$502, IFERROR(MATCH(A374,'Location Master'!$G$2:$G$502,0), IFERROR(MATCH(A374&amp;" (*",'Location Master'!$G$2:$G$502,0), MATCH(A374&amp;"*",'Location Master'!$G$2:$G$502,0)))), ""))</f>
        <v/>
      </c>
      <c r="E374" s="154"/>
      <c r="F374" s="75" t="str">
        <f>IF(A374="","",SUMIFS('Stock Movement'!$F:$F,'Stock Movement'!$B:$B,A374,'Stock Movement'!$E:$E,"IN"))</f>
        <v/>
      </c>
      <c r="G374" s="75" t="str">
        <f>IF(A374="","",SUMIFS('Stock Movement'!$F:$F,'Stock Movement'!$B:$B,A374,'Stock Movement'!$E:$E,"OUT"))</f>
        <v/>
      </c>
      <c r="H374" s="75" t="str">
        <f t="shared" si="1"/>
        <v/>
      </c>
      <c r="I374" s="150"/>
      <c r="J374" s="154"/>
      <c r="K374" s="91" t="str">
        <f t="shared" si="2"/>
        <v/>
      </c>
    </row>
    <row r="375" ht="15.75" customHeight="1">
      <c r="A375" s="147"/>
      <c r="B375" s="155"/>
      <c r="C375" s="147"/>
      <c r="D375" s="147" t="str">
        <f t="array" ref="D375">IF(A375="","",IFERROR(INDEX('Location Master'!$E$2:$E$502, IFERROR(MATCH(A375,'Location Master'!$G$2:$G$502,0), IFERROR(MATCH(A375&amp;" (*",'Location Master'!$G$2:$G$502,0), MATCH(A375&amp;"*",'Location Master'!$G$2:$G$502,0)))), ""))</f>
        <v/>
      </c>
      <c r="E375" s="156"/>
      <c r="F375" s="86" t="str">
        <f>IF(A375="","",SUMIFS('Stock Movement'!$F:$F,'Stock Movement'!$B:$B,A375,'Stock Movement'!$E:$E,"IN"))</f>
        <v/>
      </c>
      <c r="G375" s="86" t="str">
        <f>IF(A375="","",SUMIFS('Stock Movement'!$F:$F,'Stock Movement'!$B:$B,A375,'Stock Movement'!$E:$E,"OUT"))</f>
        <v/>
      </c>
      <c r="H375" s="86" t="str">
        <f t="shared" si="1"/>
        <v/>
      </c>
      <c r="I375" s="147"/>
      <c r="J375" s="156"/>
      <c r="K375" s="83" t="str">
        <f t="shared" si="2"/>
        <v/>
      </c>
    </row>
    <row r="376" ht="15.75" customHeight="1">
      <c r="A376" s="150"/>
      <c r="B376" s="153"/>
      <c r="C376" s="150"/>
      <c r="D376" s="150" t="str">
        <f t="array" ref="D376">IF(A376="","",IFERROR(INDEX('Location Master'!$E$2:$E$502, IFERROR(MATCH(A376,'Location Master'!$G$2:$G$502,0), IFERROR(MATCH(A376&amp;" (*",'Location Master'!$G$2:$G$502,0), MATCH(A376&amp;"*",'Location Master'!$G$2:$G$502,0)))), ""))</f>
        <v/>
      </c>
      <c r="E376" s="154"/>
      <c r="F376" s="75" t="str">
        <f>IF(A376="","",SUMIFS('Stock Movement'!$F:$F,'Stock Movement'!$B:$B,A376,'Stock Movement'!$E:$E,"IN"))</f>
        <v/>
      </c>
      <c r="G376" s="75" t="str">
        <f>IF(A376="","",SUMIFS('Stock Movement'!$F:$F,'Stock Movement'!$B:$B,A376,'Stock Movement'!$E:$E,"OUT"))</f>
        <v/>
      </c>
      <c r="H376" s="75" t="str">
        <f t="shared" si="1"/>
        <v/>
      </c>
      <c r="I376" s="150"/>
      <c r="J376" s="154"/>
      <c r="K376" s="91" t="str">
        <f t="shared" si="2"/>
        <v/>
      </c>
    </row>
    <row r="377" ht="15.75" customHeight="1">
      <c r="A377" s="147"/>
      <c r="B377" s="155"/>
      <c r="C377" s="147"/>
      <c r="D377" s="147" t="str">
        <f t="array" ref="D377">IF(A377="","",IFERROR(INDEX('Location Master'!$E$2:$E$502, IFERROR(MATCH(A377,'Location Master'!$G$2:$G$502,0), IFERROR(MATCH(A377&amp;" (*",'Location Master'!$G$2:$G$502,0), MATCH(A377&amp;"*",'Location Master'!$G$2:$G$502,0)))), ""))</f>
        <v/>
      </c>
      <c r="E377" s="156"/>
      <c r="F377" s="86" t="str">
        <f>IF(A377="","",SUMIFS('Stock Movement'!$F:$F,'Stock Movement'!$B:$B,A377,'Stock Movement'!$E:$E,"IN"))</f>
        <v/>
      </c>
      <c r="G377" s="86" t="str">
        <f>IF(A377="","",SUMIFS('Stock Movement'!$F:$F,'Stock Movement'!$B:$B,A377,'Stock Movement'!$E:$E,"OUT"))</f>
        <v/>
      </c>
      <c r="H377" s="86" t="str">
        <f t="shared" si="1"/>
        <v/>
      </c>
      <c r="I377" s="147"/>
      <c r="J377" s="156"/>
      <c r="K377" s="83" t="str">
        <f t="shared" si="2"/>
        <v/>
      </c>
    </row>
    <row r="378" ht="15.75" customHeight="1">
      <c r="A378" s="150"/>
      <c r="B378" s="153"/>
      <c r="C378" s="150"/>
      <c r="D378" s="150" t="str">
        <f t="array" ref="D378">IF(A378="","",IFERROR(INDEX('Location Master'!$E$2:$E$502, IFERROR(MATCH(A378,'Location Master'!$G$2:$G$502,0), IFERROR(MATCH(A378&amp;" (*",'Location Master'!$G$2:$G$502,0), MATCH(A378&amp;"*",'Location Master'!$G$2:$G$502,0)))), ""))</f>
        <v/>
      </c>
      <c r="E378" s="154"/>
      <c r="F378" s="75" t="str">
        <f>IF(A378="","",SUMIFS('Stock Movement'!$F:$F,'Stock Movement'!$B:$B,A378,'Stock Movement'!$E:$E,"IN"))</f>
        <v/>
      </c>
      <c r="G378" s="75" t="str">
        <f>IF(A378="","",SUMIFS('Stock Movement'!$F:$F,'Stock Movement'!$B:$B,A378,'Stock Movement'!$E:$E,"OUT"))</f>
        <v/>
      </c>
      <c r="H378" s="75" t="str">
        <f t="shared" si="1"/>
        <v/>
      </c>
      <c r="I378" s="150"/>
      <c r="J378" s="154"/>
      <c r="K378" s="91" t="str">
        <f t="shared" si="2"/>
        <v/>
      </c>
    </row>
    <row r="379" ht="15.75" customHeight="1">
      <c r="A379" s="147"/>
      <c r="B379" s="155"/>
      <c r="C379" s="147"/>
      <c r="D379" s="147" t="str">
        <f t="array" ref="D379">IF(A379="","",IFERROR(INDEX('Location Master'!$E$2:$E$502, IFERROR(MATCH(A379,'Location Master'!$G$2:$G$502,0), IFERROR(MATCH(A379&amp;" (*",'Location Master'!$G$2:$G$502,0), MATCH(A379&amp;"*",'Location Master'!$G$2:$G$502,0)))), ""))</f>
        <v/>
      </c>
      <c r="E379" s="156"/>
      <c r="F379" s="86" t="str">
        <f>IF(A379="","",SUMIFS('Stock Movement'!$F:$F,'Stock Movement'!$B:$B,A379,'Stock Movement'!$E:$E,"IN"))</f>
        <v/>
      </c>
      <c r="G379" s="86" t="str">
        <f>IF(A379="","",SUMIFS('Stock Movement'!$F:$F,'Stock Movement'!$B:$B,A379,'Stock Movement'!$E:$E,"OUT"))</f>
        <v/>
      </c>
      <c r="H379" s="86" t="str">
        <f t="shared" si="1"/>
        <v/>
      </c>
      <c r="I379" s="147"/>
      <c r="J379" s="156"/>
      <c r="K379" s="83" t="str">
        <f t="shared" si="2"/>
        <v/>
      </c>
    </row>
    <row r="380" ht="15.75" customHeight="1">
      <c r="A380" s="150"/>
      <c r="B380" s="153"/>
      <c r="C380" s="150"/>
      <c r="D380" s="150" t="str">
        <f t="array" ref="D380">IF(A380="","",IFERROR(INDEX('Location Master'!$E$2:$E$502, IFERROR(MATCH(A380,'Location Master'!$G$2:$G$502,0), IFERROR(MATCH(A380&amp;" (*",'Location Master'!$G$2:$G$502,0), MATCH(A380&amp;"*",'Location Master'!$G$2:$G$502,0)))), ""))</f>
        <v/>
      </c>
      <c r="E380" s="154"/>
      <c r="F380" s="75" t="str">
        <f>IF(A380="","",SUMIFS('Stock Movement'!$F:$F,'Stock Movement'!$B:$B,A380,'Stock Movement'!$E:$E,"IN"))</f>
        <v/>
      </c>
      <c r="G380" s="75" t="str">
        <f>IF(A380="","",SUMIFS('Stock Movement'!$F:$F,'Stock Movement'!$B:$B,A380,'Stock Movement'!$E:$E,"OUT"))</f>
        <v/>
      </c>
      <c r="H380" s="75" t="str">
        <f t="shared" si="1"/>
        <v/>
      </c>
      <c r="I380" s="150"/>
      <c r="J380" s="154"/>
      <c r="K380" s="91" t="str">
        <f t="shared" si="2"/>
        <v/>
      </c>
    </row>
    <row r="381" ht="15.75" customHeight="1">
      <c r="A381" s="147"/>
      <c r="B381" s="155"/>
      <c r="C381" s="147"/>
      <c r="D381" s="147" t="str">
        <f t="array" ref="D381">IF(A381="","",IFERROR(INDEX('Location Master'!$E$2:$E$502, IFERROR(MATCH(A381,'Location Master'!$G$2:$G$502,0), IFERROR(MATCH(A381&amp;" (*",'Location Master'!$G$2:$G$502,0), MATCH(A381&amp;"*",'Location Master'!$G$2:$G$502,0)))), ""))</f>
        <v/>
      </c>
      <c r="E381" s="156"/>
      <c r="F381" s="86" t="str">
        <f>IF(A381="","",SUMIFS('Stock Movement'!$F:$F,'Stock Movement'!$B:$B,A381,'Stock Movement'!$E:$E,"IN"))</f>
        <v/>
      </c>
      <c r="G381" s="86" t="str">
        <f>IF(A381="","",SUMIFS('Stock Movement'!$F:$F,'Stock Movement'!$B:$B,A381,'Stock Movement'!$E:$E,"OUT"))</f>
        <v/>
      </c>
      <c r="H381" s="86" t="str">
        <f t="shared" si="1"/>
        <v/>
      </c>
      <c r="I381" s="147"/>
      <c r="J381" s="156"/>
      <c r="K381" s="83" t="str">
        <f t="shared" si="2"/>
        <v/>
      </c>
    </row>
    <row r="382" ht="15.75" customHeight="1">
      <c r="A382" s="150"/>
      <c r="B382" s="153"/>
      <c r="C382" s="150"/>
      <c r="D382" s="150" t="str">
        <f t="array" ref="D382">IF(A382="","",IFERROR(INDEX('Location Master'!$E$2:$E$502, IFERROR(MATCH(A382,'Location Master'!$G$2:$G$502,0), IFERROR(MATCH(A382&amp;" (*",'Location Master'!$G$2:$G$502,0), MATCH(A382&amp;"*",'Location Master'!$G$2:$G$502,0)))), ""))</f>
        <v/>
      </c>
      <c r="E382" s="154"/>
      <c r="F382" s="75" t="str">
        <f>IF(A382="","",SUMIFS('Stock Movement'!$F:$F,'Stock Movement'!$B:$B,A382,'Stock Movement'!$E:$E,"IN"))</f>
        <v/>
      </c>
      <c r="G382" s="75" t="str">
        <f>IF(A382="","",SUMIFS('Stock Movement'!$F:$F,'Stock Movement'!$B:$B,A382,'Stock Movement'!$E:$E,"OUT"))</f>
        <v/>
      </c>
      <c r="H382" s="75" t="str">
        <f t="shared" si="1"/>
        <v/>
      </c>
      <c r="I382" s="150"/>
      <c r="J382" s="154"/>
      <c r="K382" s="91" t="str">
        <f t="shared" si="2"/>
        <v/>
      </c>
    </row>
    <row r="383" ht="15.75" customHeight="1">
      <c r="A383" s="147"/>
      <c r="B383" s="155"/>
      <c r="C383" s="147"/>
      <c r="D383" s="147" t="str">
        <f t="array" ref="D383">IF(A383="","",IFERROR(INDEX('Location Master'!$E$2:$E$502, IFERROR(MATCH(A383,'Location Master'!$G$2:$G$502,0), IFERROR(MATCH(A383&amp;" (*",'Location Master'!$G$2:$G$502,0), MATCH(A383&amp;"*",'Location Master'!$G$2:$G$502,0)))), ""))</f>
        <v/>
      </c>
      <c r="E383" s="156"/>
      <c r="F383" s="86" t="str">
        <f>IF(A383="","",SUMIFS('Stock Movement'!$F:$F,'Stock Movement'!$B:$B,A383,'Stock Movement'!$E:$E,"IN"))</f>
        <v/>
      </c>
      <c r="G383" s="86" t="str">
        <f>IF(A383="","",SUMIFS('Stock Movement'!$F:$F,'Stock Movement'!$B:$B,A383,'Stock Movement'!$E:$E,"OUT"))</f>
        <v/>
      </c>
      <c r="H383" s="86" t="str">
        <f t="shared" si="1"/>
        <v/>
      </c>
      <c r="I383" s="147"/>
      <c r="J383" s="156"/>
      <c r="K383" s="83" t="str">
        <f t="shared" si="2"/>
        <v/>
      </c>
    </row>
    <row r="384" ht="15.75" customHeight="1">
      <c r="A384" s="150"/>
      <c r="B384" s="153"/>
      <c r="C384" s="150"/>
      <c r="D384" s="150" t="str">
        <f t="array" ref="D384">IF(A384="","",IFERROR(INDEX('Location Master'!$E$2:$E$502, IFERROR(MATCH(A384,'Location Master'!$G$2:$G$502,0), IFERROR(MATCH(A384&amp;" (*",'Location Master'!$G$2:$G$502,0), MATCH(A384&amp;"*",'Location Master'!$G$2:$G$502,0)))), ""))</f>
        <v/>
      </c>
      <c r="E384" s="154"/>
      <c r="F384" s="75" t="str">
        <f>IF(A384="","",SUMIFS('Stock Movement'!$F:$F,'Stock Movement'!$B:$B,A384,'Stock Movement'!$E:$E,"IN"))</f>
        <v/>
      </c>
      <c r="G384" s="75" t="str">
        <f>IF(A384="","",SUMIFS('Stock Movement'!$F:$F,'Stock Movement'!$B:$B,A384,'Stock Movement'!$E:$E,"OUT"))</f>
        <v/>
      </c>
      <c r="H384" s="75" t="str">
        <f t="shared" si="1"/>
        <v/>
      </c>
      <c r="I384" s="150"/>
      <c r="J384" s="154"/>
      <c r="K384" s="91" t="str">
        <f t="shared" si="2"/>
        <v/>
      </c>
    </row>
    <row r="385" ht="15.75" customHeight="1">
      <c r="A385" s="147"/>
      <c r="B385" s="155"/>
      <c r="C385" s="147"/>
      <c r="D385" s="147" t="str">
        <f t="array" ref="D385">IF(A385="","",IFERROR(INDEX('Location Master'!$E$2:$E$502, IFERROR(MATCH(A385,'Location Master'!$G$2:$G$502,0), IFERROR(MATCH(A385&amp;" (*",'Location Master'!$G$2:$G$502,0), MATCH(A385&amp;"*",'Location Master'!$G$2:$G$502,0)))), ""))</f>
        <v/>
      </c>
      <c r="E385" s="156"/>
      <c r="F385" s="86" t="str">
        <f>IF(A385="","",SUMIFS('Stock Movement'!$F:$F,'Stock Movement'!$B:$B,A385,'Stock Movement'!$E:$E,"IN"))</f>
        <v/>
      </c>
      <c r="G385" s="86" t="str">
        <f>IF(A385="","",SUMIFS('Stock Movement'!$F:$F,'Stock Movement'!$B:$B,A385,'Stock Movement'!$E:$E,"OUT"))</f>
        <v/>
      </c>
      <c r="H385" s="86" t="str">
        <f t="shared" si="1"/>
        <v/>
      </c>
      <c r="I385" s="147"/>
      <c r="J385" s="156"/>
      <c r="K385" s="83" t="str">
        <f t="shared" si="2"/>
        <v/>
      </c>
    </row>
    <row r="386" ht="15.75" customHeight="1">
      <c r="A386" s="150"/>
      <c r="B386" s="153"/>
      <c r="C386" s="150"/>
      <c r="D386" s="150" t="str">
        <f t="array" ref="D386">IF(A386="","",IFERROR(INDEX('Location Master'!$E$2:$E$502, IFERROR(MATCH(A386,'Location Master'!$G$2:$G$502,0), IFERROR(MATCH(A386&amp;" (*",'Location Master'!$G$2:$G$502,0), MATCH(A386&amp;"*",'Location Master'!$G$2:$G$502,0)))), ""))</f>
        <v/>
      </c>
      <c r="E386" s="154"/>
      <c r="F386" s="75" t="str">
        <f>IF(A386="","",SUMIFS('Stock Movement'!$F:$F,'Stock Movement'!$B:$B,A386,'Stock Movement'!$E:$E,"IN"))</f>
        <v/>
      </c>
      <c r="G386" s="75" t="str">
        <f>IF(A386="","",SUMIFS('Stock Movement'!$F:$F,'Stock Movement'!$B:$B,A386,'Stock Movement'!$E:$E,"OUT"))</f>
        <v/>
      </c>
      <c r="H386" s="75" t="str">
        <f t="shared" si="1"/>
        <v/>
      </c>
      <c r="I386" s="150"/>
      <c r="J386" s="154"/>
      <c r="K386" s="91" t="str">
        <f t="shared" si="2"/>
        <v/>
      </c>
    </row>
    <row r="387" ht="15.75" customHeight="1">
      <c r="A387" s="147"/>
      <c r="B387" s="155"/>
      <c r="C387" s="147"/>
      <c r="D387" s="147" t="str">
        <f t="array" ref="D387">IF(A387="","",IFERROR(INDEX('Location Master'!$E$2:$E$502, IFERROR(MATCH(A387,'Location Master'!$G$2:$G$502,0), IFERROR(MATCH(A387&amp;" (*",'Location Master'!$G$2:$G$502,0), MATCH(A387&amp;"*",'Location Master'!$G$2:$G$502,0)))), ""))</f>
        <v/>
      </c>
      <c r="E387" s="156"/>
      <c r="F387" s="86" t="str">
        <f>IF(A387="","",SUMIFS('Stock Movement'!$F:$F,'Stock Movement'!$B:$B,A387,'Stock Movement'!$E:$E,"IN"))</f>
        <v/>
      </c>
      <c r="G387" s="86" t="str">
        <f>IF(A387="","",SUMIFS('Stock Movement'!$F:$F,'Stock Movement'!$B:$B,A387,'Stock Movement'!$E:$E,"OUT"))</f>
        <v/>
      </c>
      <c r="H387" s="86" t="str">
        <f t="shared" si="1"/>
        <v/>
      </c>
      <c r="I387" s="147"/>
      <c r="J387" s="156"/>
      <c r="K387" s="83" t="str">
        <f t="shared" si="2"/>
        <v/>
      </c>
    </row>
    <row r="388" ht="15.75" customHeight="1">
      <c r="A388" s="150"/>
      <c r="B388" s="153"/>
      <c r="C388" s="150"/>
      <c r="D388" s="150" t="str">
        <f t="array" ref="D388">IF(A388="","",IFERROR(INDEX('Location Master'!$E$2:$E$502, IFERROR(MATCH(A388,'Location Master'!$G$2:$G$502,0), IFERROR(MATCH(A388&amp;" (*",'Location Master'!$G$2:$G$502,0), MATCH(A388&amp;"*",'Location Master'!$G$2:$G$502,0)))), ""))</f>
        <v/>
      </c>
      <c r="E388" s="154"/>
      <c r="F388" s="75" t="str">
        <f>IF(A388="","",SUMIFS('Stock Movement'!$F:$F,'Stock Movement'!$B:$B,A388,'Stock Movement'!$E:$E,"IN"))</f>
        <v/>
      </c>
      <c r="G388" s="75" t="str">
        <f>IF(A388="","",SUMIFS('Stock Movement'!$F:$F,'Stock Movement'!$B:$B,A388,'Stock Movement'!$E:$E,"OUT"))</f>
        <v/>
      </c>
      <c r="H388" s="75" t="str">
        <f t="shared" si="1"/>
        <v/>
      </c>
      <c r="I388" s="150"/>
      <c r="J388" s="154"/>
      <c r="K388" s="91" t="str">
        <f t="shared" si="2"/>
        <v/>
      </c>
    </row>
    <row r="389" ht="15.75" customHeight="1">
      <c r="A389" s="147"/>
      <c r="B389" s="155"/>
      <c r="C389" s="147"/>
      <c r="D389" s="147" t="str">
        <f t="array" ref="D389">IF(A389="","",IFERROR(INDEX('Location Master'!$E$2:$E$502, IFERROR(MATCH(A389,'Location Master'!$G$2:$G$502,0), IFERROR(MATCH(A389&amp;" (*",'Location Master'!$G$2:$G$502,0), MATCH(A389&amp;"*",'Location Master'!$G$2:$G$502,0)))), ""))</f>
        <v/>
      </c>
      <c r="E389" s="156"/>
      <c r="F389" s="86" t="str">
        <f>IF(A389="","",SUMIFS('Stock Movement'!$F:$F,'Stock Movement'!$B:$B,A389,'Stock Movement'!$E:$E,"IN"))</f>
        <v/>
      </c>
      <c r="G389" s="86" t="str">
        <f>IF(A389="","",SUMIFS('Stock Movement'!$F:$F,'Stock Movement'!$B:$B,A389,'Stock Movement'!$E:$E,"OUT"))</f>
        <v/>
      </c>
      <c r="H389" s="86" t="str">
        <f t="shared" si="1"/>
        <v/>
      </c>
      <c r="I389" s="147"/>
      <c r="J389" s="156"/>
      <c r="K389" s="83" t="str">
        <f t="shared" si="2"/>
        <v/>
      </c>
    </row>
    <row r="390" ht="15.75" customHeight="1">
      <c r="A390" s="150"/>
      <c r="B390" s="153"/>
      <c r="C390" s="150"/>
      <c r="D390" s="150" t="str">
        <f t="array" ref="D390">IF(A390="","",IFERROR(INDEX('Location Master'!$E$2:$E$502, IFERROR(MATCH(A390,'Location Master'!$G$2:$G$502,0), IFERROR(MATCH(A390&amp;" (*",'Location Master'!$G$2:$G$502,0), MATCH(A390&amp;"*",'Location Master'!$G$2:$G$502,0)))), ""))</f>
        <v/>
      </c>
      <c r="E390" s="154"/>
      <c r="F390" s="75" t="str">
        <f>IF(A390="","",SUMIFS('Stock Movement'!$F:$F,'Stock Movement'!$B:$B,A390,'Stock Movement'!$E:$E,"IN"))</f>
        <v/>
      </c>
      <c r="G390" s="75" t="str">
        <f>IF(A390="","",SUMIFS('Stock Movement'!$F:$F,'Stock Movement'!$B:$B,A390,'Stock Movement'!$E:$E,"OUT"))</f>
        <v/>
      </c>
      <c r="H390" s="75" t="str">
        <f t="shared" si="1"/>
        <v/>
      </c>
      <c r="I390" s="150"/>
      <c r="J390" s="154"/>
      <c r="K390" s="91" t="str">
        <f t="shared" si="2"/>
        <v/>
      </c>
    </row>
    <row r="391" ht="15.75" customHeight="1">
      <c r="A391" s="147"/>
      <c r="B391" s="155"/>
      <c r="C391" s="147"/>
      <c r="D391" s="147" t="str">
        <f t="array" ref="D391">IF(A391="","",IFERROR(INDEX('Location Master'!$E$2:$E$502, IFERROR(MATCH(A391,'Location Master'!$G$2:$G$502,0), IFERROR(MATCH(A391&amp;" (*",'Location Master'!$G$2:$G$502,0), MATCH(A391&amp;"*",'Location Master'!$G$2:$G$502,0)))), ""))</f>
        <v/>
      </c>
      <c r="E391" s="156"/>
      <c r="F391" s="86" t="str">
        <f>IF(A391="","",SUMIFS('Stock Movement'!$F:$F,'Stock Movement'!$B:$B,A391,'Stock Movement'!$E:$E,"IN"))</f>
        <v/>
      </c>
      <c r="G391" s="86" t="str">
        <f>IF(A391="","",SUMIFS('Stock Movement'!$F:$F,'Stock Movement'!$B:$B,A391,'Stock Movement'!$E:$E,"OUT"))</f>
        <v/>
      </c>
      <c r="H391" s="86" t="str">
        <f t="shared" si="1"/>
        <v/>
      </c>
      <c r="I391" s="147"/>
      <c r="J391" s="156"/>
      <c r="K391" s="83" t="str">
        <f t="shared" si="2"/>
        <v/>
      </c>
    </row>
    <row r="392" ht="15.75" customHeight="1">
      <c r="A392" s="150"/>
      <c r="B392" s="153"/>
      <c r="C392" s="150"/>
      <c r="D392" s="150" t="str">
        <f t="array" ref="D392">IF(A392="","",IFERROR(INDEX('Location Master'!$E$2:$E$502, IFERROR(MATCH(A392,'Location Master'!$G$2:$G$502,0), IFERROR(MATCH(A392&amp;" (*",'Location Master'!$G$2:$G$502,0), MATCH(A392&amp;"*",'Location Master'!$G$2:$G$502,0)))), ""))</f>
        <v/>
      </c>
      <c r="E392" s="154"/>
      <c r="F392" s="75" t="str">
        <f>IF(A392="","",SUMIFS('Stock Movement'!$F:$F,'Stock Movement'!$B:$B,A392,'Stock Movement'!$E:$E,"IN"))</f>
        <v/>
      </c>
      <c r="G392" s="75" t="str">
        <f>IF(A392="","",SUMIFS('Stock Movement'!$F:$F,'Stock Movement'!$B:$B,A392,'Stock Movement'!$E:$E,"OUT"))</f>
        <v/>
      </c>
      <c r="H392" s="75" t="str">
        <f t="shared" si="1"/>
        <v/>
      </c>
      <c r="I392" s="150"/>
      <c r="J392" s="154"/>
      <c r="K392" s="91" t="str">
        <f t="shared" si="2"/>
        <v/>
      </c>
    </row>
    <row r="393" ht="15.75" customHeight="1">
      <c r="A393" s="147"/>
      <c r="B393" s="155"/>
      <c r="C393" s="147"/>
      <c r="D393" s="147" t="str">
        <f t="array" ref="D393">IF(A393="","",IFERROR(INDEX('Location Master'!$E$2:$E$502, IFERROR(MATCH(A393,'Location Master'!$G$2:$G$502,0), IFERROR(MATCH(A393&amp;" (*",'Location Master'!$G$2:$G$502,0), MATCH(A393&amp;"*",'Location Master'!$G$2:$G$502,0)))), ""))</f>
        <v/>
      </c>
      <c r="E393" s="156"/>
      <c r="F393" s="86" t="str">
        <f>IF(A393="","",SUMIFS('Stock Movement'!$F:$F,'Stock Movement'!$B:$B,A393,'Stock Movement'!$E:$E,"IN"))</f>
        <v/>
      </c>
      <c r="G393" s="86" t="str">
        <f>IF(A393="","",SUMIFS('Stock Movement'!$F:$F,'Stock Movement'!$B:$B,A393,'Stock Movement'!$E:$E,"OUT"))</f>
        <v/>
      </c>
      <c r="H393" s="86" t="str">
        <f t="shared" si="1"/>
        <v/>
      </c>
      <c r="I393" s="147"/>
      <c r="J393" s="156"/>
      <c r="K393" s="83" t="str">
        <f t="shared" si="2"/>
        <v/>
      </c>
    </row>
    <row r="394" ht="15.75" customHeight="1">
      <c r="A394" s="150"/>
      <c r="B394" s="153"/>
      <c r="C394" s="150"/>
      <c r="D394" s="150" t="str">
        <f t="array" ref="D394">IF(A394="","",IFERROR(INDEX('Location Master'!$E$2:$E$502, IFERROR(MATCH(A394,'Location Master'!$G$2:$G$502,0), IFERROR(MATCH(A394&amp;" (*",'Location Master'!$G$2:$G$502,0), MATCH(A394&amp;"*",'Location Master'!$G$2:$G$502,0)))), ""))</f>
        <v/>
      </c>
      <c r="E394" s="154"/>
      <c r="F394" s="75" t="str">
        <f>IF(A394="","",SUMIFS('Stock Movement'!$F:$F,'Stock Movement'!$B:$B,A394,'Stock Movement'!$E:$E,"IN"))</f>
        <v/>
      </c>
      <c r="G394" s="75" t="str">
        <f>IF(A394="","",SUMIFS('Stock Movement'!$F:$F,'Stock Movement'!$B:$B,A394,'Stock Movement'!$E:$E,"OUT"))</f>
        <v/>
      </c>
      <c r="H394" s="75" t="str">
        <f t="shared" si="1"/>
        <v/>
      </c>
      <c r="I394" s="150"/>
      <c r="J394" s="154"/>
      <c r="K394" s="91" t="str">
        <f t="shared" si="2"/>
        <v/>
      </c>
    </row>
    <row r="395" ht="15.75" customHeight="1">
      <c r="A395" s="147"/>
      <c r="B395" s="155"/>
      <c r="C395" s="147"/>
      <c r="D395" s="147" t="str">
        <f t="array" ref="D395">IF(A395="","",IFERROR(INDEX('Location Master'!$E$2:$E$502, IFERROR(MATCH(A395,'Location Master'!$G$2:$G$502,0), IFERROR(MATCH(A395&amp;" (*",'Location Master'!$G$2:$G$502,0), MATCH(A395&amp;"*",'Location Master'!$G$2:$G$502,0)))), ""))</f>
        <v/>
      </c>
      <c r="E395" s="156"/>
      <c r="F395" s="86" t="str">
        <f>IF(A395="","",SUMIFS('Stock Movement'!$F:$F,'Stock Movement'!$B:$B,A395,'Stock Movement'!$E:$E,"IN"))</f>
        <v/>
      </c>
      <c r="G395" s="86" t="str">
        <f>IF(A395="","",SUMIFS('Stock Movement'!$F:$F,'Stock Movement'!$B:$B,A395,'Stock Movement'!$E:$E,"OUT"))</f>
        <v/>
      </c>
      <c r="H395" s="86" t="str">
        <f t="shared" si="1"/>
        <v/>
      </c>
      <c r="I395" s="147"/>
      <c r="J395" s="156"/>
      <c r="K395" s="83" t="str">
        <f t="shared" si="2"/>
        <v/>
      </c>
    </row>
    <row r="396" ht="15.75" customHeight="1">
      <c r="A396" s="150"/>
      <c r="B396" s="153"/>
      <c r="C396" s="150"/>
      <c r="D396" s="150" t="str">
        <f t="array" ref="D396">IF(A396="","",IFERROR(INDEX('Location Master'!$E$2:$E$502, IFERROR(MATCH(A396,'Location Master'!$G$2:$G$502,0), IFERROR(MATCH(A396&amp;" (*",'Location Master'!$G$2:$G$502,0), MATCH(A396&amp;"*",'Location Master'!$G$2:$G$502,0)))), ""))</f>
        <v/>
      </c>
      <c r="E396" s="154"/>
      <c r="F396" s="75" t="str">
        <f>IF(A396="","",SUMIFS('Stock Movement'!$F:$F,'Stock Movement'!$B:$B,A396,'Stock Movement'!$E:$E,"IN"))</f>
        <v/>
      </c>
      <c r="G396" s="75" t="str">
        <f>IF(A396="","",SUMIFS('Stock Movement'!$F:$F,'Stock Movement'!$B:$B,A396,'Stock Movement'!$E:$E,"OUT"))</f>
        <v/>
      </c>
      <c r="H396" s="75" t="str">
        <f t="shared" si="1"/>
        <v/>
      </c>
      <c r="I396" s="150"/>
      <c r="J396" s="154"/>
      <c r="K396" s="91" t="str">
        <f t="shared" si="2"/>
        <v/>
      </c>
    </row>
    <row r="397" ht="15.75" customHeight="1">
      <c r="A397" s="147"/>
      <c r="B397" s="155"/>
      <c r="C397" s="147"/>
      <c r="D397" s="147" t="str">
        <f t="array" ref="D397">IF(A397="","",IFERROR(INDEX('Location Master'!$E$2:$E$502, IFERROR(MATCH(A397,'Location Master'!$G$2:$G$502,0), IFERROR(MATCH(A397&amp;" (*",'Location Master'!$G$2:$G$502,0), MATCH(A397&amp;"*",'Location Master'!$G$2:$G$502,0)))), ""))</f>
        <v/>
      </c>
      <c r="E397" s="156"/>
      <c r="F397" s="86" t="str">
        <f>IF(A397="","",SUMIFS('Stock Movement'!$F:$F,'Stock Movement'!$B:$B,A397,'Stock Movement'!$E:$E,"IN"))</f>
        <v/>
      </c>
      <c r="G397" s="86" t="str">
        <f>IF(A397="","",SUMIFS('Stock Movement'!$F:$F,'Stock Movement'!$B:$B,A397,'Stock Movement'!$E:$E,"OUT"))</f>
        <v/>
      </c>
      <c r="H397" s="86" t="str">
        <f t="shared" si="1"/>
        <v/>
      </c>
      <c r="I397" s="147"/>
      <c r="J397" s="156"/>
      <c r="K397" s="83" t="str">
        <f t="shared" si="2"/>
        <v/>
      </c>
    </row>
    <row r="398" ht="15.75" customHeight="1">
      <c r="A398" s="150"/>
      <c r="B398" s="153"/>
      <c r="C398" s="150"/>
      <c r="D398" s="150" t="str">
        <f t="array" ref="D398">IF(A398="","",IFERROR(INDEX('Location Master'!$E$2:$E$502, IFERROR(MATCH(A398,'Location Master'!$G$2:$G$502,0), IFERROR(MATCH(A398&amp;" (*",'Location Master'!$G$2:$G$502,0), MATCH(A398&amp;"*",'Location Master'!$G$2:$G$502,0)))), ""))</f>
        <v/>
      </c>
      <c r="E398" s="154"/>
      <c r="F398" s="75" t="str">
        <f>IF(A398="","",SUMIFS('Stock Movement'!$F:$F,'Stock Movement'!$B:$B,A398,'Stock Movement'!$E:$E,"IN"))</f>
        <v/>
      </c>
      <c r="G398" s="75" t="str">
        <f>IF(A398="","",SUMIFS('Stock Movement'!$F:$F,'Stock Movement'!$B:$B,A398,'Stock Movement'!$E:$E,"OUT"))</f>
        <v/>
      </c>
      <c r="H398" s="75" t="str">
        <f t="shared" si="1"/>
        <v/>
      </c>
      <c r="I398" s="150"/>
      <c r="J398" s="154"/>
      <c r="K398" s="91" t="str">
        <f t="shared" si="2"/>
        <v/>
      </c>
    </row>
    <row r="399" ht="15.75" customHeight="1">
      <c r="A399" s="147"/>
      <c r="B399" s="155"/>
      <c r="C399" s="147"/>
      <c r="D399" s="147" t="str">
        <f t="array" ref="D399">IF(A399="","",IFERROR(INDEX('Location Master'!$E$2:$E$502, IFERROR(MATCH(A399,'Location Master'!$G$2:$G$502,0), IFERROR(MATCH(A399&amp;" (*",'Location Master'!$G$2:$G$502,0), MATCH(A399&amp;"*",'Location Master'!$G$2:$G$502,0)))), ""))</f>
        <v/>
      </c>
      <c r="E399" s="156"/>
      <c r="F399" s="86" t="str">
        <f>IF(A399="","",SUMIFS('Stock Movement'!$F:$F,'Stock Movement'!$B:$B,A399,'Stock Movement'!$E:$E,"IN"))</f>
        <v/>
      </c>
      <c r="G399" s="86" t="str">
        <f>IF(A399="","",SUMIFS('Stock Movement'!$F:$F,'Stock Movement'!$B:$B,A399,'Stock Movement'!$E:$E,"OUT"))</f>
        <v/>
      </c>
      <c r="H399" s="86" t="str">
        <f t="shared" si="1"/>
        <v/>
      </c>
      <c r="I399" s="147"/>
      <c r="J399" s="156"/>
      <c r="K399" s="83" t="str">
        <f t="shared" si="2"/>
        <v/>
      </c>
    </row>
    <row r="400" ht="15.75" customHeight="1">
      <c r="A400" s="150"/>
      <c r="B400" s="153"/>
      <c r="C400" s="150"/>
      <c r="D400" s="150" t="str">
        <f t="array" ref="D400">IF(A400="","",IFERROR(INDEX('Location Master'!$E$2:$E$502, IFERROR(MATCH(A400,'Location Master'!$G$2:$G$502,0), IFERROR(MATCH(A400&amp;" (*",'Location Master'!$G$2:$G$502,0), MATCH(A400&amp;"*",'Location Master'!$G$2:$G$502,0)))), ""))</f>
        <v/>
      </c>
      <c r="E400" s="154"/>
      <c r="F400" s="75" t="str">
        <f>IF(A400="","",SUMIFS('Stock Movement'!$F:$F,'Stock Movement'!$B:$B,A400,'Stock Movement'!$E:$E,"IN"))</f>
        <v/>
      </c>
      <c r="G400" s="75" t="str">
        <f>IF(A400="","",SUMIFS('Stock Movement'!$F:$F,'Stock Movement'!$B:$B,A400,'Stock Movement'!$E:$E,"OUT"))</f>
        <v/>
      </c>
      <c r="H400" s="75" t="str">
        <f t="shared" si="1"/>
        <v/>
      </c>
      <c r="I400" s="150"/>
      <c r="J400" s="154"/>
      <c r="K400" s="91" t="str">
        <f t="shared" si="2"/>
        <v/>
      </c>
    </row>
    <row r="401" ht="15.75" customHeight="1">
      <c r="A401" s="147"/>
      <c r="B401" s="155"/>
      <c r="C401" s="147"/>
      <c r="D401" s="147" t="str">
        <f t="array" ref="D401">IF(A401="","",IFERROR(INDEX('Location Master'!$E$2:$E$502, IFERROR(MATCH(A401,'Location Master'!$G$2:$G$502,0), IFERROR(MATCH(A401&amp;" (*",'Location Master'!$G$2:$G$502,0), MATCH(A401&amp;"*",'Location Master'!$G$2:$G$502,0)))), ""))</f>
        <v/>
      </c>
      <c r="E401" s="156"/>
      <c r="F401" s="86" t="str">
        <f>IF(A401="","",SUMIFS('Stock Movement'!$F:$F,'Stock Movement'!$B:$B,A401,'Stock Movement'!$E:$E,"IN"))</f>
        <v/>
      </c>
      <c r="G401" s="86" t="str">
        <f>IF(A401="","",SUMIFS('Stock Movement'!$F:$F,'Stock Movement'!$B:$B,A401,'Stock Movement'!$E:$E,"OUT"))</f>
        <v/>
      </c>
      <c r="H401" s="86" t="str">
        <f t="shared" si="1"/>
        <v/>
      </c>
      <c r="I401" s="147"/>
      <c r="J401" s="156"/>
      <c r="K401" s="83" t="str">
        <f t="shared" si="2"/>
        <v/>
      </c>
    </row>
    <row r="402" ht="15.75" customHeight="1">
      <c r="A402" s="150"/>
      <c r="B402" s="153"/>
      <c r="C402" s="150"/>
      <c r="D402" s="150" t="str">
        <f t="array" ref="D402">IF(A402="","",IFERROR(INDEX('Location Master'!$E$2:$E$502, IFERROR(MATCH(A402,'Location Master'!$G$2:$G$502,0), IFERROR(MATCH(A402&amp;" (*",'Location Master'!$G$2:$G$502,0), MATCH(A402&amp;"*",'Location Master'!$G$2:$G$502,0)))), ""))</f>
        <v/>
      </c>
      <c r="E402" s="154"/>
      <c r="F402" s="75" t="str">
        <f>IF(A402="","",SUMIFS('Stock Movement'!$F:$F,'Stock Movement'!$B:$B,A402,'Stock Movement'!$E:$E,"IN"))</f>
        <v/>
      </c>
      <c r="G402" s="75" t="str">
        <f>IF(A402="","",SUMIFS('Stock Movement'!$F:$F,'Stock Movement'!$B:$B,A402,'Stock Movement'!$E:$E,"OUT"))</f>
        <v/>
      </c>
      <c r="H402" s="75" t="str">
        <f t="shared" si="1"/>
        <v/>
      </c>
      <c r="I402" s="150"/>
      <c r="J402" s="154"/>
      <c r="K402" s="91" t="str">
        <f t="shared" si="2"/>
        <v/>
      </c>
    </row>
    <row r="403" ht="15.75" customHeight="1">
      <c r="A403" s="147"/>
      <c r="B403" s="155"/>
      <c r="C403" s="147"/>
      <c r="D403" s="147" t="str">
        <f t="array" ref="D403">IF(A403="","",IFERROR(INDEX('Location Master'!$E$2:$E$502, IFERROR(MATCH(A403,'Location Master'!$G$2:$G$502,0), IFERROR(MATCH(A403&amp;" (*",'Location Master'!$G$2:$G$502,0), MATCH(A403&amp;"*",'Location Master'!$G$2:$G$502,0)))), ""))</f>
        <v/>
      </c>
      <c r="E403" s="156"/>
      <c r="F403" s="86" t="str">
        <f>IF(A403="","",SUMIFS('Stock Movement'!$F:$F,'Stock Movement'!$B:$B,A403,'Stock Movement'!$E:$E,"IN"))</f>
        <v/>
      </c>
      <c r="G403" s="86" t="str">
        <f>IF(A403="","",SUMIFS('Stock Movement'!$F:$F,'Stock Movement'!$B:$B,A403,'Stock Movement'!$E:$E,"OUT"))</f>
        <v/>
      </c>
      <c r="H403" s="86" t="str">
        <f t="shared" si="1"/>
        <v/>
      </c>
      <c r="I403" s="147"/>
      <c r="J403" s="156"/>
      <c r="K403" s="83" t="str">
        <f t="shared" si="2"/>
        <v/>
      </c>
    </row>
    <row r="404" ht="15.75" customHeight="1">
      <c r="A404" s="150"/>
      <c r="B404" s="153"/>
      <c r="C404" s="150"/>
      <c r="D404" s="150" t="str">
        <f t="array" ref="D404">IF(A404="","",IFERROR(INDEX('Location Master'!$E$2:$E$502, IFERROR(MATCH(A404,'Location Master'!$G$2:$G$502,0), IFERROR(MATCH(A404&amp;" (*",'Location Master'!$G$2:$G$502,0), MATCH(A404&amp;"*",'Location Master'!$G$2:$G$502,0)))), ""))</f>
        <v/>
      </c>
      <c r="E404" s="154"/>
      <c r="F404" s="75" t="str">
        <f>IF(A404="","",SUMIFS('Stock Movement'!$F:$F,'Stock Movement'!$B:$B,A404,'Stock Movement'!$E:$E,"IN"))</f>
        <v/>
      </c>
      <c r="G404" s="75" t="str">
        <f>IF(A404="","",SUMIFS('Stock Movement'!$F:$F,'Stock Movement'!$B:$B,A404,'Stock Movement'!$E:$E,"OUT"))</f>
        <v/>
      </c>
      <c r="H404" s="75" t="str">
        <f t="shared" si="1"/>
        <v/>
      </c>
      <c r="I404" s="150"/>
      <c r="J404" s="154"/>
      <c r="K404" s="91" t="str">
        <f t="shared" si="2"/>
        <v/>
      </c>
    </row>
    <row r="405" ht="15.75" customHeight="1">
      <c r="A405" s="147"/>
      <c r="B405" s="155"/>
      <c r="C405" s="147"/>
      <c r="D405" s="147" t="str">
        <f t="array" ref="D405">IF(A405="","",IFERROR(INDEX('Location Master'!$E$2:$E$502, IFERROR(MATCH(A405,'Location Master'!$G$2:$G$502,0), IFERROR(MATCH(A405&amp;" (*",'Location Master'!$G$2:$G$502,0), MATCH(A405&amp;"*",'Location Master'!$G$2:$G$502,0)))), ""))</f>
        <v/>
      </c>
      <c r="E405" s="156"/>
      <c r="F405" s="86" t="str">
        <f>IF(A405="","",SUMIFS('Stock Movement'!$F:$F,'Stock Movement'!$B:$B,A405,'Stock Movement'!$E:$E,"IN"))</f>
        <v/>
      </c>
      <c r="G405" s="86" t="str">
        <f>IF(A405="","",SUMIFS('Stock Movement'!$F:$F,'Stock Movement'!$B:$B,A405,'Stock Movement'!$E:$E,"OUT"))</f>
        <v/>
      </c>
      <c r="H405" s="86" t="str">
        <f t="shared" si="1"/>
        <v/>
      </c>
      <c r="I405" s="147"/>
      <c r="J405" s="156"/>
      <c r="K405" s="83" t="str">
        <f t="shared" si="2"/>
        <v/>
      </c>
    </row>
    <row r="406" ht="15.75" customHeight="1">
      <c r="A406" s="150"/>
      <c r="B406" s="153"/>
      <c r="C406" s="150"/>
      <c r="D406" s="150" t="str">
        <f t="array" ref="D406">IF(A406="","",IFERROR(INDEX('Location Master'!$E$2:$E$502, IFERROR(MATCH(A406,'Location Master'!$G$2:$G$502,0), IFERROR(MATCH(A406&amp;" (*",'Location Master'!$G$2:$G$502,0), MATCH(A406&amp;"*",'Location Master'!$G$2:$G$502,0)))), ""))</f>
        <v/>
      </c>
      <c r="E406" s="154"/>
      <c r="F406" s="75" t="str">
        <f>IF(A406="","",SUMIFS('Stock Movement'!$F:$F,'Stock Movement'!$B:$B,A406,'Stock Movement'!$E:$E,"IN"))</f>
        <v/>
      </c>
      <c r="G406" s="75" t="str">
        <f>IF(A406="","",SUMIFS('Stock Movement'!$F:$F,'Stock Movement'!$B:$B,A406,'Stock Movement'!$E:$E,"OUT"))</f>
        <v/>
      </c>
      <c r="H406" s="75" t="str">
        <f t="shared" si="1"/>
        <v/>
      </c>
      <c r="I406" s="150"/>
      <c r="J406" s="154"/>
      <c r="K406" s="91" t="str">
        <f t="shared" si="2"/>
        <v/>
      </c>
    </row>
    <row r="407" ht="15.75" customHeight="1">
      <c r="A407" s="147"/>
      <c r="B407" s="155"/>
      <c r="C407" s="147"/>
      <c r="D407" s="147" t="str">
        <f t="array" ref="D407">IF(A407="","",IFERROR(INDEX('Location Master'!$E$2:$E$502, IFERROR(MATCH(A407,'Location Master'!$G$2:$G$502,0), IFERROR(MATCH(A407&amp;" (*",'Location Master'!$G$2:$G$502,0), MATCH(A407&amp;"*",'Location Master'!$G$2:$G$502,0)))), ""))</f>
        <v/>
      </c>
      <c r="E407" s="156"/>
      <c r="F407" s="86" t="str">
        <f>IF(A407="","",SUMIFS('Stock Movement'!$F:$F,'Stock Movement'!$B:$B,A407,'Stock Movement'!$E:$E,"IN"))</f>
        <v/>
      </c>
      <c r="G407" s="86" t="str">
        <f>IF(A407="","",SUMIFS('Stock Movement'!$F:$F,'Stock Movement'!$B:$B,A407,'Stock Movement'!$E:$E,"OUT"))</f>
        <v/>
      </c>
      <c r="H407" s="86" t="str">
        <f t="shared" si="1"/>
        <v/>
      </c>
      <c r="I407" s="147"/>
      <c r="J407" s="156"/>
      <c r="K407" s="83" t="str">
        <f t="shared" si="2"/>
        <v/>
      </c>
    </row>
    <row r="408" ht="15.75" customHeight="1">
      <c r="A408" s="150"/>
      <c r="B408" s="153"/>
      <c r="C408" s="150"/>
      <c r="D408" s="150" t="str">
        <f t="array" ref="D408">IF(A408="","",IFERROR(INDEX('Location Master'!$E$2:$E$502, IFERROR(MATCH(A408,'Location Master'!$G$2:$G$502,0), IFERROR(MATCH(A408&amp;" (*",'Location Master'!$G$2:$G$502,0), MATCH(A408&amp;"*",'Location Master'!$G$2:$G$502,0)))), ""))</f>
        <v/>
      </c>
      <c r="E408" s="154"/>
      <c r="F408" s="75" t="str">
        <f>IF(A408="","",SUMIFS('Stock Movement'!$F:$F,'Stock Movement'!$B:$B,A408,'Stock Movement'!$E:$E,"IN"))</f>
        <v/>
      </c>
      <c r="G408" s="75" t="str">
        <f>IF(A408="","",SUMIFS('Stock Movement'!$F:$F,'Stock Movement'!$B:$B,A408,'Stock Movement'!$E:$E,"OUT"))</f>
        <v/>
      </c>
      <c r="H408" s="75" t="str">
        <f t="shared" si="1"/>
        <v/>
      </c>
      <c r="I408" s="150"/>
      <c r="J408" s="154"/>
      <c r="K408" s="91" t="str">
        <f t="shared" si="2"/>
        <v/>
      </c>
    </row>
    <row r="409" ht="15.75" customHeight="1">
      <c r="A409" s="147"/>
      <c r="B409" s="155"/>
      <c r="C409" s="147"/>
      <c r="D409" s="147" t="str">
        <f t="array" ref="D409">IF(A409="","",IFERROR(INDEX('Location Master'!$E$2:$E$502, IFERROR(MATCH(A409,'Location Master'!$G$2:$G$502,0), IFERROR(MATCH(A409&amp;" (*",'Location Master'!$G$2:$G$502,0), MATCH(A409&amp;"*",'Location Master'!$G$2:$G$502,0)))), ""))</f>
        <v/>
      </c>
      <c r="E409" s="156"/>
      <c r="F409" s="86" t="str">
        <f>IF(A409="","",SUMIFS('Stock Movement'!$F:$F,'Stock Movement'!$B:$B,A409,'Stock Movement'!$E:$E,"IN"))</f>
        <v/>
      </c>
      <c r="G409" s="86" t="str">
        <f>IF(A409="","",SUMIFS('Stock Movement'!$F:$F,'Stock Movement'!$B:$B,A409,'Stock Movement'!$E:$E,"OUT"))</f>
        <v/>
      </c>
      <c r="H409" s="86" t="str">
        <f t="shared" si="1"/>
        <v/>
      </c>
      <c r="I409" s="147"/>
      <c r="J409" s="156"/>
      <c r="K409" s="83" t="str">
        <f t="shared" si="2"/>
        <v/>
      </c>
    </row>
    <row r="410" ht="15.75" customHeight="1">
      <c r="A410" s="150"/>
      <c r="B410" s="153"/>
      <c r="C410" s="150"/>
      <c r="D410" s="150" t="str">
        <f t="array" ref="D410">IF(A410="","",IFERROR(INDEX('Location Master'!$E$2:$E$502, IFERROR(MATCH(A410,'Location Master'!$G$2:$G$502,0), IFERROR(MATCH(A410&amp;" (*",'Location Master'!$G$2:$G$502,0), MATCH(A410&amp;"*",'Location Master'!$G$2:$G$502,0)))), ""))</f>
        <v/>
      </c>
      <c r="E410" s="154"/>
      <c r="F410" s="75" t="str">
        <f>IF(A410="","",SUMIFS('Stock Movement'!$F:$F,'Stock Movement'!$B:$B,A410,'Stock Movement'!$E:$E,"IN"))</f>
        <v/>
      </c>
      <c r="G410" s="75" t="str">
        <f>IF(A410="","",SUMIFS('Stock Movement'!$F:$F,'Stock Movement'!$B:$B,A410,'Stock Movement'!$E:$E,"OUT"))</f>
        <v/>
      </c>
      <c r="H410" s="75" t="str">
        <f t="shared" si="1"/>
        <v/>
      </c>
      <c r="I410" s="150"/>
      <c r="J410" s="154"/>
      <c r="K410" s="91" t="str">
        <f t="shared" si="2"/>
        <v/>
      </c>
    </row>
    <row r="411" ht="15.75" customHeight="1">
      <c r="A411" s="147"/>
      <c r="B411" s="155"/>
      <c r="C411" s="147"/>
      <c r="D411" s="147" t="str">
        <f t="array" ref="D411">IF(A411="","",IFERROR(INDEX('Location Master'!$E$2:$E$502, IFERROR(MATCH(A411,'Location Master'!$G$2:$G$502,0), IFERROR(MATCH(A411&amp;" (*",'Location Master'!$G$2:$G$502,0), MATCH(A411&amp;"*",'Location Master'!$G$2:$G$502,0)))), ""))</f>
        <v/>
      </c>
      <c r="E411" s="156"/>
      <c r="F411" s="86" t="str">
        <f>IF(A411="","",SUMIFS('Stock Movement'!$F:$F,'Stock Movement'!$B:$B,A411,'Stock Movement'!$E:$E,"IN"))</f>
        <v/>
      </c>
      <c r="G411" s="86" t="str">
        <f>IF(A411="","",SUMIFS('Stock Movement'!$F:$F,'Stock Movement'!$B:$B,A411,'Stock Movement'!$E:$E,"OUT"))</f>
        <v/>
      </c>
      <c r="H411" s="86" t="str">
        <f t="shared" si="1"/>
        <v/>
      </c>
      <c r="I411" s="147"/>
      <c r="J411" s="156"/>
      <c r="K411" s="83" t="str">
        <f t="shared" si="2"/>
        <v/>
      </c>
    </row>
    <row r="412" ht="15.75" customHeight="1">
      <c r="A412" s="150"/>
      <c r="B412" s="153"/>
      <c r="C412" s="150"/>
      <c r="D412" s="150" t="str">
        <f t="array" ref="D412">IF(A412="","",IFERROR(INDEX('Location Master'!$E$2:$E$502, IFERROR(MATCH(A412,'Location Master'!$G$2:$G$502,0), IFERROR(MATCH(A412&amp;" (*",'Location Master'!$G$2:$G$502,0), MATCH(A412&amp;"*",'Location Master'!$G$2:$G$502,0)))), ""))</f>
        <v/>
      </c>
      <c r="E412" s="154"/>
      <c r="F412" s="75" t="str">
        <f>IF(A412="","",SUMIFS('Stock Movement'!$F:$F,'Stock Movement'!$B:$B,A412,'Stock Movement'!$E:$E,"IN"))</f>
        <v/>
      </c>
      <c r="G412" s="75" t="str">
        <f>IF(A412="","",SUMIFS('Stock Movement'!$F:$F,'Stock Movement'!$B:$B,A412,'Stock Movement'!$E:$E,"OUT"))</f>
        <v/>
      </c>
      <c r="H412" s="75" t="str">
        <f t="shared" si="1"/>
        <v/>
      </c>
      <c r="I412" s="150"/>
      <c r="J412" s="154"/>
      <c r="K412" s="91" t="str">
        <f t="shared" si="2"/>
        <v/>
      </c>
    </row>
    <row r="413" ht="15.75" customHeight="1">
      <c r="A413" s="147"/>
      <c r="B413" s="155"/>
      <c r="C413" s="147"/>
      <c r="D413" s="147" t="str">
        <f t="array" ref="D413">IF(A413="","",IFERROR(INDEX('Location Master'!$E$2:$E$502, IFERROR(MATCH(A413,'Location Master'!$G$2:$G$502,0), IFERROR(MATCH(A413&amp;" (*",'Location Master'!$G$2:$G$502,0), MATCH(A413&amp;"*",'Location Master'!$G$2:$G$502,0)))), ""))</f>
        <v/>
      </c>
      <c r="E413" s="156"/>
      <c r="F413" s="86" t="str">
        <f>IF(A413="","",SUMIFS('Stock Movement'!$F:$F,'Stock Movement'!$B:$B,A413,'Stock Movement'!$E:$E,"IN"))</f>
        <v/>
      </c>
      <c r="G413" s="86" t="str">
        <f>IF(A413="","",SUMIFS('Stock Movement'!$F:$F,'Stock Movement'!$B:$B,A413,'Stock Movement'!$E:$E,"OUT"))</f>
        <v/>
      </c>
      <c r="H413" s="86" t="str">
        <f t="shared" si="1"/>
        <v/>
      </c>
      <c r="I413" s="147"/>
      <c r="J413" s="156"/>
      <c r="K413" s="83" t="str">
        <f t="shared" si="2"/>
        <v/>
      </c>
    </row>
    <row r="414" ht="15.75" customHeight="1">
      <c r="A414" s="150"/>
      <c r="B414" s="153"/>
      <c r="C414" s="150"/>
      <c r="D414" s="150" t="str">
        <f t="array" ref="D414">IF(A414="","",IFERROR(INDEX('Location Master'!$E$2:$E$502, IFERROR(MATCH(A414,'Location Master'!$G$2:$G$502,0), IFERROR(MATCH(A414&amp;" (*",'Location Master'!$G$2:$G$502,0), MATCH(A414&amp;"*",'Location Master'!$G$2:$G$502,0)))), ""))</f>
        <v/>
      </c>
      <c r="E414" s="154"/>
      <c r="F414" s="75" t="str">
        <f>IF(A414="","",SUMIFS('Stock Movement'!$F:$F,'Stock Movement'!$B:$B,A414,'Stock Movement'!$E:$E,"IN"))</f>
        <v/>
      </c>
      <c r="G414" s="75" t="str">
        <f>IF(A414="","",SUMIFS('Stock Movement'!$F:$F,'Stock Movement'!$B:$B,A414,'Stock Movement'!$E:$E,"OUT"))</f>
        <v/>
      </c>
      <c r="H414" s="75" t="str">
        <f t="shared" si="1"/>
        <v/>
      </c>
      <c r="I414" s="150"/>
      <c r="J414" s="154"/>
      <c r="K414" s="91" t="str">
        <f t="shared" si="2"/>
        <v/>
      </c>
    </row>
    <row r="415" ht="15.75" customHeight="1">
      <c r="A415" s="147"/>
      <c r="B415" s="155"/>
      <c r="C415" s="147"/>
      <c r="D415" s="147" t="str">
        <f t="array" ref="D415">IF(A415="","",IFERROR(INDEX('Location Master'!$E$2:$E$502, IFERROR(MATCH(A415,'Location Master'!$G$2:$G$502,0), IFERROR(MATCH(A415&amp;" (*",'Location Master'!$G$2:$G$502,0), MATCH(A415&amp;"*",'Location Master'!$G$2:$G$502,0)))), ""))</f>
        <v/>
      </c>
      <c r="E415" s="156"/>
      <c r="F415" s="86" t="str">
        <f>IF(A415="","",SUMIFS('Stock Movement'!$F:$F,'Stock Movement'!$B:$B,A415,'Stock Movement'!$E:$E,"IN"))</f>
        <v/>
      </c>
      <c r="G415" s="86" t="str">
        <f>IF(A415="","",SUMIFS('Stock Movement'!$F:$F,'Stock Movement'!$B:$B,A415,'Stock Movement'!$E:$E,"OUT"))</f>
        <v/>
      </c>
      <c r="H415" s="86" t="str">
        <f t="shared" si="1"/>
        <v/>
      </c>
      <c r="I415" s="147"/>
      <c r="J415" s="156"/>
      <c r="K415" s="83" t="str">
        <f t="shared" si="2"/>
        <v/>
      </c>
    </row>
    <row r="416" ht="15.75" customHeight="1">
      <c r="A416" s="150"/>
      <c r="B416" s="153"/>
      <c r="C416" s="150"/>
      <c r="D416" s="150" t="str">
        <f t="array" ref="D416">IF(A416="","",IFERROR(INDEX('Location Master'!$E$2:$E$502, IFERROR(MATCH(A416,'Location Master'!$G$2:$G$502,0), IFERROR(MATCH(A416&amp;" (*",'Location Master'!$G$2:$G$502,0), MATCH(A416&amp;"*",'Location Master'!$G$2:$G$502,0)))), ""))</f>
        <v/>
      </c>
      <c r="E416" s="154"/>
      <c r="F416" s="75" t="str">
        <f>IF(A416="","",SUMIFS('Stock Movement'!$F:$F,'Stock Movement'!$B:$B,A416,'Stock Movement'!$E:$E,"IN"))</f>
        <v/>
      </c>
      <c r="G416" s="75" t="str">
        <f>IF(A416="","",SUMIFS('Stock Movement'!$F:$F,'Stock Movement'!$B:$B,A416,'Stock Movement'!$E:$E,"OUT"))</f>
        <v/>
      </c>
      <c r="H416" s="75" t="str">
        <f t="shared" si="1"/>
        <v/>
      </c>
      <c r="I416" s="150"/>
      <c r="J416" s="154"/>
      <c r="K416" s="91" t="str">
        <f t="shared" si="2"/>
        <v/>
      </c>
    </row>
    <row r="417" ht="15.75" customHeight="1">
      <c r="A417" s="147"/>
      <c r="B417" s="155"/>
      <c r="C417" s="147"/>
      <c r="D417" s="147" t="str">
        <f t="array" ref="D417">IF(A417="","",IFERROR(INDEX('Location Master'!$E$2:$E$502, IFERROR(MATCH(A417,'Location Master'!$G$2:$G$502,0), IFERROR(MATCH(A417&amp;" (*",'Location Master'!$G$2:$G$502,0), MATCH(A417&amp;"*",'Location Master'!$G$2:$G$502,0)))), ""))</f>
        <v/>
      </c>
      <c r="E417" s="156"/>
      <c r="F417" s="86" t="str">
        <f>IF(A417="","",SUMIFS('Stock Movement'!$F:$F,'Stock Movement'!$B:$B,A417,'Stock Movement'!$E:$E,"IN"))</f>
        <v/>
      </c>
      <c r="G417" s="86" t="str">
        <f>IF(A417="","",SUMIFS('Stock Movement'!$F:$F,'Stock Movement'!$B:$B,A417,'Stock Movement'!$E:$E,"OUT"))</f>
        <v/>
      </c>
      <c r="H417" s="86" t="str">
        <f t="shared" si="1"/>
        <v/>
      </c>
      <c r="I417" s="147"/>
      <c r="J417" s="156"/>
      <c r="K417" s="83" t="str">
        <f t="shared" si="2"/>
        <v/>
      </c>
    </row>
    <row r="418" ht="15.75" customHeight="1">
      <c r="A418" s="150"/>
      <c r="B418" s="153"/>
      <c r="C418" s="150"/>
      <c r="D418" s="150" t="str">
        <f t="array" ref="D418">IF(A418="","",IFERROR(INDEX('Location Master'!$E$2:$E$502, IFERROR(MATCH(A418,'Location Master'!$G$2:$G$502,0), IFERROR(MATCH(A418&amp;" (*",'Location Master'!$G$2:$G$502,0), MATCH(A418&amp;"*",'Location Master'!$G$2:$G$502,0)))), ""))</f>
        <v/>
      </c>
      <c r="E418" s="154"/>
      <c r="F418" s="75" t="str">
        <f>IF(A418="","",SUMIFS('Stock Movement'!$F:$F,'Stock Movement'!$B:$B,A418,'Stock Movement'!$E:$E,"IN"))</f>
        <v/>
      </c>
      <c r="G418" s="75" t="str">
        <f>IF(A418="","",SUMIFS('Stock Movement'!$F:$F,'Stock Movement'!$B:$B,A418,'Stock Movement'!$E:$E,"OUT"))</f>
        <v/>
      </c>
      <c r="H418" s="75" t="str">
        <f t="shared" si="1"/>
        <v/>
      </c>
      <c r="I418" s="150"/>
      <c r="J418" s="154"/>
      <c r="K418" s="91" t="str">
        <f t="shared" si="2"/>
        <v/>
      </c>
    </row>
    <row r="419" ht="15.75" customHeight="1">
      <c r="A419" s="147"/>
      <c r="B419" s="155"/>
      <c r="C419" s="147"/>
      <c r="D419" s="147" t="str">
        <f t="array" ref="D419">IF(A419="","",IFERROR(INDEX('Location Master'!$E$2:$E$502, IFERROR(MATCH(A419,'Location Master'!$G$2:$G$502,0), IFERROR(MATCH(A419&amp;" (*",'Location Master'!$G$2:$G$502,0), MATCH(A419&amp;"*",'Location Master'!$G$2:$G$502,0)))), ""))</f>
        <v/>
      </c>
      <c r="E419" s="156"/>
      <c r="F419" s="86" t="str">
        <f>IF(A419="","",SUMIFS('Stock Movement'!$F:$F,'Stock Movement'!$B:$B,A419,'Stock Movement'!$E:$E,"IN"))</f>
        <v/>
      </c>
      <c r="G419" s="86" t="str">
        <f>IF(A419="","",SUMIFS('Stock Movement'!$F:$F,'Stock Movement'!$B:$B,A419,'Stock Movement'!$E:$E,"OUT"))</f>
        <v/>
      </c>
      <c r="H419" s="86" t="str">
        <f t="shared" si="1"/>
        <v/>
      </c>
      <c r="I419" s="147"/>
      <c r="J419" s="156"/>
      <c r="K419" s="83" t="str">
        <f t="shared" si="2"/>
        <v/>
      </c>
    </row>
    <row r="420" ht="15.75" customHeight="1">
      <c r="A420" s="150"/>
      <c r="B420" s="153"/>
      <c r="C420" s="150"/>
      <c r="D420" s="150" t="str">
        <f t="array" ref="D420">IF(A420="","",IFERROR(INDEX('Location Master'!$E$2:$E$502, IFERROR(MATCH(A420,'Location Master'!$G$2:$G$502,0), IFERROR(MATCH(A420&amp;" (*",'Location Master'!$G$2:$G$502,0), MATCH(A420&amp;"*",'Location Master'!$G$2:$G$502,0)))), ""))</f>
        <v/>
      </c>
      <c r="E420" s="154"/>
      <c r="F420" s="75" t="str">
        <f>IF(A420="","",SUMIFS('Stock Movement'!$F:$F,'Stock Movement'!$B:$B,A420,'Stock Movement'!$E:$E,"IN"))</f>
        <v/>
      </c>
      <c r="G420" s="75" t="str">
        <f>IF(A420="","",SUMIFS('Stock Movement'!$F:$F,'Stock Movement'!$B:$B,A420,'Stock Movement'!$E:$E,"OUT"))</f>
        <v/>
      </c>
      <c r="H420" s="75" t="str">
        <f t="shared" si="1"/>
        <v/>
      </c>
      <c r="I420" s="150"/>
      <c r="J420" s="154"/>
      <c r="K420" s="91" t="str">
        <f t="shared" si="2"/>
        <v/>
      </c>
    </row>
    <row r="421" ht="15.75" customHeight="1">
      <c r="A421" s="147"/>
      <c r="B421" s="155"/>
      <c r="C421" s="147"/>
      <c r="D421" s="147" t="str">
        <f t="array" ref="D421">IF(A421="","",IFERROR(INDEX('Location Master'!$E$2:$E$502, IFERROR(MATCH(A421,'Location Master'!$G$2:$G$502,0), IFERROR(MATCH(A421&amp;" (*",'Location Master'!$G$2:$G$502,0), MATCH(A421&amp;"*",'Location Master'!$G$2:$G$502,0)))), ""))</f>
        <v/>
      </c>
      <c r="E421" s="156"/>
      <c r="F421" s="86" t="str">
        <f>IF(A421="","",SUMIFS('Stock Movement'!$F:$F,'Stock Movement'!$B:$B,A421,'Stock Movement'!$E:$E,"IN"))</f>
        <v/>
      </c>
      <c r="G421" s="86" t="str">
        <f>IF(A421="","",SUMIFS('Stock Movement'!$F:$F,'Stock Movement'!$B:$B,A421,'Stock Movement'!$E:$E,"OUT"))</f>
        <v/>
      </c>
      <c r="H421" s="86" t="str">
        <f t="shared" si="1"/>
        <v/>
      </c>
      <c r="I421" s="147"/>
      <c r="J421" s="156"/>
      <c r="K421" s="83" t="str">
        <f t="shared" si="2"/>
        <v/>
      </c>
    </row>
    <row r="422" ht="15.75" customHeight="1">
      <c r="A422" s="150"/>
      <c r="B422" s="153"/>
      <c r="C422" s="150"/>
      <c r="D422" s="150" t="str">
        <f t="array" ref="D422">IF(A422="","",IFERROR(INDEX('Location Master'!$E$2:$E$502, IFERROR(MATCH(A422,'Location Master'!$G$2:$G$502,0), IFERROR(MATCH(A422&amp;" (*",'Location Master'!$G$2:$G$502,0), MATCH(A422&amp;"*",'Location Master'!$G$2:$G$502,0)))), ""))</f>
        <v/>
      </c>
      <c r="E422" s="154"/>
      <c r="F422" s="75" t="str">
        <f>IF(A422="","",SUMIFS('Stock Movement'!$F:$F,'Stock Movement'!$B:$B,A422,'Stock Movement'!$E:$E,"IN"))</f>
        <v/>
      </c>
      <c r="G422" s="75" t="str">
        <f>IF(A422="","",SUMIFS('Stock Movement'!$F:$F,'Stock Movement'!$B:$B,A422,'Stock Movement'!$E:$E,"OUT"))</f>
        <v/>
      </c>
      <c r="H422" s="75" t="str">
        <f t="shared" si="1"/>
        <v/>
      </c>
      <c r="I422" s="150"/>
      <c r="J422" s="154"/>
      <c r="K422" s="91" t="str">
        <f t="shared" si="2"/>
        <v/>
      </c>
    </row>
    <row r="423" ht="15.75" customHeight="1">
      <c r="A423" s="147"/>
      <c r="B423" s="155"/>
      <c r="C423" s="147"/>
      <c r="D423" s="147" t="str">
        <f t="array" ref="D423">IF(A423="","",IFERROR(INDEX('Location Master'!$E$2:$E$502, IFERROR(MATCH(A423,'Location Master'!$G$2:$G$502,0), IFERROR(MATCH(A423&amp;" (*",'Location Master'!$G$2:$G$502,0), MATCH(A423&amp;"*",'Location Master'!$G$2:$G$502,0)))), ""))</f>
        <v/>
      </c>
      <c r="E423" s="156"/>
      <c r="F423" s="86" t="str">
        <f>IF(A423="","",SUMIFS('Stock Movement'!$F:$F,'Stock Movement'!$B:$B,A423,'Stock Movement'!$E:$E,"IN"))</f>
        <v/>
      </c>
      <c r="G423" s="86" t="str">
        <f>IF(A423="","",SUMIFS('Stock Movement'!$F:$F,'Stock Movement'!$B:$B,A423,'Stock Movement'!$E:$E,"OUT"))</f>
        <v/>
      </c>
      <c r="H423" s="86" t="str">
        <f t="shared" si="1"/>
        <v/>
      </c>
      <c r="I423" s="147"/>
      <c r="J423" s="156"/>
      <c r="K423" s="83" t="str">
        <f t="shared" si="2"/>
        <v/>
      </c>
    </row>
    <row r="424" ht="15.75" customHeight="1">
      <c r="A424" s="150"/>
      <c r="B424" s="153"/>
      <c r="C424" s="150"/>
      <c r="D424" s="150" t="str">
        <f t="array" ref="D424">IF(A424="","",IFERROR(INDEX('Location Master'!$E$2:$E$502, IFERROR(MATCH(A424,'Location Master'!$G$2:$G$502,0), IFERROR(MATCH(A424&amp;" (*",'Location Master'!$G$2:$G$502,0), MATCH(A424&amp;"*",'Location Master'!$G$2:$G$502,0)))), ""))</f>
        <v/>
      </c>
      <c r="E424" s="154"/>
      <c r="F424" s="75" t="str">
        <f>IF(A424="","",SUMIFS('Stock Movement'!$F:$F,'Stock Movement'!$B:$B,A424,'Stock Movement'!$E:$E,"IN"))</f>
        <v/>
      </c>
      <c r="G424" s="75" t="str">
        <f>IF(A424="","",SUMIFS('Stock Movement'!$F:$F,'Stock Movement'!$B:$B,A424,'Stock Movement'!$E:$E,"OUT"))</f>
        <v/>
      </c>
      <c r="H424" s="75" t="str">
        <f t="shared" si="1"/>
        <v/>
      </c>
      <c r="I424" s="150"/>
      <c r="J424" s="154"/>
      <c r="K424" s="91" t="str">
        <f t="shared" si="2"/>
        <v/>
      </c>
    </row>
    <row r="425" ht="15.75" customHeight="1">
      <c r="A425" s="147"/>
      <c r="B425" s="155"/>
      <c r="C425" s="147"/>
      <c r="D425" s="147" t="str">
        <f t="array" ref="D425">IF(A425="","",IFERROR(INDEX('Location Master'!$E$2:$E$502, IFERROR(MATCH(A425,'Location Master'!$G$2:$G$502,0), IFERROR(MATCH(A425&amp;" (*",'Location Master'!$G$2:$G$502,0), MATCH(A425&amp;"*",'Location Master'!$G$2:$G$502,0)))), ""))</f>
        <v/>
      </c>
      <c r="E425" s="156"/>
      <c r="F425" s="86" t="str">
        <f>IF(A425="","",SUMIFS('Stock Movement'!$F:$F,'Stock Movement'!$B:$B,A425,'Stock Movement'!$E:$E,"IN"))</f>
        <v/>
      </c>
      <c r="G425" s="86" t="str">
        <f>IF(A425="","",SUMIFS('Stock Movement'!$F:$F,'Stock Movement'!$B:$B,A425,'Stock Movement'!$E:$E,"OUT"))</f>
        <v/>
      </c>
      <c r="H425" s="86" t="str">
        <f t="shared" si="1"/>
        <v/>
      </c>
      <c r="I425" s="147"/>
      <c r="J425" s="156"/>
      <c r="K425" s="83" t="str">
        <f t="shared" si="2"/>
        <v/>
      </c>
    </row>
    <row r="426" ht="15.75" customHeight="1">
      <c r="A426" s="150"/>
      <c r="B426" s="153"/>
      <c r="C426" s="150"/>
      <c r="D426" s="150" t="str">
        <f t="array" ref="D426">IF(A426="","",IFERROR(INDEX('Location Master'!$E$2:$E$502, IFERROR(MATCH(A426,'Location Master'!$G$2:$G$502,0), IFERROR(MATCH(A426&amp;" (*",'Location Master'!$G$2:$G$502,0), MATCH(A426&amp;"*",'Location Master'!$G$2:$G$502,0)))), ""))</f>
        <v/>
      </c>
      <c r="E426" s="154"/>
      <c r="F426" s="75" t="str">
        <f>IF(A426="","",SUMIFS('Stock Movement'!$F:$F,'Stock Movement'!$B:$B,A426,'Stock Movement'!$E:$E,"IN"))</f>
        <v/>
      </c>
      <c r="G426" s="75" t="str">
        <f>IF(A426="","",SUMIFS('Stock Movement'!$F:$F,'Stock Movement'!$B:$B,A426,'Stock Movement'!$E:$E,"OUT"))</f>
        <v/>
      </c>
      <c r="H426" s="75" t="str">
        <f t="shared" si="1"/>
        <v/>
      </c>
      <c r="I426" s="150"/>
      <c r="J426" s="154"/>
      <c r="K426" s="91" t="str">
        <f t="shared" si="2"/>
        <v/>
      </c>
    </row>
    <row r="427" ht="15.75" customHeight="1">
      <c r="A427" s="147"/>
      <c r="B427" s="155"/>
      <c r="C427" s="147"/>
      <c r="D427" s="147" t="str">
        <f t="array" ref="D427">IF(A427="","",IFERROR(INDEX('Location Master'!$E$2:$E$502, IFERROR(MATCH(A427,'Location Master'!$G$2:$G$502,0), IFERROR(MATCH(A427&amp;" (*",'Location Master'!$G$2:$G$502,0), MATCH(A427&amp;"*",'Location Master'!$G$2:$G$502,0)))), ""))</f>
        <v/>
      </c>
      <c r="E427" s="156"/>
      <c r="F427" s="86" t="str">
        <f>IF(A427="","",SUMIFS('Stock Movement'!$F:$F,'Stock Movement'!$B:$B,A427,'Stock Movement'!$E:$E,"IN"))</f>
        <v/>
      </c>
      <c r="G427" s="86" t="str">
        <f>IF(A427="","",SUMIFS('Stock Movement'!$F:$F,'Stock Movement'!$B:$B,A427,'Stock Movement'!$E:$E,"OUT"))</f>
        <v/>
      </c>
      <c r="H427" s="86" t="str">
        <f t="shared" si="1"/>
        <v/>
      </c>
      <c r="I427" s="147"/>
      <c r="J427" s="156"/>
      <c r="K427" s="83" t="str">
        <f t="shared" si="2"/>
        <v/>
      </c>
    </row>
    <row r="428" ht="15.75" customHeight="1">
      <c r="A428" s="150"/>
      <c r="B428" s="153"/>
      <c r="C428" s="150"/>
      <c r="D428" s="150" t="str">
        <f t="array" ref="D428">IF(A428="","",IFERROR(INDEX('Location Master'!$E$2:$E$502, IFERROR(MATCH(A428,'Location Master'!$G$2:$G$502,0), IFERROR(MATCH(A428&amp;" (*",'Location Master'!$G$2:$G$502,0), MATCH(A428&amp;"*",'Location Master'!$G$2:$G$502,0)))), ""))</f>
        <v/>
      </c>
      <c r="E428" s="154"/>
      <c r="F428" s="75" t="str">
        <f>IF(A428="","",SUMIFS('Stock Movement'!$F:$F,'Stock Movement'!$B:$B,A428,'Stock Movement'!$E:$E,"IN"))</f>
        <v/>
      </c>
      <c r="G428" s="75" t="str">
        <f>IF(A428="","",SUMIFS('Stock Movement'!$F:$F,'Stock Movement'!$B:$B,A428,'Stock Movement'!$E:$E,"OUT"))</f>
        <v/>
      </c>
      <c r="H428" s="75" t="str">
        <f t="shared" si="1"/>
        <v/>
      </c>
      <c r="I428" s="150"/>
      <c r="J428" s="154"/>
      <c r="K428" s="91" t="str">
        <f t="shared" si="2"/>
        <v/>
      </c>
    </row>
    <row r="429" ht="15.75" customHeight="1">
      <c r="A429" s="147"/>
      <c r="B429" s="155"/>
      <c r="C429" s="147"/>
      <c r="D429" s="147" t="str">
        <f t="array" ref="D429">IF(A429="","",IFERROR(INDEX('Location Master'!$E$2:$E$502, IFERROR(MATCH(A429,'Location Master'!$G$2:$G$502,0), IFERROR(MATCH(A429&amp;" (*",'Location Master'!$G$2:$G$502,0), MATCH(A429&amp;"*",'Location Master'!$G$2:$G$502,0)))), ""))</f>
        <v/>
      </c>
      <c r="E429" s="156"/>
      <c r="F429" s="86" t="str">
        <f>IF(A429="","",SUMIFS('Stock Movement'!$F:$F,'Stock Movement'!$B:$B,A429,'Stock Movement'!$E:$E,"IN"))</f>
        <v/>
      </c>
      <c r="G429" s="86" t="str">
        <f>IF(A429="","",SUMIFS('Stock Movement'!$F:$F,'Stock Movement'!$B:$B,A429,'Stock Movement'!$E:$E,"OUT"))</f>
        <v/>
      </c>
      <c r="H429" s="86" t="str">
        <f t="shared" si="1"/>
        <v/>
      </c>
      <c r="I429" s="147"/>
      <c r="J429" s="156"/>
      <c r="K429" s="83" t="str">
        <f t="shared" si="2"/>
        <v/>
      </c>
    </row>
    <row r="430" ht="15.75" customHeight="1">
      <c r="A430" s="150"/>
      <c r="B430" s="153"/>
      <c r="C430" s="150"/>
      <c r="D430" s="150" t="str">
        <f t="array" ref="D430">IF(A430="","",IFERROR(INDEX('Location Master'!$E$2:$E$502, IFERROR(MATCH(A430,'Location Master'!$G$2:$G$502,0), IFERROR(MATCH(A430&amp;" (*",'Location Master'!$G$2:$G$502,0), MATCH(A430&amp;"*",'Location Master'!$G$2:$G$502,0)))), ""))</f>
        <v/>
      </c>
      <c r="E430" s="154"/>
      <c r="F430" s="75" t="str">
        <f>IF(A430="","",SUMIFS('Stock Movement'!$F:$F,'Stock Movement'!$B:$B,A430,'Stock Movement'!$E:$E,"IN"))</f>
        <v/>
      </c>
      <c r="G430" s="75" t="str">
        <f>IF(A430="","",SUMIFS('Stock Movement'!$F:$F,'Stock Movement'!$B:$B,A430,'Stock Movement'!$E:$E,"OUT"))</f>
        <v/>
      </c>
      <c r="H430" s="75" t="str">
        <f t="shared" si="1"/>
        <v/>
      </c>
      <c r="I430" s="150"/>
      <c r="J430" s="154"/>
      <c r="K430" s="91" t="str">
        <f t="shared" si="2"/>
        <v/>
      </c>
    </row>
    <row r="431" ht="15.75" customHeight="1">
      <c r="A431" s="147"/>
      <c r="B431" s="155"/>
      <c r="C431" s="147"/>
      <c r="D431" s="147" t="str">
        <f t="array" ref="D431">IF(A431="","",IFERROR(INDEX('Location Master'!$E$2:$E$502, IFERROR(MATCH(A431,'Location Master'!$G$2:$G$502,0), IFERROR(MATCH(A431&amp;" (*",'Location Master'!$G$2:$G$502,0), MATCH(A431&amp;"*",'Location Master'!$G$2:$G$502,0)))), ""))</f>
        <v/>
      </c>
      <c r="E431" s="156"/>
      <c r="F431" s="86" t="str">
        <f>IF(A431="","",SUMIFS('Stock Movement'!$F:$F,'Stock Movement'!$B:$B,A431,'Stock Movement'!$E:$E,"IN"))</f>
        <v/>
      </c>
      <c r="G431" s="86" t="str">
        <f>IF(A431="","",SUMIFS('Stock Movement'!$F:$F,'Stock Movement'!$B:$B,A431,'Stock Movement'!$E:$E,"OUT"))</f>
        <v/>
      </c>
      <c r="H431" s="86" t="str">
        <f t="shared" si="1"/>
        <v/>
      </c>
      <c r="I431" s="147"/>
      <c r="J431" s="156"/>
      <c r="K431" s="83" t="str">
        <f t="shared" si="2"/>
        <v/>
      </c>
    </row>
    <row r="432" ht="15.75" customHeight="1">
      <c r="A432" s="150"/>
      <c r="B432" s="153"/>
      <c r="C432" s="150"/>
      <c r="D432" s="150" t="str">
        <f t="array" ref="D432">IF(A432="","",IFERROR(INDEX('Location Master'!$E$2:$E$502, IFERROR(MATCH(A432,'Location Master'!$G$2:$G$502,0), IFERROR(MATCH(A432&amp;" (*",'Location Master'!$G$2:$G$502,0), MATCH(A432&amp;"*",'Location Master'!$G$2:$G$502,0)))), ""))</f>
        <v/>
      </c>
      <c r="E432" s="154"/>
      <c r="F432" s="75" t="str">
        <f>IF(A432="","",SUMIFS('Stock Movement'!$F:$F,'Stock Movement'!$B:$B,A432,'Stock Movement'!$E:$E,"IN"))</f>
        <v/>
      </c>
      <c r="G432" s="75" t="str">
        <f>IF(A432="","",SUMIFS('Stock Movement'!$F:$F,'Stock Movement'!$B:$B,A432,'Stock Movement'!$E:$E,"OUT"))</f>
        <v/>
      </c>
      <c r="H432" s="75" t="str">
        <f t="shared" si="1"/>
        <v/>
      </c>
      <c r="I432" s="150"/>
      <c r="J432" s="154"/>
      <c r="K432" s="91" t="str">
        <f t="shared" si="2"/>
        <v/>
      </c>
    </row>
    <row r="433" ht="15.75" customHeight="1">
      <c r="A433" s="147"/>
      <c r="B433" s="155"/>
      <c r="C433" s="147"/>
      <c r="D433" s="147" t="str">
        <f t="array" ref="D433">IF(A433="","",IFERROR(INDEX('Location Master'!$E$2:$E$502, IFERROR(MATCH(A433,'Location Master'!$G$2:$G$502,0), IFERROR(MATCH(A433&amp;" (*",'Location Master'!$G$2:$G$502,0), MATCH(A433&amp;"*",'Location Master'!$G$2:$G$502,0)))), ""))</f>
        <v/>
      </c>
      <c r="E433" s="156"/>
      <c r="F433" s="86" t="str">
        <f>IF(A433="","",SUMIFS('Stock Movement'!$F:$F,'Stock Movement'!$B:$B,A433,'Stock Movement'!$E:$E,"IN"))</f>
        <v/>
      </c>
      <c r="G433" s="86" t="str">
        <f>IF(A433="","",SUMIFS('Stock Movement'!$F:$F,'Stock Movement'!$B:$B,A433,'Stock Movement'!$E:$E,"OUT"))</f>
        <v/>
      </c>
      <c r="H433" s="86" t="str">
        <f t="shared" si="1"/>
        <v/>
      </c>
      <c r="I433" s="147"/>
      <c r="J433" s="156"/>
      <c r="K433" s="83" t="str">
        <f t="shared" si="2"/>
        <v/>
      </c>
    </row>
    <row r="434" ht="15.75" customHeight="1">
      <c r="A434" s="150"/>
      <c r="B434" s="153"/>
      <c r="C434" s="150"/>
      <c r="D434" s="150" t="str">
        <f t="array" ref="D434">IF(A434="","",IFERROR(INDEX('Location Master'!$E$2:$E$502, IFERROR(MATCH(A434,'Location Master'!$G$2:$G$502,0), IFERROR(MATCH(A434&amp;" (*",'Location Master'!$G$2:$G$502,0), MATCH(A434&amp;"*",'Location Master'!$G$2:$G$502,0)))), ""))</f>
        <v/>
      </c>
      <c r="E434" s="154"/>
      <c r="F434" s="75" t="str">
        <f>IF(A434="","",SUMIFS('Stock Movement'!$F:$F,'Stock Movement'!$B:$B,A434,'Stock Movement'!$E:$E,"IN"))</f>
        <v/>
      </c>
      <c r="G434" s="75" t="str">
        <f>IF(A434="","",SUMIFS('Stock Movement'!$F:$F,'Stock Movement'!$B:$B,A434,'Stock Movement'!$E:$E,"OUT"))</f>
        <v/>
      </c>
      <c r="H434" s="75" t="str">
        <f t="shared" si="1"/>
        <v/>
      </c>
      <c r="I434" s="150"/>
      <c r="J434" s="154"/>
      <c r="K434" s="91" t="str">
        <f t="shared" si="2"/>
        <v/>
      </c>
    </row>
    <row r="435" ht="15.75" customHeight="1">
      <c r="A435" s="147"/>
      <c r="B435" s="155"/>
      <c r="C435" s="147"/>
      <c r="D435" s="147" t="str">
        <f t="array" ref="D435">IF(A435="","",IFERROR(INDEX('Location Master'!$E$2:$E$502, IFERROR(MATCH(A435,'Location Master'!$G$2:$G$502,0), IFERROR(MATCH(A435&amp;" (*",'Location Master'!$G$2:$G$502,0), MATCH(A435&amp;"*",'Location Master'!$G$2:$G$502,0)))), ""))</f>
        <v/>
      </c>
      <c r="E435" s="156"/>
      <c r="F435" s="86" t="str">
        <f>IF(A435="","",SUMIFS('Stock Movement'!$F:$F,'Stock Movement'!$B:$B,A435,'Stock Movement'!$E:$E,"IN"))</f>
        <v/>
      </c>
      <c r="G435" s="86" t="str">
        <f>IF(A435="","",SUMIFS('Stock Movement'!$F:$F,'Stock Movement'!$B:$B,A435,'Stock Movement'!$E:$E,"OUT"))</f>
        <v/>
      </c>
      <c r="H435" s="86" t="str">
        <f t="shared" si="1"/>
        <v/>
      </c>
      <c r="I435" s="147"/>
      <c r="J435" s="156"/>
      <c r="K435" s="83" t="str">
        <f t="shared" si="2"/>
        <v/>
      </c>
    </row>
    <row r="436" ht="15.75" customHeight="1">
      <c r="A436" s="150"/>
      <c r="B436" s="153"/>
      <c r="C436" s="150"/>
      <c r="D436" s="150" t="str">
        <f t="array" ref="D436">IF(A436="","",IFERROR(INDEX('Location Master'!$E$2:$E$502, IFERROR(MATCH(A436,'Location Master'!$G$2:$G$502,0), IFERROR(MATCH(A436&amp;" (*",'Location Master'!$G$2:$G$502,0), MATCH(A436&amp;"*",'Location Master'!$G$2:$G$502,0)))), ""))</f>
        <v/>
      </c>
      <c r="E436" s="154"/>
      <c r="F436" s="75" t="str">
        <f>IF(A436="","",SUMIFS('Stock Movement'!$F:$F,'Stock Movement'!$B:$B,A436,'Stock Movement'!$E:$E,"IN"))</f>
        <v/>
      </c>
      <c r="G436" s="75" t="str">
        <f>IF(A436="","",SUMIFS('Stock Movement'!$F:$F,'Stock Movement'!$B:$B,A436,'Stock Movement'!$E:$E,"OUT"))</f>
        <v/>
      </c>
      <c r="H436" s="75" t="str">
        <f t="shared" si="1"/>
        <v/>
      </c>
      <c r="I436" s="150"/>
      <c r="J436" s="154"/>
      <c r="K436" s="91" t="str">
        <f t="shared" si="2"/>
        <v/>
      </c>
    </row>
    <row r="437" ht="15.75" customHeight="1">
      <c r="A437" s="147"/>
      <c r="B437" s="155"/>
      <c r="C437" s="147"/>
      <c r="D437" s="147" t="str">
        <f t="array" ref="D437">IF(A437="","",IFERROR(INDEX('Location Master'!$E$2:$E$502, IFERROR(MATCH(A437,'Location Master'!$G$2:$G$502,0), IFERROR(MATCH(A437&amp;" (*",'Location Master'!$G$2:$G$502,0), MATCH(A437&amp;"*",'Location Master'!$G$2:$G$502,0)))), ""))</f>
        <v/>
      </c>
      <c r="E437" s="156"/>
      <c r="F437" s="86" t="str">
        <f>IF(A437="","",SUMIFS('Stock Movement'!$F:$F,'Stock Movement'!$B:$B,A437,'Stock Movement'!$E:$E,"IN"))</f>
        <v/>
      </c>
      <c r="G437" s="86" t="str">
        <f>IF(A437="","",SUMIFS('Stock Movement'!$F:$F,'Stock Movement'!$B:$B,A437,'Stock Movement'!$E:$E,"OUT"))</f>
        <v/>
      </c>
      <c r="H437" s="86" t="str">
        <f t="shared" si="1"/>
        <v/>
      </c>
      <c r="I437" s="147"/>
      <c r="J437" s="156"/>
      <c r="K437" s="83" t="str">
        <f t="shared" si="2"/>
        <v/>
      </c>
    </row>
    <row r="438" ht="15.75" customHeight="1">
      <c r="A438" s="150"/>
      <c r="B438" s="153"/>
      <c r="C438" s="150"/>
      <c r="D438" s="150" t="str">
        <f t="array" ref="D438">IF(A438="","",IFERROR(INDEX('Location Master'!$E$2:$E$502, IFERROR(MATCH(A438,'Location Master'!$G$2:$G$502,0), IFERROR(MATCH(A438&amp;" (*",'Location Master'!$G$2:$G$502,0), MATCH(A438&amp;"*",'Location Master'!$G$2:$G$502,0)))), ""))</f>
        <v/>
      </c>
      <c r="E438" s="154"/>
      <c r="F438" s="75" t="str">
        <f>IF(A438="","",SUMIFS('Stock Movement'!$F:$F,'Stock Movement'!$B:$B,A438,'Stock Movement'!$E:$E,"IN"))</f>
        <v/>
      </c>
      <c r="G438" s="75" t="str">
        <f>IF(A438="","",SUMIFS('Stock Movement'!$F:$F,'Stock Movement'!$B:$B,A438,'Stock Movement'!$E:$E,"OUT"))</f>
        <v/>
      </c>
      <c r="H438" s="75" t="str">
        <f t="shared" si="1"/>
        <v/>
      </c>
      <c r="I438" s="150"/>
      <c r="J438" s="154"/>
      <c r="K438" s="91" t="str">
        <f t="shared" si="2"/>
        <v/>
      </c>
    </row>
    <row r="439" ht="15.75" customHeight="1">
      <c r="A439" s="147"/>
      <c r="B439" s="155"/>
      <c r="C439" s="147"/>
      <c r="D439" s="147" t="str">
        <f t="array" ref="D439">IF(A439="","",IFERROR(INDEX('Location Master'!$E$2:$E$502, IFERROR(MATCH(A439,'Location Master'!$G$2:$G$502,0), IFERROR(MATCH(A439&amp;" (*",'Location Master'!$G$2:$G$502,0), MATCH(A439&amp;"*",'Location Master'!$G$2:$G$502,0)))), ""))</f>
        <v/>
      </c>
      <c r="E439" s="156"/>
      <c r="F439" s="86" t="str">
        <f>IF(A439="","",SUMIFS('Stock Movement'!$F:$F,'Stock Movement'!$B:$B,A439,'Stock Movement'!$E:$E,"IN"))</f>
        <v/>
      </c>
      <c r="G439" s="86" t="str">
        <f>IF(A439="","",SUMIFS('Stock Movement'!$F:$F,'Stock Movement'!$B:$B,A439,'Stock Movement'!$E:$E,"OUT"))</f>
        <v/>
      </c>
      <c r="H439" s="86" t="str">
        <f t="shared" si="1"/>
        <v/>
      </c>
      <c r="I439" s="147"/>
      <c r="J439" s="156"/>
      <c r="K439" s="83" t="str">
        <f t="shared" si="2"/>
        <v/>
      </c>
    </row>
    <row r="440" ht="15.75" customHeight="1">
      <c r="A440" s="150"/>
      <c r="B440" s="153"/>
      <c r="C440" s="150"/>
      <c r="D440" s="150" t="str">
        <f t="array" ref="D440">IF(A440="","",IFERROR(INDEX('Location Master'!$E$2:$E$502, IFERROR(MATCH(A440,'Location Master'!$G$2:$G$502,0), IFERROR(MATCH(A440&amp;" (*",'Location Master'!$G$2:$G$502,0), MATCH(A440&amp;"*",'Location Master'!$G$2:$G$502,0)))), ""))</f>
        <v/>
      </c>
      <c r="E440" s="154"/>
      <c r="F440" s="75" t="str">
        <f>IF(A440="","",SUMIFS('Stock Movement'!$F:$F,'Stock Movement'!$B:$B,A440,'Stock Movement'!$E:$E,"IN"))</f>
        <v/>
      </c>
      <c r="G440" s="75" t="str">
        <f>IF(A440="","",SUMIFS('Stock Movement'!$F:$F,'Stock Movement'!$B:$B,A440,'Stock Movement'!$E:$E,"OUT"))</f>
        <v/>
      </c>
      <c r="H440" s="75" t="str">
        <f t="shared" si="1"/>
        <v/>
      </c>
      <c r="I440" s="150"/>
      <c r="J440" s="154"/>
      <c r="K440" s="91" t="str">
        <f t="shared" si="2"/>
        <v/>
      </c>
    </row>
    <row r="441" ht="15.75" customHeight="1">
      <c r="A441" s="147"/>
      <c r="B441" s="155"/>
      <c r="C441" s="147"/>
      <c r="D441" s="147" t="str">
        <f t="array" ref="D441">IF(A441="","",IFERROR(INDEX('Location Master'!$E$2:$E$502, IFERROR(MATCH(A441,'Location Master'!$G$2:$G$502,0), IFERROR(MATCH(A441&amp;" (*",'Location Master'!$G$2:$G$502,0), MATCH(A441&amp;"*",'Location Master'!$G$2:$G$502,0)))), ""))</f>
        <v/>
      </c>
      <c r="E441" s="156"/>
      <c r="F441" s="86" t="str">
        <f>IF(A441="","",SUMIFS('Stock Movement'!$F:$F,'Stock Movement'!$B:$B,A441,'Stock Movement'!$E:$E,"IN"))</f>
        <v/>
      </c>
      <c r="G441" s="86" t="str">
        <f>IF(A441="","",SUMIFS('Stock Movement'!$F:$F,'Stock Movement'!$B:$B,A441,'Stock Movement'!$E:$E,"OUT"))</f>
        <v/>
      </c>
      <c r="H441" s="86" t="str">
        <f t="shared" si="1"/>
        <v/>
      </c>
      <c r="I441" s="147"/>
      <c r="J441" s="156"/>
      <c r="K441" s="83" t="str">
        <f t="shared" si="2"/>
        <v/>
      </c>
    </row>
    <row r="442" ht="15.75" customHeight="1">
      <c r="A442" s="150"/>
      <c r="B442" s="153"/>
      <c r="C442" s="150"/>
      <c r="D442" s="150" t="str">
        <f t="array" ref="D442">IF(A442="","",IFERROR(INDEX('Location Master'!$E$2:$E$502, IFERROR(MATCH(A442,'Location Master'!$G$2:$G$502,0), IFERROR(MATCH(A442&amp;" (*",'Location Master'!$G$2:$G$502,0), MATCH(A442&amp;"*",'Location Master'!$G$2:$G$502,0)))), ""))</f>
        <v/>
      </c>
      <c r="E442" s="154"/>
      <c r="F442" s="75" t="str">
        <f>IF(A442="","",SUMIFS('Stock Movement'!$F:$F,'Stock Movement'!$B:$B,A442,'Stock Movement'!$E:$E,"IN"))</f>
        <v/>
      </c>
      <c r="G442" s="75" t="str">
        <f>IF(A442="","",SUMIFS('Stock Movement'!$F:$F,'Stock Movement'!$B:$B,A442,'Stock Movement'!$E:$E,"OUT"))</f>
        <v/>
      </c>
      <c r="H442" s="75" t="str">
        <f t="shared" si="1"/>
        <v/>
      </c>
      <c r="I442" s="150"/>
      <c r="J442" s="154"/>
      <c r="K442" s="91" t="str">
        <f t="shared" si="2"/>
        <v/>
      </c>
    </row>
    <row r="443" ht="15.75" customHeight="1">
      <c r="A443" s="147"/>
      <c r="B443" s="155"/>
      <c r="C443" s="147"/>
      <c r="D443" s="147" t="str">
        <f t="array" ref="D443">IF(A443="","",IFERROR(INDEX('Location Master'!$E$2:$E$502, IFERROR(MATCH(A443,'Location Master'!$G$2:$G$502,0), IFERROR(MATCH(A443&amp;" (*",'Location Master'!$G$2:$G$502,0), MATCH(A443&amp;"*",'Location Master'!$G$2:$G$502,0)))), ""))</f>
        <v/>
      </c>
      <c r="E443" s="156"/>
      <c r="F443" s="86" t="str">
        <f>IF(A443="","",SUMIFS('Stock Movement'!$F:$F,'Stock Movement'!$B:$B,A443,'Stock Movement'!$E:$E,"IN"))</f>
        <v/>
      </c>
      <c r="G443" s="86" t="str">
        <f>IF(A443="","",SUMIFS('Stock Movement'!$F:$F,'Stock Movement'!$B:$B,A443,'Stock Movement'!$E:$E,"OUT"))</f>
        <v/>
      </c>
      <c r="H443" s="86" t="str">
        <f t="shared" si="1"/>
        <v/>
      </c>
      <c r="I443" s="147"/>
      <c r="J443" s="156"/>
      <c r="K443" s="83" t="str">
        <f t="shared" si="2"/>
        <v/>
      </c>
    </row>
    <row r="444" ht="15.75" customHeight="1">
      <c r="A444" s="150"/>
      <c r="B444" s="153"/>
      <c r="C444" s="150"/>
      <c r="D444" s="150" t="str">
        <f t="array" ref="D444">IF(A444="","",IFERROR(INDEX('Location Master'!$E$2:$E$502, IFERROR(MATCH(A444,'Location Master'!$G$2:$G$502,0), IFERROR(MATCH(A444&amp;" (*",'Location Master'!$G$2:$G$502,0), MATCH(A444&amp;"*",'Location Master'!$G$2:$G$502,0)))), ""))</f>
        <v/>
      </c>
      <c r="E444" s="154"/>
      <c r="F444" s="75" t="str">
        <f>IF(A444="","",SUMIFS('Stock Movement'!$F:$F,'Stock Movement'!$B:$B,A444,'Stock Movement'!$E:$E,"IN"))</f>
        <v/>
      </c>
      <c r="G444" s="75" t="str">
        <f>IF(A444="","",SUMIFS('Stock Movement'!$F:$F,'Stock Movement'!$B:$B,A444,'Stock Movement'!$E:$E,"OUT"))</f>
        <v/>
      </c>
      <c r="H444" s="75" t="str">
        <f t="shared" si="1"/>
        <v/>
      </c>
      <c r="I444" s="150"/>
      <c r="J444" s="154"/>
      <c r="K444" s="91" t="str">
        <f t="shared" si="2"/>
        <v/>
      </c>
    </row>
    <row r="445" ht="15.75" customHeight="1">
      <c r="A445" s="147"/>
      <c r="B445" s="155"/>
      <c r="C445" s="147"/>
      <c r="D445" s="147" t="str">
        <f t="array" ref="D445">IF(A445="","",IFERROR(INDEX('Location Master'!$E$2:$E$502, IFERROR(MATCH(A445,'Location Master'!$G$2:$G$502,0), IFERROR(MATCH(A445&amp;" (*",'Location Master'!$G$2:$G$502,0), MATCH(A445&amp;"*",'Location Master'!$G$2:$G$502,0)))), ""))</f>
        <v/>
      </c>
      <c r="E445" s="156"/>
      <c r="F445" s="86" t="str">
        <f>IF(A445="","",SUMIFS('Stock Movement'!$F:$F,'Stock Movement'!$B:$B,A445,'Stock Movement'!$E:$E,"IN"))</f>
        <v/>
      </c>
      <c r="G445" s="86" t="str">
        <f>IF(A445="","",SUMIFS('Stock Movement'!$F:$F,'Stock Movement'!$B:$B,A445,'Stock Movement'!$E:$E,"OUT"))</f>
        <v/>
      </c>
      <c r="H445" s="86" t="str">
        <f t="shared" si="1"/>
        <v/>
      </c>
      <c r="I445" s="147"/>
      <c r="J445" s="156"/>
      <c r="K445" s="83" t="str">
        <f t="shared" si="2"/>
        <v/>
      </c>
    </row>
    <row r="446" ht="15.75" customHeight="1">
      <c r="A446" s="150"/>
      <c r="B446" s="153"/>
      <c r="C446" s="150"/>
      <c r="D446" s="150" t="str">
        <f t="array" ref="D446">IF(A446="","",IFERROR(INDEX('Location Master'!$E$2:$E$502, IFERROR(MATCH(A446,'Location Master'!$G$2:$G$502,0), IFERROR(MATCH(A446&amp;" (*",'Location Master'!$G$2:$G$502,0), MATCH(A446&amp;"*",'Location Master'!$G$2:$G$502,0)))), ""))</f>
        <v/>
      </c>
      <c r="E446" s="154"/>
      <c r="F446" s="75" t="str">
        <f>IF(A446="","",SUMIFS('Stock Movement'!$F:$F,'Stock Movement'!$B:$B,A446,'Stock Movement'!$E:$E,"IN"))</f>
        <v/>
      </c>
      <c r="G446" s="75" t="str">
        <f>IF(A446="","",SUMIFS('Stock Movement'!$F:$F,'Stock Movement'!$B:$B,A446,'Stock Movement'!$E:$E,"OUT"))</f>
        <v/>
      </c>
      <c r="H446" s="75" t="str">
        <f t="shared" si="1"/>
        <v/>
      </c>
      <c r="I446" s="150"/>
      <c r="J446" s="154"/>
      <c r="K446" s="91" t="str">
        <f t="shared" si="2"/>
        <v/>
      </c>
    </row>
    <row r="447" ht="15.75" customHeight="1">
      <c r="A447" s="147"/>
      <c r="B447" s="155"/>
      <c r="C447" s="147"/>
      <c r="D447" s="147" t="str">
        <f t="array" ref="D447">IF(A447="","",IFERROR(INDEX('Location Master'!$E$2:$E$502, IFERROR(MATCH(A447,'Location Master'!$G$2:$G$502,0), IFERROR(MATCH(A447&amp;" (*",'Location Master'!$G$2:$G$502,0), MATCH(A447&amp;"*",'Location Master'!$G$2:$G$502,0)))), ""))</f>
        <v/>
      </c>
      <c r="E447" s="156"/>
      <c r="F447" s="86" t="str">
        <f>IF(A447="","",SUMIFS('Stock Movement'!$F:$F,'Stock Movement'!$B:$B,A447,'Stock Movement'!$E:$E,"IN"))</f>
        <v/>
      </c>
      <c r="G447" s="86" t="str">
        <f>IF(A447="","",SUMIFS('Stock Movement'!$F:$F,'Stock Movement'!$B:$B,A447,'Stock Movement'!$E:$E,"OUT"))</f>
        <v/>
      </c>
      <c r="H447" s="86" t="str">
        <f t="shared" si="1"/>
        <v/>
      </c>
      <c r="I447" s="147"/>
      <c r="J447" s="156"/>
      <c r="K447" s="83" t="str">
        <f t="shared" si="2"/>
        <v/>
      </c>
    </row>
    <row r="448" ht="15.75" customHeight="1">
      <c r="A448" s="150"/>
      <c r="B448" s="153"/>
      <c r="C448" s="150"/>
      <c r="D448" s="150" t="str">
        <f t="array" ref="D448">IF(A448="","",IFERROR(INDEX('Location Master'!$E$2:$E$502, IFERROR(MATCH(A448,'Location Master'!$G$2:$G$502,0), IFERROR(MATCH(A448&amp;" (*",'Location Master'!$G$2:$G$502,0), MATCH(A448&amp;"*",'Location Master'!$G$2:$G$502,0)))), ""))</f>
        <v/>
      </c>
      <c r="E448" s="154"/>
      <c r="F448" s="75" t="str">
        <f>IF(A448="","",SUMIFS('Stock Movement'!$F:$F,'Stock Movement'!$B:$B,A448,'Stock Movement'!$E:$E,"IN"))</f>
        <v/>
      </c>
      <c r="G448" s="75" t="str">
        <f>IF(A448="","",SUMIFS('Stock Movement'!$F:$F,'Stock Movement'!$B:$B,A448,'Stock Movement'!$E:$E,"OUT"))</f>
        <v/>
      </c>
      <c r="H448" s="75" t="str">
        <f t="shared" si="1"/>
        <v/>
      </c>
      <c r="I448" s="150"/>
      <c r="J448" s="154"/>
      <c r="K448" s="91" t="str">
        <f t="shared" si="2"/>
        <v/>
      </c>
    </row>
    <row r="449" ht="15.75" customHeight="1">
      <c r="A449" s="147"/>
      <c r="B449" s="155"/>
      <c r="C449" s="147"/>
      <c r="D449" s="147" t="str">
        <f t="array" ref="D449">IF(A449="","",IFERROR(INDEX('Location Master'!$E$2:$E$502, IFERROR(MATCH(A449,'Location Master'!$G$2:$G$502,0), IFERROR(MATCH(A449&amp;" (*",'Location Master'!$G$2:$G$502,0), MATCH(A449&amp;"*",'Location Master'!$G$2:$G$502,0)))), ""))</f>
        <v/>
      </c>
      <c r="E449" s="156"/>
      <c r="F449" s="86" t="str">
        <f>IF(A449="","",SUMIFS('Stock Movement'!$F:$F,'Stock Movement'!$B:$B,A449,'Stock Movement'!$E:$E,"IN"))</f>
        <v/>
      </c>
      <c r="G449" s="86" t="str">
        <f>IF(A449="","",SUMIFS('Stock Movement'!$F:$F,'Stock Movement'!$B:$B,A449,'Stock Movement'!$E:$E,"OUT"))</f>
        <v/>
      </c>
      <c r="H449" s="86" t="str">
        <f t="shared" si="1"/>
        <v/>
      </c>
      <c r="I449" s="147"/>
      <c r="J449" s="156"/>
      <c r="K449" s="83" t="str">
        <f t="shared" si="2"/>
        <v/>
      </c>
    </row>
    <row r="450" ht="15.75" customHeight="1">
      <c r="A450" s="150"/>
      <c r="B450" s="153"/>
      <c r="C450" s="150"/>
      <c r="D450" s="150" t="str">
        <f t="array" ref="D450">IF(A450="","",IFERROR(INDEX('Location Master'!$E$2:$E$502, IFERROR(MATCH(A450,'Location Master'!$G$2:$G$502,0), IFERROR(MATCH(A450&amp;" (*",'Location Master'!$G$2:$G$502,0), MATCH(A450&amp;"*",'Location Master'!$G$2:$G$502,0)))), ""))</f>
        <v/>
      </c>
      <c r="E450" s="154"/>
      <c r="F450" s="75" t="str">
        <f>IF(A450="","",SUMIFS('Stock Movement'!$F:$F,'Stock Movement'!$B:$B,A450,'Stock Movement'!$E:$E,"IN"))</f>
        <v/>
      </c>
      <c r="G450" s="75" t="str">
        <f>IF(A450="","",SUMIFS('Stock Movement'!$F:$F,'Stock Movement'!$B:$B,A450,'Stock Movement'!$E:$E,"OUT"))</f>
        <v/>
      </c>
      <c r="H450" s="75" t="str">
        <f t="shared" si="1"/>
        <v/>
      </c>
      <c r="I450" s="150"/>
      <c r="J450" s="154"/>
      <c r="K450" s="91" t="str">
        <f t="shared" si="2"/>
        <v/>
      </c>
    </row>
    <row r="451" ht="15.75" customHeight="1">
      <c r="A451" s="147"/>
      <c r="B451" s="155"/>
      <c r="C451" s="147"/>
      <c r="D451" s="147" t="str">
        <f t="array" ref="D451">IF(A451="","",IFERROR(INDEX('Location Master'!$E$2:$E$502, IFERROR(MATCH(A451,'Location Master'!$G$2:$G$502,0), IFERROR(MATCH(A451&amp;" (*",'Location Master'!$G$2:$G$502,0), MATCH(A451&amp;"*",'Location Master'!$G$2:$G$502,0)))), ""))</f>
        <v/>
      </c>
      <c r="E451" s="156"/>
      <c r="F451" s="86" t="str">
        <f>IF(A451="","",SUMIFS('Stock Movement'!$F:$F,'Stock Movement'!$B:$B,A451,'Stock Movement'!$E:$E,"IN"))</f>
        <v/>
      </c>
      <c r="G451" s="86" t="str">
        <f>IF(A451="","",SUMIFS('Stock Movement'!$F:$F,'Stock Movement'!$B:$B,A451,'Stock Movement'!$E:$E,"OUT"))</f>
        <v/>
      </c>
      <c r="H451" s="86" t="str">
        <f t="shared" si="1"/>
        <v/>
      </c>
      <c r="I451" s="147"/>
      <c r="J451" s="156"/>
      <c r="K451" s="83" t="str">
        <f t="shared" si="2"/>
        <v/>
      </c>
    </row>
    <row r="452" ht="15.75" customHeight="1">
      <c r="A452" s="150"/>
      <c r="B452" s="153"/>
      <c r="C452" s="150"/>
      <c r="D452" s="150" t="str">
        <f t="array" ref="D452">IF(A452="","",IFERROR(INDEX('Location Master'!$E$2:$E$502, IFERROR(MATCH(A452,'Location Master'!$G$2:$G$502,0), IFERROR(MATCH(A452&amp;" (*",'Location Master'!$G$2:$G$502,0), MATCH(A452&amp;"*",'Location Master'!$G$2:$G$502,0)))), ""))</f>
        <v/>
      </c>
      <c r="E452" s="154"/>
      <c r="F452" s="75" t="str">
        <f>IF(A452="","",SUMIFS('Stock Movement'!$F:$F,'Stock Movement'!$B:$B,A452,'Stock Movement'!$E:$E,"IN"))</f>
        <v/>
      </c>
      <c r="G452" s="75" t="str">
        <f>IF(A452="","",SUMIFS('Stock Movement'!$F:$F,'Stock Movement'!$B:$B,A452,'Stock Movement'!$E:$E,"OUT"))</f>
        <v/>
      </c>
      <c r="H452" s="75" t="str">
        <f t="shared" si="1"/>
        <v/>
      </c>
      <c r="I452" s="150"/>
      <c r="J452" s="154"/>
      <c r="K452" s="91" t="str">
        <f t="shared" si="2"/>
        <v/>
      </c>
    </row>
    <row r="453" ht="15.75" customHeight="1">
      <c r="A453" s="147"/>
      <c r="B453" s="155"/>
      <c r="C453" s="147"/>
      <c r="D453" s="147" t="str">
        <f t="array" ref="D453">IF(A453="","",IFERROR(INDEX('Location Master'!$E$2:$E$502, IFERROR(MATCH(A453,'Location Master'!$G$2:$G$502,0), IFERROR(MATCH(A453&amp;" (*",'Location Master'!$G$2:$G$502,0), MATCH(A453&amp;"*",'Location Master'!$G$2:$G$502,0)))), ""))</f>
        <v/>
      </c>
      <c r="E453" s="156"/>
      <c r="F453" s="86" t="str">
        <f>IF(A453="","",SUMIFS('Stock Movement'!$F:$F,'Stock Movement'!$B:$B,A453,'Stock Movement'!$E:$E,"IN"))</f>
        <v/>
      </c>
      <c r="G453" s="86" t="str">
        <f>IF(A453="","",SUMIFS('Stock Movement'!$F:$F,'Stock Movement'!$B:$B,A453,'Stock Movement'!$E:$E,"OUT"))</f>
        <v/>
      </c>
      <c r="H453" s="86" t="str">
        <f t="shared" si="1"/>
        <v/>
      </c>
      <c r="I453" s="147"/>
      <c r="J453" s="156"/>
      <c r="K453" s="83" t="str">
        <f t="shared" si="2"/>
        <v/>
      </c>
    </row>
    <row r="454" ht="15.75" customHeight="1">
      <c r="A454" s="150"/>
      <c r="B454" s="153"/>
      <c r="C454" s="150"/>
      <c r="D454" s="150" t="str">
        <f t="array" ref="D454">IF(A454="","",IFERROR(INDEX('Location Master'!$E$2:$E$502, IFERROR(MATCH(A454,'Location Master'!$G$2:$G$502,0), IFERROR(MATCH(A454&amp;" (*",'Location Master'!$G$2:$G$502,0), MATCH(A454&amp;"*",'Location Master'!$G$2:$G$502,0)))), ""))</f>
        <v/>
      </c>
      <c r="E454" s="154"/>
      <c r="F454" s="75" t="str">
        <f>IF(A454="","",SUMIFS('Stock Movement'!$F:$F,'Stock Movement'!$B:$B,A454,'Stock Movement'!$E:$E,"IN"))</f>
        <v/>
      </c>
      <c r="G454" s="75" t="str">
        <f>IF(A454="","",SUMIFS('Stock Movement'!$F:$F,'Stock Movement'!$B:$B,A454,'Stock Movement'!$E:$E,"OUT"))</f>
        <v/>
      </c>
      <c r="H454" s="75" t="str">
        <f t="shared" si="1"/>
        <v/>
      </c>
      <c r="I454" s="150"/>
      <c r="J454" s="154"/>
      <c r="K454" s="91" t="str">
        <f t="shared" si="2"/>
        <v/>
      </c>
    </row>
    <row r="455" ht="15.75" customHeight="1">
      <c r="A455" s="147"/>
      <c r="B455" s="155"/>
      <c r="C455" s="147"/>
      <c r="D455" s="147" t="str">
        <f t="array" ref="D455">IF(A455="","",IFERROR(INDEX('Location Master'!$E$2:$E$502, IFERROR(MATCH(A455,'Location Master'!$G$2:$G$502,0), IFERROR(MATCH(A455&amp;" (*",'Location Master'!$G$2:$G$502,0), MATCH(A455&amp;"*",'Location Master'!$G$2:$G$502,0)))), ""))</f>
        <v/>
      </c>
      <c r="E455" s="156"/>
      <c r="F455" s="86" t="str">
        <f>IF(A455="","",SUMIFS('Stock Movement'!$F:$F,'Stock Movement'!$B:$B,A455,'Stock Movement'!$E:$E,"IN"))</f>
        <v/>
      </c>
      <c r="G455" s="86" t="str">
        <f>IF(A455="","",SUMIFS('Stock Movement'!$F:$F,'Stock Movement'!$B:$B,A455,'Stock Movement'!$E:$E,"OUT"))</f>
        <v/>
      </c>
      <c r="H455" s="86" t="str">
        <f t="shared" si="1"/>
        <v/>
      </c>
      <c r="I455" s="147"/>
      <c r="J455" s="156"/>
      <c r="K455" s="83" t="str">
        <f t="shared" si="2"/>
        <v/>
      </c>
    </row>
    <row r="456" ht="15.75" customHeight="1">
      <c r="A456" s="150"/>
      <c r="B456" s="153"/>
      <c r="C456" s="150"/>
      <c r="D456" s="150" t="str">
        <f t="array" ref="D456">IF(A456="","",IFERROR(INDEX('Location Master'!$E$2:$E$502, IFERROR(MATCH(A456,'Location Master'!$G$2:$G$502,0), IFERROR(MATCH(A456&amp;" (*",'Location Master'!$G$2:$G$502,0), MATCH(A456&amp;"*",'Location Master'!$G$2:$G$502,0)))), ""))</f>
        <v/>
      </c>
      <c r="E456" s="154"/>
      <c r="F456" s="75" t="str">
        <f>IF(A456="","",SUMIFS('Stock Movement'!$F:$F,'Stock Movement'!$B:$B,A456,'Stock Movement'!$E:$E,"IN"))</f>
        <v/>
      </c>
      <c r="G456" s="75" t="str">
        <f>IF(A456="","",SUMIFS('Stock Movement'!$F:$F,'Stock Movement'!$B:$B,A456,'Stock Movement'!$E:$E,"OUT"))</f>
        <v/>
      </c>
      <c r="H456" s="75" t="str">
        <f t="shared" si="1"/>
        <v/>
      </c>
      <c r="I456" s="150"/>
      <c r="J456" s="154"/>
      <c r="K456" s="91" t="str">
        <f t="shared" si="2"/>
        <v/>
      </c>
    </row>
    <row r="457" ht="15.75" customHeight="1">
      <c r="A457" s="147"/>
      <c r="B457" s="155"/>
      <c r="C457" s="147"/>
      <c r="D457" s="147" t="str">
        <f t="array" ref="D457">IF(A457="","",IFERROR(INDEX('Location Master'!$E$2:$E$502, IFERROR(MATCH(A457,'Location Master'!$G$2:$G$502,0), IFERROR(MATCH(A457&amp;" (*",'Location Master'!$G$2:$G$502,0), MATCH(A457&amp;"*",'Location Master'!$G$2:$G$502,0)))), ""))</f>
        <v/>
      </c>
      <c r="E457" s="156"/>
      <c r="F457" s="86" t="str">
        <f>IF(A457="","",SUMIFS('Stock Movement'!$F:$F,'Stock Movement'!$B:$B,A457,'Stock Movement'!$E:$E,"IN"))</f>
        <v/>
      </c>
      <c r="G457" s="86" t="str">
        <f>IF(A457="","",SUMIFS('Stock Movement'!$F:$F,'Stock Movement'!$B:$B,A457,'Stock Movement'!$E:$E,"OUT"))</f>
        <v/>
      </c>
      <c r="H457" s="86" t="str">
        <f t="shared" si="1"/>
        <v/>
      </c>
      <c r="I457" s="147"/>
      <c r="J457" s="156"/>
      <c r="K457" s="83" t="str">
        <f t="shared" si="2"/>
        <v/>
      </c>
    </row>
    <row r="458" ht="15.75" customHeight="1">
      <c r="A458" s="150"/>
      <c r="B458" s="153"/>
      <c r="C458" s="150"/>
      <c r="D458" s="150" t="str">
        <f t="array" ref="D458">IF(A458="","",IFERROR(INDEX('Location Master'!$E$2:$E$502, IFERROR(MATCH(A458,'Location Master'!$G$2:$G$502,0), IFERROR(MATCH(A458&amp;" (*",'Location Master'!$G$2:$G$502,0), MATCH(A458&amp;"*",'Location Master'!$G$2:$G$502,0)))), ""))</f>
        <v/>
      </c>
      <c r="E458" s="154"/>
      <c r="F458" s="75" t="str">
        <f>IF(A458="","",SUMIFS('Stock Movement'!$F:$F,'Stock Movement'!$B:$B,A458,'Stock Movement'!$E:$E,"IN"))</f>
        <v/>
      </c>
      <c r="G458" s="75" t="str">
        <f>IF(A458="","",SUMIFS('Stock Movement'!$F:$F,'Stock Movement'!$B:$B,A458,'Stock Movement'!$E:$E,"OUT"))</f>
        <v/>
      </c>
      <c r="H458" s="75" t="str">
        <f t="shared" si="1"/>
        <v/>
      </c>
      <c r="I458" s="150"/>
      <c r="J458" s="154"/>
      <c r="K458" s="91" t="str">
        <f t="shared" si="2"/>
        <v/>
      </c>
    </row>
    <row r="459" ht="15.75" customHeight="1">
      <c r="A459" s="147"/>
      <c r="B459" s="155"/>
      <c r="C459" s="147"/>
      <c r="D459" s="147" t="str">
        <f t="array" ref="D459">IF(A459="","",IFERROR(INDEX('Location Master'!$E$2:$E$502, IFERROR(MATCH(A459,'Location Master'!$G$2:$G$502,0), IFERROR(MATCH(A459&amp;" (*",'Location Master'!$G$2:$G$502,0), MATCH(A459&amp;"*",'Location Master'!$G$2:$G$502,0)))), ""))</f>
        <v/>
      </c>
      <c r="E459" s="156"/>
      <c r="F459" s="86" t="str">
        <f>IF(A459="","",SUMIFS('Stock Movement'!$F:$F,'Stock Movement'!$B:$B,A459,'Stock Movement'!$E:$E,"IN"))</f>
        <v/>
      </c>
      <c r="G459" s="86" t="str">
        <f>IF(A459="","",SUMIFS('Stock Movement'!$F:$F,'Stock Movement'!$B:$B,A459,'Stock Movement'!$E:$E,"OUT"))</f>
        <v/>
      </c>
      <c r="H459" s="86" t="str">
        <f t="shared" si="1"/>
        <v/>
      </c>
      <c r="I459" s="147"/>
      <c r="J459" s="156"/>
      <c r="K459" s="83" t="str">
        <f t="shared" si="2"/>
        <v/>
      </c>
    </row>
    <row r="460" ht="15.75" customHeight="1">
      <c r="A460" s="150"/>
      <c r="B460" s="153"/>
      <c r="C460" s="150"/>
      <c r="D460" s="150" t="str">
        <f t="array" ref="D460">IF(A460="","",IFERROR(INDEX('Location Master'!$E$2:$E$502, IFERROR(MATCH(A460,'Location Master'!$G$2:$G$502,0), IFERROR(MATCH(A460&amp;" (*",'Location Master'!$G$2:$G$502,0), MATCH(A460&amp;"*",'Location Master'!$G$2:$G$502,0)))), ""))</f>
        <v/>
      </c>
      <c r="E460" s="154"/>
      <c r="F460" s="75" t="str">
        <f>IF(A460="","",SUMIFS('Stock Movement'!$F:$F,'Stock Movement'!$B:$B,A460,'Stock Movement'!$E:$E,"IN"))</f>
        <v/>
      </c>
      <c r="G460" s="75" t="str">
        <f>IF(A460="","",SUMIFS('Stock Movement'!$F:$F,'Stock Movement'!$B:$B,A460,'Stock Movement'!$E:$E,"OUT"))</f>
        <v/>
      </c>
      <c r="H460" s="75" t="str">
        <f t="shared" si="1"/>
        <v/>
      </c>
      <c r="I460" s="150"/>
      <c r="J460" s="154"/>
      <c r="K460" s="91" t="str">
        <f t="shared" si="2"/>
        <v/>
      </c>
    </row>
    <row r="461" ht="15.75" customHeight="1">
      <c r="A461" s="147"/>
      <c r="B461" s="155"/>
      <c r="C461" s="147"/>
      <c r="D461" s="147" t="str">
        <f t="array" ref="D461">IF(A461="","",IFERROR(INDEX('Location Master'!$E$2:$E$502, IFERROR(MATCH(A461,'Location Master'!$G$2:$G$502,0), IFERROR(MATCH(A461&amp;" (*",'Location Master'!$G$2:$G$502,0), MATCH(A461&amp;"*",'Location Master'!$G$2:$G$502,0)))), ""))</f>
        <v/>
      </c>
      <c r="E461" s="156"/>
      <c r="F461" s="86" t="str">
        <f>IF(A461="","",SUMIFS('Stock Movement'!$F:$F,'Stock Movement'!$B:$B,A461,'Stock Movement'!$E:$E,"IN"))</f>
        <v/>
      </c>
      <c r="G461" s="86" t="str">
        <f>IF(A461="","",SUMIFS('Stock Movement'!$F:$F,'Stock Movement'!$B:$B,A461,'Stock Movement'!$E:$E,"OUT"))</f>
        <v/>
      </c>
      <c r="H461" s="86" t="str">
        <f t="shared" si="1"/>
        <v/>
      </c>
      <c r="I461" s="147"/>
      <c r="J461" s="156"/>
      <c r="K461" s="83" t="str">
        <f t="shared" si="2"/>
        <v/>
      </c>
    </row>
    <row r="462" ht="15.75" customHeight="1">
      <c r="A462" s="150"/>
      <c r="B462" s="153"/>
      <c r="C462" s="150"/>
      <c r="D462" s="150" t="str">
        <f t="array" ref="D462">IF(A462="","",IFERROR(INDEX('Location Master'!$E$2:$E$502, IFERROR(MATCH(A462,'Location Master'!$G$2:$G$502,0), IFERROR(MATCH(A462&amp;" (*",'Location Master'!$G$2:$G$502,0), MATCH(A462&amp;"*",'Location Master'!$G$2:$G$502,0)))), ""))</f>
        <v/>
      </c>
      <c r="E462" s="154"/>
      <c r="F462" s="75" t="str">
        <f>IF(A462="","",SUMIFS('Stock Movement'!$F:$F,'Stock Movement'!$B:$B,A462,'Stock Movement'!$E:$E,"IN"))</f>
        <v/>
      </c>
      <c r="G462" s="75" t="str">
        <f>IF(A462="","",SUMIFS('Stock Movement'!$F:$F,'Stock Movement'!$B:$B,A462,'Stock Movement'!$E:$E,"OUT"))</f>
        <v/>
      </c>
      <c r="H462" s="75" t="str">
        <f t="shared" si="1"/>
        <v/>
      </c>
      <c r="I462" s="150"/>
      <c r="J462" s="154"/>
      <c r="K462" s="91" t="str">
        <f t="shared" si="2"/>
        <v/>
      </c>
    </row>
    <row r="463" ht="15.75" customHeight="1">
      <c r="A463" s="147"/>
      <c r="B463" s="155"/>
      <c r="C463" s="147"/>
      <c r="D463" s="147" t="str">
        <f t="array" ref="D463">IF(A463="","",IFERROR(INDEX('Location Master'!$E$2:$E$502, IFERROR(MATCH(A463,'Location Master'!$G$2:$G$502,0), IFERROR(MATCH(A463&amp;" (*",'Location Master'!$G$2:$G$502,0), MATCH(A463&amp;"*",'Location Master'!$G$2:$G$502,0)))), ""))</f>
        <v/>
      </c>
      <c r="E463" s="156"/>
      <c r="F463" s="86" t="str">
        <f>IF(A463="","",SUMIFS('Stock Movement'!$F:$F,'Stock Movement'!$B:$B,A463,'Stock Movement'!$E:$E,"IN"))</f>
        <v/>
      </c>
      <c r="G463" s="86" t="str">
        <f>IF(A463="","",SUMIFS('Stock Movement'!$F:$F,'Stock Movement'!$B:$B,A463,'Stock Movement'!$E:$E,"OUT"))</f>
        <v/>
      </c>
      <c r="H463" s="86" t="str">
        <f t="shared" si="1"/>
        <v/>
      </c>
      <c r="I463" s="147"/>
      <c r="J463" s="156"/>
      <c r="K463" s="83" t="str">
        <f t="shared" si="2"/>
        <v/>
      </c>
    </row>
    <row r="464" ht="15.75" customHeight="1">
      <c r="A464" s="150"/>
      <c r="B464" s="153"/>
      <c r="C464" s="150"/>
      <c r="D464" s="150" t="str">
        <f t="array" ref="D464">IF(A464="","",IFERROR(INDEX('Location Master'!$E$2:$E$502, IFERROR(MATCH(A464,'Location Master'!$G$2:$G$502,0), IFERROR(MATCH(A464&amp;" (*",'Location Master'!$G$2:$G$502,0), MATCH(A464&amp;"*",'Location Master'!$G$2:$G$502,0)))), ""))</f>
        <v/>
      </c>
      <c r="E464" s="154"/>
      <c r="F464" s="75" t="str">
        <f>IF(A464="","",SUMIFS('Stock Movement'!$F:$F,'Stock Movement'!$B:$B,A464,'Stock Movement'!$E:$E,"IN"))</f>
        <v/>
      </c>
      <c r="G464" s="75" t="str">
        <f>IF(A464="","",SUMIFS('Stock Movement'!$F:$F,'Stock Movement'!$B:$B,A464,'Stock Movement'!$E:$E,"OUT"))</f>
        <v/>
      </c>
      <c r="H464" s="75" t="str">
        <f t="shared" si="1"/>
        <v/>
      </c>
      <c r="I464" s="150"/>
      <c r="J464" s="154"/>
      <c r="K464" s="91" t="str">
        <f t="shared" si="2"/>
        <v/>
      </c>
    </row>
    <row r="465" ht="15.75" customHeight="1">
      <c r="A465" s="147"/>
      <c r="B465" s="155"/>
      <c r="C465" s="147"/>
      <c r="D465" s="147" t="str">
        <f t="array" ref="D465">IF(A465="","",IFERROR(INDEX('Location Master'!$E$2:$E$502, IFERROR(MATCH(A465,'Location Master'!$G$2:$G$502,0), IFERROR(MATCH(A465&amp;" (*",'Location Master'!$G$2:$G$502,0), MATCH(A465&amp;"*",'Location Master'!$G$2:$G$502,0)))), ""))</f>
        <v/>
      </c>
      <c r="E465" s="156"/>
      <c r="F465" s="86" t="str">
        <f>IF(A465="","",SUMIFS('Stock Movement'!$F:$F,'Stock Movement'!$B:$B,A465,'Stock Movement'!$E:$E,"IN"))</f>
        <v/>
      </c>
      <c r="G465" s="86" t="str">
        <f>IF(A465="","",SUMIFS('Stock Movement'!$F:$F,'Stock Movement'!$B:$B,A465,'Stock Movement'!$E:$E,"OUT"))</f>
        <v/>
      </c>
      <c r="H465" s="86" t="str">
        <f t="shared" si="1"/>
        <v/>
      </c>
      <c r="I465" s="147"/>
      <c r="J465" s="156"/>
      <c r="K465" s="83" t="str">
        <f t="shared" si="2"/>
        <v/>
      </c>
    </row>
    <row r="466" ht="15.75" customHeight="1">
      <c r="A466" s="150"/>
      <c r="B466" s="153"/>
      <c r="C466" s="150"/>
      <c r="D466" s="150" t="str">
        <f t="array" ref="D466">IF(A466="","",IFERROR(INDEX('Location Master'!$E$2:$E$502, IFERROR(MATCH(A466,'Location Master'!$G$2:$G$502,0), IFERROR(MATCH(A466&amp;" (*",'Location Master'!$G$2:$G$502,0), MATCH(A466&amp;"*",'Location Master'!$G$2:$G$502,0)))), ""))</f>
        <v/>
      </c>
      <c r="E466" s="154"/>
      <c r="F466" s="75" t="str">
        <f>IF(A466="","",SUMIFS('Stock Movement'!$F:$F,'Stock Movement'!$B:$B,A466,'Stock Movement'!$E:$E,"IN"))</f>
        <v/>
      </c>
      <c r="G466" s="75" t="str">
        <f>IF(A466="","",SUMIFS('Stock Movement'!$F:$F,'Stock Movement'!$B:$B,A466,'Stock Movement'!$E:$E,"OUT"))</f>
        <v/>
      </c>
      <c r="H466" s="75" t="str">
        <f t="shared" si="1"/>
        <v/>
      </c>
      <c r="I466" s="150"/>
      <c r="J466" s="154"/>
      <c r="K466" s="91" t="str">
        <f t="shared" si="2"/>
        <v/>
      </c>
    </row>
    <row r="467" ht="15.75" customHeight="1">
      <c r="A467" s="147"/>
      <c r="B467" s="155"/>
      <c r="C467" s="147"/>
      <c r="D467" s="147" t="str">
        <f t="array" ref="D467">IF(A467="","",IFERROR(INDEX('Location Master'!$E$2:$E$502, IFERROR(MATCH(A467,'Location Master'!$G$2:$G$502,0), IFERROR(MATCH(A467&amp;" (*",'Location Master'!$G$2:$G$502,0), MATCH(A467&amp;"*",'Location Master'!$G$2:$G$502,0)))), ""))</f>
        <v/>
      </c>
      <c r="E467" s="156"/>
      <c r="F467" s="86" t="str">
        <f>IF(A467="","",SUMIFS('Stock Movement'!$F:$F,'Stock Movement'!$B:$B,A467,'Stock Movement'!$E:$E,"IN"))</f>
        <v/>
      </c>
      <c r="G467" s="86" t="str">
        <f>IF(A467="","",SUMIFS('Stock Movement'!$F:$F,'Stock Movement'!$B:$B,A467,'Stock Movement'!$E:$E,"OUT"))</f>
        <v/>
      </c>
      <c r="H467" s="86" t="str">
        <f t="shared" si="1"/>
        <v/>
      </c>
      <c r="I467" s="147"/>
      <c r="J467" s="156"/>
      <c r="K467" s="83" t="str">
        <f t="shared" si="2"/>
        <v/>
      </c>
    </row>
    <row r="468" ht="15.75" customHeight="1">
      <c r="A468" s="150"/>
      <c r="B468" s="153"/>
      <c r="C468" s="150"/>
      <c r="D468" s="150" t="str">
        <f t="array" ref="D468">IF(A468="","",IFERROR(INDEX('Location Master'!$E$2:$E$502, IFERROR(MATCH(A468,'Location Master'!$G$2:$G$502,0), IFERROR(MATCH(A468&amp;" (*",'Location Master'!$G$2:$G$502,0), MATCH(A468&amp;"*",'Location Master'!$G$2:$G$502,0)))), ""))</f>
        <v/>
      </c>
      <c r="E468" s="154"/>
      <c r="F468" s="75" t="str">
        <f>IF(A468="","",SUMIFS('Stock Movement'!$F:$F,'Stock Movement'!$B:$B,A468,'Stock Movement'!$E:$E,"IN"))</f>
        <v/>
      </c>
      <c r="G468" s="75" t="str">
        <f>IF(A468="","",SUMIFS('Stock Movement'!$F:$F,'Stock Movement'!$B:$B,A468,'Stock Movement'!$E:$E,"OUT"))</f>
        <v/>
      </c>
      <c r="H468" s="75" t="str">
        <f t="shared" si="1"/>
        <v/>
      </c>
      <c r="I468" s="150"/>
      <c r="J468" s="154"/>
      <c r="K468" s="91" t="str">
        <f t="shared" si="2"/>
        <v/>
      </c>
    </row>
    <row r="469" ht="15.75" customHeight="1">
      <c r="A469" s="147"/>
      <c r="B469" s="155"/>
      <c r="C469" s="147"/>
      <c r="D469" s="147" t="str">
        <f t="array" ref="D469">IF(A469="","",IFERROR(INDEX('Location Master'!$E$2:$E$502, IFERROR(MATCH(A469,'Location Master'!$G$2:$G$502,0), IFERROR(MATCH(A469&amp;" (*",'Location Master'!$G$2:$G$502,0), MATCH(A469&amp;"*",'Location Master'!$G$2:$G$502,0)))), ""))</f>
        <v/>
      </c>
      <c r="E469" s="156"/>
      <c r="F469" s="86" t="str">
        <f>IF(A469="","",SUMIFS('Stock Movement'!$F:$F,'Stock Movement'!$B:$B,A469,'Stock Movement'!$E:$E,"IN"))</f>
        <v/>
      </c>
      <c r="G469" s="86" t="str">
        <f>IF(A469="","",SUMIFS('Stock Movement'!$F:$F,'Stock Movement'!$B:$B,A469,'Stock Movement'!$E:$E,"OUT"))</f>
        <v/>
      </c>
      <c r="H469" s="86" t="str">
        <f t="shared" si="1"/>
        <v/>
      </c>
      <c r="I469" s="147"/>
      <c r="J469" s="156"/>
      <c r="K469" s="83" t="str">
        <f t="shared" si="2"/>
        <v/>
      </c>
    </row>
    <row r="470" ht="15.75" customHeight="1">
      <c r="A470" s="150"/>
      <c r="B470" s="153"/>
      <c r="C470" s="150"/>
      <c r="D470" s="150" t="str">
        <f t="array" ref="D470">IF(A470="","",IFERROR(INDEX('Location Master'!$E$2:$E$502, IFERROR(MATCH(A470,'Location Master'!$G$2:$G$502,0), IFERROR(MATCH(A470&amp;" (*",'Location Master'!$G$2:$G$502,0), MATCH(A470&amp;"*",'Location Master'!$G$2:$G$502,0)))), ""))</f>
        <v/>
      </c>
      <c r="E470" s="154"/>
      <c r="F470" s="75" t="str">
        <f>IF(A470="","",SUMIFS('Stock Movement'!$F:$F,'Stock Movement'!$B:$B,A470,'Stock Movement'!$E:$E,"IN"))</f>
        <v/>
      </c>
      <c r="G470" s="75" t="str">
        <f>IF(A470="","",SUMIFS('Stock Movement'!$F:$F,'Stock Movement'!$B:$B,A470,'Stock Movement'!$E:$E,"OUT"))</f>
        <v/>
      </c>
      <c r="H470" s="75" t="str">
        <f t="shared" si="1"/>
        <v/>
      </c>
      <c r="I470" s="150"/>
      <c r="J470" s="154"/>
      <c r="K470" s="91" t="str">
        <f t="shared" si="2"/>
        <v/>
      </c>
    </row>
    <row r="471" ht="15.75" customHeight="1">
      <c r="A471" s="147"/>
      <c r="B471" s="155"/>
      <c r="C471" s="147"/>
      <c r="D471" s="147" t="str">
        <f t="array" ref="D471">IF(A471="","",IFERROR(INDEX('Location Master'!$E$2:$E$502, IFERROR(MATCH(A471,'Location Master'!$G$2:$G$502,0), IFERROR(MATCH(A471&amp;" (*",'Location Master'!$G$2:$G$502,0), MATCH(A471&amp;"*",'Location Master'!$G$2:$G$502,0)))), ""))</f>
        <v/>
      </c>
      <c r="E471" s="156"/>
      <c r="F471" s="86" t="str">
        <f>IF(A471="","",SUMIFS('Stock Movement'!$F:$F,'Stock Movement'!$B:$B,A471,'Stock Movement'!$E:$E,"IN"))</f>
        <v/>
      </c>
      <c r="G471" s="86" t="str">
        <f>IF(A471="","",SUMIFS('Stock Movement'!$F:$F,'Stock Movement'!$B:$B,A471,'Stock Movement'!$E:$E,"OUT"))</f>
        <v/>
      </c>
      <c r="H471" s="86" t="str">
        <f t="shared" si="1"/>
        <v/>
      </c>
      <c r="I471" s="147"/>
      <c r="J471" s="156"/>
      <c r="K471" s="83" t="str">
        <f t="shared" si="2"/>
        <v/>
      </c>
    </row>
    <row r="472" ht="15.75" customHeight="1">
      <c r="A472" s="150"/>
      <c r="B472" s="153"/>
      <c r="C472" s="150"/>
      <c r="D472" s="150" t="str">
        <f t="array" ref="D472">IF(A472="","",IFERROR(INDEX('Location Master'!$E$2:$E$502, IFERROR(MATCH(A472,'Location Master'!$G$2:$G$502,0), IFERROR(MATCH(A472&amp;" (*",'Location Master'!$G$2:$G$502,0), MATCH(A472&amp;"*",'Location Master'!$G$2:$G$502,0)))), ""))</f>
        <v/>
      </c>
      <c r="E472" s="154"/>
      <c r="F472" s="75" t="str">
        <f>IF(A472="","",SUMIFS('Stock Movement'!$F:$F,'Stock Movement'!$B:$B,A472,'Stock Movement'!$E:$E,"IN"))</f>
        <v/>
      </c>
      <c r="G472" s="75" t="str">
        <f>IF(A472="","",SUMIFS('Stock Movement'!$F:$F,'Stock Movement'!$B:$B,A472,'Stock Movement'!$E:$E,"OUT"))</f>
        <v/>
      </c>
      <c r="H472" s="75" t="str">
        <f t="shared" si="1"/>
        <v/>
      </c>
      <c r="I472" s="150"/>
      <c r="J472" s="154"/>
      <c r="K472" s="91" t="str">
        <f t="shared" si="2"/>
        <v/>
      </c>
    </row>
    <row r="473" ht="15.75" customHeight="1">
      <c r="A473" s="147"/>
      <c r="B473" s="155"/>
      <c r="C473" s="147"/>
      <c r="D473" s="147" t="str">
        <f t="array" ref="D473">IF(A473="","",IFERROR(INDEX('Location Master'!$E$2:$E$502, IFERROR(MATCH(A473,'Location Master'!$G$2:$G$502,0), IFERROR(MATCH(A473&amp;" (*",'Location Master'!$G$2:$G$502,0), MATCH(A473&amp;"*",'Location Master'!$G$2:$G$502,0)))), ""))</f>
        <v/>
      </c>
      <c r="E473" s="156"/>
      <c r="F473" s="86" t="str">
        <f>IF(A473="","",SUMIFS('Stock Movement'!$F:$F,'Stock Movement'!$B:$B,A473,'Stock Movement'!$E:$E,"IN"))</f>
        <v/>
      </c>
      <c r="G473" s="86" t="str">
        <f>IF(A473="","",SUMIFS('Stock Movement'!$F:$F,'Stock Movement'!$B:$B,A473,'Stock Movement'!$E:$E,"OUT"))</f>
        <v/>
      </c>
      <c r="H473" s="86" t="str">
        <f t="shared" si="1"/>
        <v/>
      </c>
      <c r="I473" s="147"/>
      <c r="J473" s="156"/>
      <c r="K473" s="83" t="str">
        <f t="shared" si="2"/>
        <v/>
      </c>
    </row>
    <row r="474" ht="15.75" customHeight="1">
      <c r="A474" s="150"/>
      <c r="B474" s="153"/>
      <c r="C474" s="150"/>
      <c r="D474" s="150" t="str">
        <f t="array" ref="D474">IF(A474="","",IFERROR(INDEX('Location Master'!$E$2:$E$502, IFERROR(MATCH(A474,'Location Master'!$G$2:$G$502,0), IFERROR(MATCH(A474&amp;" (*",'Location Master'!$G$2:$G$502,0), MATCH(A474&amp;"*",'Location Master'!$G$2:$G$502,0)))), ""))</f>
        <v/>
      </c>
      <c r="E474" s="154"/>
      <c r="F474" s="75" t="str">
        <f>IF(A474="","",SUMIFS('Stock Movement'!$F:$F,'Stock Movement'!$B:$B,A474,'Stock Movement'!$E:$E,"IN"))</f>
        <v/>
      </c>
      <c r="G474" s="75" t="str">
        <f>IF(A474="","",SUMIFS('Stock Movement'!$F:$F,'Stock Movement'!$B:$B,A474,'Stock Movement'!$E:$E,"OUT"))</f>
        <v/>
      </c>
      <c r="H474" s="75" t="str">
        <f t="shared" si="1"/>
        <v/>
      </c>
      <c r="I474" s="150"/>
      <c r="J474" s="154"/>
      <c r="K474" s="91" t="str">
        <f t="shared" si="2"/>
        <v/>
      </c>
    </row>
    <row r="475" ht="15.75" customHeight="1">
      <c r="A475" s="147"/>
      <c r="B475" s="155"/>
      <c r="C475" s="147"/>
      <c r="D475" s="147" t="str">
        <f t="array" ref="D475">IF(A475="","",IFERROR(INDEX('Location Master'!$E$2:$E$502, IFERROR(MATCH(A475,'Location Master'!$G$2:$G$502,0), IFERROR(MATCH(A475&amp;" (*",'Location Master'!$G$2:$G$502,0), MATCH(A475&amp;"*",'Location Master'!$G$2:$G$502,0)))), ""))</f>
        <v/>
      </c>
      <c r="E475" s="156"/>
      <c r="F475" s="86" t="str">
        <f>IF(A475="","",SUMIFS('Stock Movement'!$F:$F,'Stock Movement'!$B:$B,A475,'Stock Movement'!$E:$E,"IN"))</f>
        <v/>
      </c>
      <c r="G475" s="86" t="str">
        <f>IF(A475="","",SUMIFS('Stock Movement'!$F:$F,'Stock Movement'!$B:$B,A475,'Stock Movement'!$E:$E,"OUT"))</f>
        <v/>
      </c>
      <c r="H475" s="86" t="str">
        <f t="shared" si="1"/>
        <v/>
      </c>
      <c r="I475" s="147"/>
      <c r="J475" s="156"/>
      <c r="K475" s="83" t="str">
        <f t="shared" si="2"/>
        <v/>
      </c>
    </row>
    <row r="476" ht="15.75" customHeight="1">
      <c r="A476" s="150"/>
      <c r="B476" s="153"/>
      <c r="C476" s="150"/>
      <c r="D476" s="150" t="str">
        <f t="array" ref="D476">IF(A476="","",IFERROR(INDEX('Location Master'!$E$2:$E$502, IFERROR(MATCH(A476,'Location Master'!$G$2:$G$502,0), IFERROR(MATCH(A476&amp;" (*",'Location Master'!$G$2:$G$502,0), MATCH(A476&amp;"*",'Location Master'!$G$2:$G$502,0)))), ""))</f>
        <v/>
      </c>
      <c r="E476" s="154"/>
      <c r="F476" s="75" t="str">
        <f>IF(A476="","",SUMIFS('Stock Movement'!$F:$F,'Stock Movement'!$B:$B,A476,'Stock Movement'!$E:$E,"IN"))</f>
        <v/>
      </c>
      <c r="G476" s="75" t="str">
        <f>IF(A476="","",SUMIFS('Stock Movement'!$F:$F,'Stock Movement'!$B:$B,A476,'Stock Movement'!$E:$E,"OUT"))</f>
        <v/>
      </c>
      <c r="H476" s="75" t="str">
        <f t="shared" si="1"/>
        <v/>
      </c>
      <c r="I476" s="150"/>
      <c r="J476" s="154"/>
      <c r="K476" s="91" t="str">
        <f t="shared" si="2"/>
        <v/>
      </c>
    </row>
    <row r="477" ht="15.75" customHeight="1">
      <c r="A477" s="147"/>
      <c r="B477" s="155"/>
      <c r="C477" s="147"/>
      <c r="D477" s="147" t="str">
        <f t="array" ref="D477">IF(A477="","",IFERROR(INDEX('Location Master'!$E$2:$E$502, IFERROR(MATCH(A477,'Location Master'!$G$2:$G$502,0), IFERROR(MATCH(A477&amp;" (*",'Location Master'!$G$2:$G$502,0), MATCH(A477&amp;"*",'Location Master'!$G$2:$G$502,0)))), ""))</f>
        <v/>
      </c>
      <c r="E477" s="156"/>
      <c r="F477" s="86" t="str">
        <f>IF(A477="","",SUMIFS('Stock Movement'!$F:$F,'Stock Movement'!$B:$B,A477,'Stock Movement'!$E:$E,"IN"))</f>
        <v/>
      </c>
      <c r="G477" s="86" t="str">
        <f>IF(A477="","",SUMIFS('Stock Movement'!$F:$F,'Stock Movement'!$B:$B,A477,'Stock Movement'!$E:$E,"OUT"))</f>
        <v/>
      </c>
      <c r="H477" s="86" t="str">
        <f t="shared" si="1"/>
        <v/>
      </c>
      <c r="I477" s="147"/>
      <c r="J477" s="156"/>
      <c r="K477" s="83" t="str">
        <f t="shared" si="2"/>
        <v/>
      </c>
    </row>
    <row r="478" ht="15.75" customHeight="1">
      <c r="A478" s="150"/>
      <c r="B478" s="153"/>
      <c r="C478" s="150"/>
      <c r="D478" s="150" t="str">
        <f t="array" ref="D478">IF(A478="","",IFERROR(INDEX('Location Master'!$E$2:$E$502, IFERROR(MATCH(A478,'Location Master'!$G$2:$G$502,0), IFERROR(MATCH(A478&amp;" (*",'Location Master'!$G$2:$G$502,0), MATCH(A478&amp;"*",'Location Master'!$G$2:$G$502,0)))), ""))</f>
        <v/>
      </c>
      <c r="E478" s="154"/>
      <c r="F478" s="75" t="str">
        <f>IF(A478="","",SUMIFS('Stock Movement'!$F:$F,'Stock Movement'!$B:$B,A478,'Stock Movement'!$E:$E,"IN"))</f>
        <v/>
      </c>
      <c r="G478" s="75" t="str">
        <f>IF(A478="","",SUMIFS('Stock Movement'!$F:$F,'Stock Movement'!$B:$B,A478,'Stock Movement'!$E:$E,"OUT"))</f>
        <v/>
      </c>
      <c r="H478" s="75" t="str">
        <f t="shared" si="1"/>
        <v/>
      </c>
      <c r="I478" s="150"/>
      <c r="J478" s="154"/>
      <c r="K478" s="91" t="str">
        <f t="shared" si="2"/>
        <v/>
      </c>
    </row>
    <row r="479" ht="15.75" customHeight="1">
      <c r="A479" s="147"/>
      <c r="B479" s="155"/>
      <c r="C479" s="147"/>
      <c r="D479" s="147" t="str">
        <f t="array" ref="D479">IF(A479="","",IFERROR(INDEX('Location Master'!$E$2:$E$502, IFERROR(MATCH(A479,'Location Master'!$G$2:$G$502,0), IFERROR(MATCH(A479&amp;" (*",'Location Master'!$G$2:$G$502,0), MATCH(A479&amp;"*",'Location Master'!$G$2:$G$502,0)))), ""))</f>
        <v/>
      </c>
      <c r="E479" s="156"/>
      <c r="F479" s="86" t="str">
        <f>IF(A479="","",SUMIFS('Stock Movement'!$F:$F,'Stock Movement'!$B:$B,A479,'Stock Movement'!$E:$E,"IN"))</f>
        <v/>
      </c>
      <c r="G479" s="86" t="str">
        <f>IF(A479="","",SUMIFS('Stock Movement'!$F:$F,'Stock Movement'!$B:$B,A479,'Stock Movement'!$E:$E,"OUT"))</f>
        <v/>
      </c>
      <c r="H479" s="86" t="str">
        <f t="shared" si="1"/>
        <v/>
      </c>
      <c r="I479" s="147"/>
      <c r="J479" s="156"/>
      <c r="K479" s="83" t="str">
        <f t="shared" si="2"/>
        <v/>
      </c>
    </row>
    <row r="480" ht="15.75" customHeight="1">
      <c r="A480" s="150"/>
      <c r="B480" s="153"/>
      <c r="C480" s="150"/>
      <c r="D480" s="150" t="str">
        <f t="array" ref="D480">IF(A480="","",IFERROR(INDEX('Location Master'!$E$2:$E$502, IFERROR(MATCH(A480,'Location Master'!$G$2:$G$502,0), IFERROR(MATCH(A480&amp;" (*",'Location Master'!$G$2:$G$502,0), MATCH(A480&amp;"*",'Location Master'!$G$2:$G$502,0)))), ""))</f>
        <v/>
      </c>
      <c r="E480" s="154"/>
      <c r="F480" s="75" t="str">
        <f>IF(A480="","",SUMIFS('Stock Movement'!$F:$F,'Stock Movement'!$B:$B,A480,'Stock Movement'!$E:$E,"IN"))</f>
        <v/>
      </c>
      <c r="G480" s="75" t="str">
        <f>IF(A480="","",SUMIFS('Stock Movement'!$F:$F,'Stock Movement'!$B:$B,A480,'Stock Movement'!$E:$E,"OUT"))</f>
        <v/>
      </c>
      <c r="H480" s="75" t="str">
        <f t="shared" si="1"/>
        <v/>
      </c>
      <c r="I480" s="150"/>
      <c r="J480" s="154"/>
      <c r="K480" s="91" t="str">
        <f t="shared" si="2"/>
        <v/>
      </c>
    </row>
    <row r="481" ht="15.75" customHeight="1">
      <c r="A481" s="147"/>
      <c r="B481" s="155"/>
      <c r="C481" s="147"/>
      <c r="D481" s="147" t="str">
        <f t="array" ref="D481">IF(A481="","",IFERROR(INDEX('Location Master'!$E$2:$E$502, IFERROR(MATCH(A481,'Location Master'!$G$2:$G$502,0), IFERROR(MATCH(A481&amp;" (*",'Location Master'!$G$2:$G$502,0), MATCH(A481&amp;"*",'Location Master'!$G$2:$G$502,0)))), ""))</f>
        <v/>
      </c>
      <c r="E481" s="156"/>
      <c r="F481" s="86" t="str">
        <f>IF(A481="","",SUMIFS('Stock Movement'!$F:$F,'Stock Movement'!$B:$B,A481,'Stock Movement'!$E:$E,"IN"))</f>
        <v/>
      </c>
      <c r="G481" s="86" t="str">
        <f>IF(A481="","",SUMIFS('Stock Movement'!$F:$F,'Stock Movement'!$B:$B,A481,'Stock Movement'!$E:$E,"OUT"))</f>
        <v/>
      </c>
      <c r="H481" s="86" t="str">
        <f t="shared" si="1"/>
        <v/>
      </c>
      <c r="I481" s="147"/>
      <c r="J481" s="156"/>
      <c r="K481" s="83" t="str">
        <f t="shared" si="2"/>
        <v/>
      </c>
    </row>
    <row r="482" ht="15.75" customHeight="1">
      <c r="A482" s="150"/>
      <c r="B482" s="153"/>
      <c r="C482" s="150"/>
      <c r="D482" s="150" t="str">
        <f t="array" ref="D482">IF(A482="","",IFERROR(INDEX('Location Master'!$E$2:$E$502, IFERROR(MATCH(A482,'Location Master'!$G$2:$G$502,0), IFERROR(MATCH(A482&amp;" (*",'Location Master'!$G$2:$G$502,0), MATCH(A482&amp;"*",'Location Master'!$G$2:$G$502,0)))), ""))</f>
        <v/>
      </c>
      <c r="E482" s="154"/>
      <c r="F482" s="75" t="str">
        <f>IF(A482="","",SUMIFS('Stock Movement'!$F:$F,'Stock Movement'!$B:$B,A482,'Stock Movement'!$E:$E,"IN"))</f>
        <v/>
      </c>
      <c r="G482" s="75" t="str">
        <f>IF(A482="","",SUMIFS('Stock Movement'!$F:$F,'Stock Movement'!$B:$B,A482,'Stock Movement'!$E:$E,"OUT"))</f>
        <v/>
      </c>
      <c r="H482" s="75" t="str">
        <f t="shared" si="1"/>
        <v/>
      </c>
      <c r="I482" s="150"/>
      <c r="J482" s="154"/>
      <c r="K482" s="91" t="str">
        <f t="shared" si="2"/>
        <v/>
      </c>
    </row>
    <row r="483" ht="15.75" customHeight="1">
      <c r="A483" s="147"/>
      <c r="B483" s="155"/>
      <c r="C483" s="147"/>
      <c r="D483" s="147" t="str">
        <f t="array" ref="D483">IF(A483="","",IFERROR(INDEX('Location Master'!$E$2:$E$502, IFERROR(MATCH(A483,'Location Master'!$G$2:$G$502,0), IFERROR(MATCH(A483&amp;" (*",'Location Master'!$G$2:$G$502,0), MATCH(A483&amp;"*",'Location Master'!$G$2:$G$502,0)))), ""))</f>
        <v/>
      </c>
      <c r="E483" s="156"/>
      <c r="F483" s="86" t="str">
        <f>IF(A483="","",SUMIFS('Stock Movement'!$F:$F,'Stock Movement'!$B:$B,A483,'Stock Movement'!$E:$E,"IN"))</f>
        <v/>
      </c>
      <c r="G483" s="86" t="str">
        <f>IF(A483="","",SUMIFS('Stock Movement'!$F:$F,'Stock Movement'!$B:$B,A483,'Stock Movement'!$E:$E,"OUT"))</f>
        <v/>
      </c>
      <c r="H483" s="86" t="str">
        <f t="shared" si="1"/>
        <v/>
      </c>
      <c r="I483" s="147"/>
      <c r="J483" s="156"/>
      <c r="K483" s="83" t="str">
        <f t="shared" si="2"/>
        <v/>
      </c>
    </row>
    <row r="484" ht="15.75" customHeight="1">
      <c r="A484" s="150"/>
      <c r="B484" s="153"/>
      <c r="C484" s="150"/>
      <c r="D484" s="150" t="str">
        <f t="array" ref="D484">IF(A484="","",IFERROR(INDEX('Location Master'!$E$2:$E$502, IFERROR(MATCH(A484,'Location Master'!$G$2:$G$502,0), IFERROR(MATCH(A484&amp;" (*",'Location Master'!$G$2:$G$502,0), MATCH(A484&amp;"*",'Location Master'!$G$2:$G$502,0)))), ""))</f>
        <v/>
      </c>
      <c r="E484" s="154"/>
      <c r="F484" s="75" t="str">
        <f>IF(A484="","",SUMIFS('Stock Movement'!$F:$F,'Stock Movement'!$B:$B,A484,'Stock Movement'!$E:$E,"IN"))</f>
        <v/>
      </c>
      <c r="G484" s="75" t="str">
        <f>IF(A484="","",SUMIFS('Stock Movement'!$F:$F,'Stock Movement'!$B:$B,A484,'Stock Movement'!$E:$E,"OUT"))</f>
        <v/>
      </c>
      <c r="H484" s="75" t="str">
        <f t="shared" si="1"/>
        <v/>
      </c>
      <c r="I484" s="150"/>
      <c r="J484" s="154"/>
      <c r="K484" s="91" t="str">
        <f t="shared" si="2"/>
        <v/>
      </c>
    </row>
    <row r="485" ht="15.75" customHeight="1">
      <c r="A485" s="147"/>
      <c r="B485" s="155"/>
      <c r="C485" s="147"/>
      <c r="D485" s="147" t="str">
        <f t="array" ref="D485">IF(A485="","",IFERROR(INDEX('Location Master'!$E$2:$E$502, IFERROR(MATCH(A485,'Location Master'!$G$2:$G$502,0), IFERROR(MATCH(A485&amp;" (*",'Location Master'!$G$2:$G$502,0), MATCH(A485&amp;"*",'Location Master'!$G$2:$G$502,0)))), ""))</f>
        <v/>
      </c>
      <c r="E485" s="156"/>
      <c r="F485" s="86" t="str">
        <f>IF(A485="","",SUMIFS('Stock Movement'!$F:$F,'Stock Movement'!$B:$B,A485,'Stock Movement'!$E:$E,"IN"))</f>
        <v/>
      </c>
      <c r="G485" s="86" t="str">
        <f>IF(A485="","",SUMIFS('Stock Movement'!$F:$F,'Stock Movement'!$B:$B,A485,'Stock Movement'!$E:$E,"OUT"))</f>
        <v/>
      </c>
      <c r="H485" s="86" t="str">
        <f t="shared" si="1"/>
        <v/>
      </c>
      <c r="I485" s="147"/>
      <c r="J485" s="156"/>
      <c r="K485" s="83" t="str">
        <f t="shared" si="2"/>
        <v/>
      </c>
    </row>
    <row r="486" ht="15.75" customHeight="1">
      <c r="A486" s="150"/>
      <c r="B486" s="153"/>
      <c r="C486" s="150"/>
      <c r="D486" s="150" t="str">
        <f t="array" ref="D486">IF(A486="","",IFERROR(INDEX('Location Master'!$E$2:$E$502, IFERROR(MATCH(A486,'Location Master'!$G$2:$G$502,0), IFERROR(MATCH(A486&amp;" (*",'Location Master'!$G$2:$G$502,0), MATCH(A486&amp;"*",'Location Master'!$G$2:$G$502,0)))), ""))</f>
        <v/>
      </c>
      <c r="E486" s="154"/>
      <c r="F486" s="75" t="str">
        <f>IF(A486="","",SUMIFS('Stock Movement'!$F:$F,'Stock Movement'!$B:$B,A486,'Stock Movement'!$E:$E,"IN"))</f>
        <v/>
      </c>
      <c r="G486" s="75" t="str">
        <f>IF(A486="","",SUMIFS('Stock Movement'!$F:$F,'Stock Movement'!$B:$B,A486,'Stock Movement'!$E:$E,"OUT"))</f>
        <v/>
      </c>
      <c r="H486" s="75" t="str">
        <f t="shared" si="1"/>
        <v/>
      </c>
      <c r="I486" s="150"/>
      <c r="J486" s="154"/>
      <c r="K486" s="91" t="str">
        <f t="shared" si="2"/>
        <v/>
      </c>
    </row>
    <row r="487" ht="15.75" customHeight="1">
      <c r="A487" s="147"/>
      <c r="B487" s="155"/>
      <c r="C487" s="147"/>
      <c r="D487" s="147" t="str">
        <f t="array" ref="D487">IF(A487="","",IFERROR(INDEX('Location Master'!$E$2:$E$502, IFERROR(MATCH(A487,'Location Master'!$G$2:$G$502,0), IFERROR(MATCH(A487&amp;" (*",'Location Master'!$G$2:$G$502,0), MATCH(A487&amp;"*",'Location Master'!$G$2:$G$502,0)))), ""))</f>
        <v/>
      </c>
      <c r="E487" s="156"/>
      <c r="F487" s="86" t="str">
        <f>IF(A487="","",SUMIFS('Stock Movement'!$F:$F,'Stock Movement'!$B:$B,A487,'Stock Movement'!$E:$E,"IN"))</f>
        <v/>
      </c>
      <c r="G487" s="86" t="str">
        <f>IF(A487="","",SUMIFS('Stock Movement'!$F:$F,'Stock Movement'!$B:$B,A487,'Stock Movement'!$E:$E,"OUT"))</f>
        <v/>
      </c>
      <c r="H487" s="86" t="str">
        <f t="shared" si="1"/>
        <v/>
      </c>
      <c r="I487" s="147"/>
      <c r="J487" s="156"/>
      <c r="K487" s="83" t="str">
        <f t="shared" si="2"/>
        <v/>
      </c>
    </row>
    <row r="488" ht="15.75" customHeight="1">
      <c r="A488" s="150"/>
      <c r="B488" s="153"/>
      <c r="C488" s="150"/>
      <c r="D488" s="150" t="str">
        <f t="array" ref="D488">IF(A488="","",IFERROR(INDEX('Location Master'!$E$2:$E$502, IFERROR(MATCH(A488,'Location Master'!$G$2:$G$502,0), IFERROR(MATCH(A488&amp;" (*",'Location Master'!$G$2:$G$502,0), MATCH(A488&amp;"*",'Location Master'!$G$2:$G$502,0)))), ""))</f>
        <v/>
      </c>
      <c r="E488" s="154"/>
      <c r="F488" s="75" t="str">
        <f>IF(A488="","",SUMIFS('Stock Movement'!$F:$F,'Stock Movement'!$B:$B,A488,'Stock Movement'!$E:$E,"IN"))</f>
        <v/>
      </c>
      <c r="G488" s="75" t="str">
        <f>IF(A488="","",SUMIFS('Stock Movement'!$F:$F,'Stock Movement'!$B:$B,A488,'Stock Movement'!$E:$E,"OUT"))</f>
        <v/>
      </c>
      <c r="H488" s="75" t="str">
        <f t="shared" si="1"/>
        <v/>
      </c>
      <c r="I488" s="150"/>
      <c r="J488" s="154"/>
      <c r="K488" s="91" t="str">
        <f t="shared" si="2"/>
        <v/>
      </c>
    </row>
    <row r="489" ht="15.75" customHeight="1">
      <c r="A489" s="147"/>
      <c r="B489" s="155"/>
      <c r="C489" s="147"/>
      <c r="D489" s="147" t="str">
        <f t="array" ref="D489">IF(A489="","",IFERROR(INDEX('Location Master'!$E$2:$E$502, IFERROR(MATCH(A489,'Location Master'!$G$2:$G$502,0), IFERROR(MATCH(A489&amp;" (*",'Location Master'!$G$2:$G$502,0), MATCH(A489&amp;"*",'Location Master'!$G$2:$G$502,0)))), ""))</f>
        <v/>
      </c>
      <c r="E489" s="156"/>
      <c r="F489" s="86" t="str">
        <f>IF(A489="","",SUMIFS('Stock Movement'!$F:$F,'Stock Movement'!$B:$B,A489,'Stock Movement'!$E:$E,"IN"))</f>
        <v/>
      </c>
      <c r="G489" s="86" t="str">
        <f>IF(A489="","",SUMIFS('Stock Movement'!$F:$F,'Stock Movement'!$B:$B,A489,'Stock Movement'!$E:$E,"OUT"))</f>
        <v/>
      </c>
      <c r="H489" s="86" t="str">
        <f t="shared" si="1"/>
        <v/>
      </c>
      <c r="I489" s="147"/>
      <c r="J489" s="156"/>
      <c r="K489" s="83" t="str">
        <f t="shared" si="2"/>
        <v/>
      </c>
    </row>
    <row r="490" ht="15.75" customHeight="1">
      <c r="A490" s="150"/>
      <c r="B490" s="153"/>
      <c r="C490" s="150"/>
      <c r="D490" s="150" t="str">
        <f t="array" ref="D490">IF(A490="","",IFERROR(INDEX('Location Master'!$E$2:$E$502, IFERROR(MATCH(A490,'Location Master'!$G$2:$G$502,0), IFERROR(MATCH(A490&amp;" (*",'Location Master'!$G$2:$G$502,0), MATCH(A490&amp;"*",'Location Master'!$G$2:$G$502,0)))), ""))</f>
        <v/>
      </c>
      <c r="E490" s="154"/>
      <c r="F490" s="75" t="str">
        <f>IF(A490="","",SUMIFS('Stock Movement'!$F:$F,'Stock Movement'!$B:$B,A490,'Stock Movement'!$E:$E,"IN"))</f>
        <v/>
      </c>
      <c r="G490" s="75" t="str">
        <f>IF(A490="","",SUMIFS('Stock Movement'!$F:$F,'Stock Movement'!$B:$B,A490,'Stock Movement'!$E:$E,"OUT"))</f>
        <v/>
      </c>
      <c r="H490" s="75" t="str">
        <f t="shared" si="1"/>
        <v/>
      </c>
      <c r="I490" s="150"/>
      <c r="J490" s="154"/>
      <c r="K490" s="91" t="str">
        <f t="shared" si="2"/>
        <v/>
      </c>
    </row>
    <row r="491" ht="15.75" customHeight="1">
      <c r="A491" s="147"/>
      <c r="B491" s="155"/>
      <c r="C491" s="147"/>
      <c r="D491" s="147" t="str">
        <f t="array" ref="D491">IF(A491="","",IFERROR(INDEX('Location Master'!$E$2:$E$502, IFERROR(MATCH(A491,'Location Master'!$G$2:$G$502,0), IFERROR(MATCH(A491&amp;" (*",'Location Master'!$G$2:$G$502,0), MATCH(A491&amp;"*",'Location Master'!$G$2:$G$502,0)))), ""))</f>
        <v/>
      </c>
      <c r="E491" s="156"/>
      <c r="F491" s="86" t="str">
        <f>IF(A491="","",SUMIFS('Stock Movement'!$F:$F,'Stock Movement'!$B:$B,A491,'Stock Movement'!$E:$E,"IN"))</f>
        <v/>
      </c>
      <c r="G491" s="86" t="str">
        <f>IF(A491="","",SUMIFS('Stock Movement'!$F:$F,'Stock Movement'!$B:$B,A491,'Stock Movement'!$E:$E,"OUT"))</f>
        <v/>
      </c>
      <c r="H491" s="86" t="str">
        <f t="shared" si="1"/>
        <v/>
      </c>
      <c r="I491" s="147"/>
      <c r="J491" s="156"/>
      <c r="K491" s="83" t="str">
        <f t="shared" si="2"/>
        <v/>
      </c>
    </row>
    <row r="492" ht="15.75" customHeight="1">
      <c r="A492" s="150"/>
      <c r="B492" s="153"/>
      <c r="C492" s="150"/>
      <c r="D492" s="150" t="str">
        <f t="array" ref="D492">IF(A492="","",IFERROR(INDEX('Location Master'!$E$2:$E$502, IFERROR(MATCH(A492,'Location Master'!$G$2:$G$502,0), IFERROR(MATCH(A492&amp;" (*",'Location Master'!$G$2:$G$502,0), MATCH(A492&amp;"*",'Location Master'!$G$2:$G$502,0)))), ""))</f>
        <v/>
      </c>
      <c r="E492" s="154"/>
      <c r="F492" s="75" t="str">
        <f>IF(A492="","",SUMIFS('Stock Movement'!$F:$F,'Stock Movement'!$B:$B,A492,'Stock Movement'!$E:$E,"IN"))</f>
        <v/>
      </c>
      <c r="G492" s="75" t="str">
        <f>IF(A492="","",SUMIFS('Stock Movement'!$F:$F,'Stock Movement'!$B:$B,A492,'Stock Movement'!$E:$E,"OUT"))</f>
        <v/>
      </c>
      <c r="H492" s="75" t="str">
        <f t="shared" si="1"/>
        <v/>
      </c>
      <c r="I492" s="150"/>
      <c r="J492" s="154"/>
      <c r="K492" s="91" t="str">
        <f t="shared" si="2"/>
        <v/>
      </c>
    </row>
    <row r="493" ht="15.75" customHeight="1">
      <c r="A493" s="147"/>
      <c r="B493" s="155"/>
      <c r="C493" s="147"/>
      <c r="D493" s="147" t="str">
        <f t="array" ref="D493">IF(A493="","",IFERROR(INDEX('Location Master'!$E$2:$E$502, IFERROR(MATCH(A493,'Location Master'!$G$2:$G$502,0), IFERROR(MATCH(A493&amp;" (*",'Location Master'!$G$2:$G$502,0), MATCH(A493&amp;"*",'Location Master'!$G$2:$G$502,0)))), ""))</f>
        <v/>
      </c>
      <c r="E493" s="156"/>
      <c r="F493" s="86" t="str">
        <f>IF(A493="","",SUMIFS('Stock Movement'!$F:$F,'Stock Movement'!$B:$B,A493,'Stock Movement'!$E:$E,"IN"))</f>
        <v/>
      </c>
      <c r="G493" s="86" t="str">
        <f>IF(A493="","",SUMIFS('Stock Movement'!$F:$F,'Stock Movement'!$B:$B,A493,'Stock Movement'!$E:$E,"OUT"))</f>
        <v/>
      </c>
      <c r="H493" s="86" t="str">
        <f t="shared" si="1"/>
        <v/>
      </c>
      <c r="I493" s="147"/>
      <c r="J493" s="156"/>
      <c r="K493" s="83" t="str">
        <f t="shared" si="2"/>
        <v/>
      </c>
    </row>
    <row r="494" ht="15.75" customHeight="1">
      <c r="A494" s="150"/>
      <c r="B494" s="153"/>
      <c r="C494" s="150"/>
      <c r="D494" s="150" t="str">
        <f t="array" ref="D494">IF(A494="","",IFERROR(INDEX('Location Master'!$E$2:$E$502, IFERROR(MATCH(A494,'Location Master'!$G$2:$G$502,0), IFERROR(MATCH(A494&amp;" (*",'Location Master'!$G$2:$G$502,0), MATCH(A494&amp;"*",'Location Master'!$G$2:$G$502,0)))), ""))</f>
        <v/>
      </c>
      <c r="E494" s="154"/>
      <c r="F494" s="75" t="str">
        <f>IF(A494="","",SUMIFS('Stock Movement'!$F:$F,'Stock Movement'!$B:$B,A494,'Stock Movement'!$E:$E,"IN"))</f>
        <v/>
      </c>
      <c r="G494" s="75" t="str">
        <f>IF(A494="","",SUMIFS('Stock Movement'!$F:$F,'Stock Movement'!$B:$B,A494,'Stock Movement'!$E:$E,"OUT"))</f>
        <v/>
      </c>
      <c r="H494" s="75" t="str">
        <f t="shared" si="1"/>
        <v/>
      </c>
      <c r="I494" s="150"/>
      <c r="J494" s="154"/>
      <c r="K494" s="91" t="str">
        <f t="shared" si="2"/>
        <v/>
      </c>
    </row>
    <row r="495" ht="15.75" customHeight="1">
      <c r="A495" s="147"/>
      <c r="B495" s="155"/>
      <c r="C495" s="147"/>
      <c r="D495" s="147" t="str">
        <f t="array" ref="D495">IF(A495="","",IFERROR(INDEX('Location Master'!$E$2:$E$502, IFERROR(MATCH(A495,'Location Master'!$G$2:$G$502,0), IFERROR(MATCH(A495&amp;" (*",'Location Master'!$G$2:$G$502,0), MATCH(A495&amp;"*",'Location Master'!$G$2:$G$502,0)))), ""))</f>
        <v/>
      </c>
      <c r="E495" s="156"/>
      <c r="F495" s="86" t="str">
        <f>IF(A495="","",SUMIFS('Stock Movement'!$F:$F,'Stock Movement'!$B:$B,A495,'Stock Movement'!$E:$E,"IN"))</f>
        <v/>
      </c>
      <c r="G495" s="86" t="str">
        <f>IF(A495="","",SUMIFS('Stock Movement'!$F:$F,'Stock Movement'!$B:$B,A495,'Stock Movement'!$E:$E,"OUT"))</f>
        <v/>
      </c>
      <c r="H495" s="86" t="str">
        <f t="shared" si="1"/>
        <v/>
      </c>
      <c r="I495" s="147"/>
      <c r="J495" s="156"/>
      <c r="K495" s="83" t="str">
        <f t="shared" si="2"/>
        <v/>
      </c>
    </row>
    <row r="496" ht="15.75" customHeight="1">
      <c r="A496" s="150"/>
      <c r="B496" s="153"/>
      <c r="C496" s="150"/>
      <c r="D496" s="150" t="str">
        <f t="array" ref="D496">IF(A496="","",IFERROR(INDEX('Location Master'!$E$2:$E$502, IFERROR(MATCH(A496,'Location Master'!$G$2:$G$502,0), IFERROR(MATCH(A496&amp;" (*",'Location Master'!$G$2:$G$502,0), MATCH(A496&amp;"*",'Location Master'!$G$2:$G$502,0)))), ""))</f>
        <v/>
      </c>
      <c r="E496" s="154"/>
      <c r="F496" s="75" t="str">
        <f>IF(A496="","",SUMIFS('Stock Movement'!$F:$F,'Stock Movement'!$B:$B,A496,'Stock Movement'!$E:$E,"IN"))</f>
        <v/>
      </c>
      <c r="G496" s="75" t="str">
        <f>IF(A496="","",SUMIFS('Stock Movement'!$F:$F,'Stock Movement'!$B:$B,A496,'Stock Movement'!$E:$E,"OUT"))</f>
        <v/>
      </c>
      <c r="H496" s="75" t="str">
        <f t="shared" si="1"/>
        <v/>
      </c>
      <c r="I496" s="150"/>
      <c r="J496" s="154"/>
      <c r="K496" s="91" t="str">
        <f t="shared" si="2"/>
        <v/>
      </c>
    </row>
    <row r="497" ht="15.75" customHeight="1">
      <c r="A497" s="147"/>
      <c r="B497" s="155"/>
      <c r="C497" s="147"/>
      <c r="D497" s="147" t="str">
        <f t="array" ref="D497">IF(A497="","",IFERROR(INDEX('Location Master'!$E$2:$E$502, IFERROR(MATCH(A497,'Location Master'!$G$2:$G$502,0), IFERROR(MATCH(A497&amp;" (*",'Location Master'!$G$2:$G$502,0), MATCH(A497&amp;"*",'Location Master'!$G$2:$G$502,0)))), ""))</f>
        <v/>
      </c>
      <c r="E497" s="156"/>
      <c r="F497" s="86" t="str">
        <f>IF(A497="","",SUMIFS('Stock Movement'!$F:$F,'Stock Movement'!$B:$B,A497,'Stock Movement'!$E:$E,"IN"))</f>
        <v/>
      </c>
      <c r="G497" s="86" t="str">
        <f>IF(A497="","",SUMIFS('Stock Movement'!$F:$F,'Stock Movement'!$B:$B,A497,'Stock Movement'!$E:$E,"OUT"))</f>
        <v/>
      </c>
      <c r="H497" s="86" t="str">
        <f t="shared" si="1"/>
        <v/>
      </c>
      <c r="I497" s="147"/>
      <c r="J497" s="156"/>
      <c r="K497" s="83" t="str">
        <f t="shared" si="2"/>
        <v/>
      </c>
    </row>
    <row r="498" ht="15.75" customHeight="1">
      <c r="A498" s="150"/>
      <c r="B498" s="153"/>
      <c r="C498" s="150"/>
      <c r="D498" s="150" t="str">
        <f t="array" ref="D498">IF(A498="","",IFERROR(INDEX('Location Master'!$E$2:$E$502, IFERROR(MATCH(A498,'Location Master'!$G$2:$G$502,0), IFERROR(MATCH(A498&amp;" (*",'Location Master'!$G$2:$G$502,0), MATCH(A498&amp;"*",'Location Master'!$G$2:$G$502,0)))), ""))</f>
        <v/>
      </c>
      <c r="E498" s="154"/>
      <c r="F498" s="75" t="str">
        <f>IF(A498="","",SUMIFS('Stock Movement'!$F:$F,'Stock Movement'!$B:$B,A498,'Stock Movement'!$E:$E,"IN"))</f>
        <v/>
      </c>
      <c r="G498" s="75" t="str">
        <f>IF(A498="","",SUMIFS('Stock Movement'!$F:$F,'Stock Movement'!$B:$B,A498,'Stock Movement'!$E:$E,"OUT"))</f>
        <v/>
      </c>
      <c r="H498" s="75" t="str">
        <f t="shared" si="1"/>
        <v/>
      </c>
      <c r="I498" s="150"/>
      <c r="J498" s="154"/>
      <c r="K498" s="91" t="str">
        <f t="shared" si="2"/>
        <v/>
      </c>
    </row>
    <row r="499" ht="15.75" customHeight="1">
      <c r="A499" s="147"/>
      <c r="B499" s="155"/>
      <c r="C499" s="147"/>
      <c r="D499" s="147" t="str">
        <f t="array" ref="D499">IF(A499="","",IFERROR(INDEX('Location Master'!$E$2:$E$502, IFERROR(MATCH(A499,'Location Master'!$G$2:$G$502,0), IFERROR(MATCH(A499&amp;" (*",'Location Master'!$G$2:$G$502,0), MATCH(A499&amp;"*",'Location Master'!$G$2:$G$502,0)))), ""))</f>
        <v/>
      </c>
      <c r="E499" s="156"/>
      <c r="F499" s="86" t="str">
        <f>IF(A499="","",SUMIFS('Stock Movement'!$F:$F,'Stock Movement'!$B:$B,A499,'Stock Movement'!$E:$E,"IN"))</f>
        <v/>
      </c>
      <c r="G499" s="86" t="str">
        <f>IF(A499="","",SUMIFS('Stock Movement'!$F:$F,'Stock Movement'!$B:$B,A499,'Stock Movement'!$E:$E,"OUT"))</f>
        <v/>
      </c>
      <c r="H499" s="86" t="str">
        <f t="shared" si="1"/>
        <v/>
      </c>
      <c r="I499" s="147"/>
      <c r="J499" s="156"/>
      <c r="K499" s="83" t="str">
        <f t="shared" si="2"/>
        <v/>
      </c>
    </row>
    <row r="500" ht="15.75" customHeight="1">
      <c r="A500" s="150"/>
      <c r="B500" s="153"/>
      <c r="C500" s="150"/>
      <c r="D500" s="150" t="str">
        <f t="array" ref="D500">IF(A500="","",IFERROR(INDEX('Location Master'!$E$2:$E$502, IFERROR(MATCH(A500,'Location Master'!$G$2:$G$502,0), IFERROR(MATCH(A500&amp;" (*",'Location Master'!$G$2:$G$502,0), MATCH(A500&amp;"*",'Location Master'!$G$2:$G$502,0)))), ""))</f>
        <v/>
      </c>
      <c r="E500" s="154"/>
      <c r="F500" s="75" t="str">
        <f>IF(A500="","",SUMIFS('Stock Movement'!$F:$F,'Stock Movement'!$B:$B,A500,'Stock Movement'!$E:$E,"IN"))</f>
        <v/>
      </c>
      <c r="G500" s="75" t="str">
        <f>IF(A500="","",SUMIFS('Stock Movement'!$F:$F,'Stock Movement'!$B:$B,A500,'Stock Movement'!$E:$E,"OUT"))</f>
        <v/>
      </c>
      <c r="H500" s="75" t="str">
        <f t="shared" si="1"/>
        <v/>
      </c>
      <c r="I500" s="150"/>
      <c r="J500" s="154"/>
      <c r="K500" s="91" t="str">
        <f t="shared" si="2"/>
        <v/>
      </c>
    </row>
    <row r="501" ht="15.75" customHeight="1">
      <c r="A501" s="147"/>
      <c r="B501" s="155"/>
      <c r="C501" s="147"/>
      <c r="D501" s="147" t="str">
        <f t="array" ref="D501">IF(A501="","",IFERROR(INDEX('Location Master'!$E$2:$E$502, IFERROR(MATCH(A501,'Location Master'!$G$2:$G$502,0), IFERROR(MATCH(A501&amp;" (*",'Location Master'!$G$2:$G$502,0), MATCH(A501&amp;"*",'Location Master'!$G$2:$G$502,0)))), ""))</f>
        <v/>
      </c>
      <c r="E501" s="156"/>
      <c r="F501" s="86" t="str">
        <f>IF(A501="","",SUMIFS('Stock Movement'!$F:$F,'Stock Movement'!$B:$B,A501,'Stock Movement'!$E:$E,"IN"))</f>
        <v/>
      </c>
      <c r="G501" s="86" t="str">
        <f>IF(A501="","",SUMIFS('Stock Movement'!$F:$F,'Stock Movement'!$B:$B,A501,'Stock Movement'!$E:$E,"OUT"))</f>
        <v/>
      </c>
      <c r="H501" s="86" t="str">
        <f t="shared" si="1"/>
        <v/>
      </c>
      <c r="I501" s="147"/>
      <c r="J501" s="156"/>
      <c r="K501" s="83" t="str">
        <f t="shared" si="2"/>
        <v/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01"/>
  <customSheetViews>
    <customSheetView guid="{B875A31D-6EC8-48A7-82C7-C3FE116B8686}" filter="1" showAutoFilter="1">
      <autoFilter ref="$A$1:$K$501"/>
    </customSheetView>
  </customSheetViews>
  <conditionalFormatting sqref="K2:K501">
    <cfRule type="cellIs" dxfId="6" priority="1" stopIfTrue="1" operator="equal">
      <formula>"REORDER"</formula>
    </cfRule>
  </conditionalFormatting>
  <conditionalFormatting sqref="K2:K501">
    <cfRule type="cellIs" dxfId="5" priority="2" stopIfTrue="1" operator="equal">
      <formula>"OK"</formula>
    </cfRule>
  </conditionalFormatting>
  <conditionalFormatting sqref="K2:K501">
    <cfRule type="expression" dxfId="7" priority="3">
      <formula>$K2="REORDER"</formula>
    </cfRule>
  </conditionalFormatting>
  <dataValidations>
    <dataValidation type="list" allowBlank="1" sqref="A2:A201">
      <formula1>'Material Master'!$A$2:$A$201</formula1>
    </dataValidation>
    <dataValidation type="list" allowBlank="1" sqref="D2:D201">
      <formula1>'Location Master'!$E$2:$E$202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24.86"/>
    <col customWidth="1" min="3" max="3" width="11.86"/>
    <col customWidth="1" min="4" max="4" width="8.29"/>
    <col customWidth="1" min="5" max="5" width="7.14"/>
    <col customWidth="1" min="6" max="6" width="8.57"/>
    <col customWidth="1" min="7" max="7" width="7.43"/>
    <col customWidth="1" min="8" max="8" width="17.29"/>
    <col customWidth="1" min="9" max="26" width="8.71"/>
  </cols>
  <sheetData>
    <row r="1" ht="25.5" customHeight="1">
      <c r="A1" s="1" t="s">
        <v>8</v>
      </c>
      <c r="B1" s="2" t="s">
        <v>4</v>
      </c>
      <c r="C1" s="2" t="s">
        <v>9</v>
      </c>
      <c r="D1" s="2" t="s">
        <v>0</v>
      </c>
      <c r="E1" s="2" t="s">
        <v>5</v>
      </c>
      <c r="F1" s="2" t="s">
        <v>6</v>
      </c>
      <c r="G1" s="2" t="s">
        <v>7</v>
      </c>
      <c r="H1" s="4" t="s">
        <v>282</v>
      </c>
    </row>
    <row r="2" ht="24.0" customHeight="1">
      <c r="A2" s="136" t="str">
        <f>IF('Location Master'!E2="","",'Location Master'!E2)</f>
        <v>R01-B01-GL1-A1</v>
      </c>
      <c r="B2" s="103" t="str">
        <f t="array" ref="B2">IF(A2="","",IFERROR(INDEX(Inventory!$B$2:$B$201,MATCH(A2,Inventory!$D$2:$D$201,0)),""))</f>
        <v>BUBBLE WRAP</v>
      </c>
      <c r="C2" s="13" t="str">
        <f t="array" ref="C2">IF(A2="","",IFERROR(INDEX(Inventory!$C$2:$C$201,MATCH(A2,Inventory!$D$2:$D$201,0)),""))</f>
        <v>PLUMBER</v>
      </c>
      <c r="D2" s="13" t="str">
        <f t="array" ref="D2">IF(A2="","",IFERROR(INDEX('Location Master'!$A$2:$A$202,MATCH(A2,'Location Master'!$E$2:$E$202,0)),""))</f>
        <v>R01</v>
      </c>
      <c r="E2" s="13">
        <f t="array" ref="E2">IF(A2="","",IFERROR(INDEX('Location Master'!$B$2:$B$202,MATCH(A2,'Location Master'!$E$2:$E$202,0)),""))</f>
        <v>1</v>
      </c>
      <c r="F2" s="13" t="str">
        <f t="array" ref="F2">IF(A2="","",IFERROR(INDEX('Location Master'!$C$2:$C$202,MATCH(A2,'Location Master'!$E$2:$E$202,0)),""))</f>
        <v>GL1</v>
      </c>
      <c r="G2" s="13" t="str">
        <f t="array" ref="G2">IF(A2="","",IFERROR(INDEX('Location Master'!$D$2:$D$202,MATCH(A2,'Location Master'!$E$2:$E$202,0)),""))</f>
        <v>A1</v>
      </c>
      <c r="H2" s="137" t="s">
        <v>283</v>
      </c>
    </row>
    <row r="3" ht="24.0" customHeight="1">
      <c r="A3" s="138" t="str">
        <f>IF('Location Master'!E4="","",'Location Master'!E4)</f>
        <v>R01-B01-GL1-B</v>
      </c>
      <c r="B3" s="119" t="str">
        <f t="array" ref="B3">IF(A3="","",IFERROR(INDEX(Inventory!$B$2:$B$201,MATCH(A3,Inventory!$D$2:$D$201,0)),""))</f>
        <v>CANDLE_LUGNARE_SCNTD</v>
      </c>
      <c r="C3" s="27" t="str">
        <f t="array" ref="C3">IF(A3="","",IFERROR(INDEX(Inventory!$C$2:$C$201,MATCH(A3,Inventory!$D$2:$D$201,0)),""))</f>
        <v>DECOR</v>
      </c>
      <c r="D3" s="27" t="str">
        <f t="array" ref="D3">IF(A3="","",IFERROR(INDEX('Location Master'!$A$2:$A$202,MATCH(A3,'Location Master'!$E$2:$E$202,0)),""))</f>
        <v>R01</v>
      </c>
      <c r="E3" s="27">
        <f t="array" ref="E3">IF(A3="","",IFERROR(INDEX('Location Master'!$B$2:$B$202,MATCH(A3,'Location Master'!$E$2:$E$202,0)),""))</f>
        <v>1</v>
      </c>
      <c r="F3" s="27" t="str">
        <f t="array" ref="F3">IF(A3="","",IFERROR(INDEX('Location Master'!$C$2:$C$202,MATCH(A3,'Location Master'!$E$2:$E$202,0)),""))</f>
        <v>GL1</v>
      </c>
      <c r="G3" s="27" t="str">
        <f t="array" ref="G3">IF(A3="","",IFERROR(INDEX('Location Master'!$D$2:$D$202,MATCH(A3,'Location Master'!$E$2:$E$202,0)),""))</f>
        <v>B</v>
      </c>
      <c r="H3" s="139" t="s">
        <v>283</v>
      </c>
    </row>
    <row r="4" ht="24.0" customHeight="1">
      <c r="A4" s="136" t="str">
        <f>IF('Location Master'!E5="","",'Location Master'!E5)</f>
        <v>R01-B01-GL2-A</v>
      </c>
      <c r="B4" s="103" t="str">
        <f t="array" ref="B4">IF(A4="","",IFERROR(INDEX(Inventory!$B$2:$B$201,MATCH(A4,Inventory!$D$2:$D$201,0)),""))</f>
        <v>EXTRA MCB</v>
      </c>
      <c r="C4" s="13" t="str">
        <f t="array" ref="C4">IF(A4="","",IFERROR(INDEX(Inventory!$C$2:$C$201,MATCH(A4,Inventory!$D$2:$D$201,0)),""))</f>
        <v>ELECTRIC</v>
      </c>
      <c r="D4" s="13" t="str">
        <f t="array" ref="D4">IF(A4="","",IFERROR(INDEX('Location Master'!$A$2:$A$202,MATCH(A4,'Location Master'!$E$2:$E$202,0)),""))</f>
        <v>R01</v>
      </c>
      <c r="E4" s="13">
        <f t="array" ref="E4">IF(A4="","",IFERROR(INDEX('Location Master'!$B$2:$B$202,MATCH(A4,'Location Master'!$E$2:$E$202,0)),""))</f>
        <v>1</v>
      </c>
      <c r="F4" s="13" t="str">
        <f t="array" ref="F4">IF(A4="","",IFERROR(INDEX('Location Master'!$C$2:$C$202,MATCH(A4,'Location Master'!$E$2:$E$202,0)),""))</f>
        <v>GL2</v>
      </c>
      <c r="G4" s="13" t="str">
        <f t="array" ref="G4">IF(A4="","",IFERROR(INDEX('Location Master'!$D$2:$D$202,MATCH(A4,'Location Master'!$E$2:$E$202,0)),""))</f>
        <v>A</v>
      </c>
      <c r="H4" s="137" t="s">
        <v>283</v>
      </c>
    </row>
    <row r="5" ht="24.0" customHeight="1">
      <c r="A5" s="138" t="str">
        <f>IF('Location Master'!E6="","",'Location Master'!E6)</f>
        <v>R01-B01-GL2-B</v>
      </c>
      <c r="B5" s="119" t="str">
        <f t="array" ref="B5">IF(A5="","",IFERROR(INDEX(Inventory!$B$2:$B$201,MATCH(A5,Inventory!$D$2:$D$201,0)),""))</f>
        <v>FOSSIAL</v>
      </c>
      <c r="C5" s="27" t="str">
        <f t="array" ref="C5">IF(A5="","",IFERROR(INDEX(Inventory!$C$2:$C$201,MATCH(A5,Inventory!$D$2:$D$201,0)),""))</f>
        <v>CIVIL</v>
      </c>
      <c r="D5" s="27" t="str">
        <f t="array" ref="D5">IF(A5="","",IFERROR(INDEX('Location Master'!$A$2:$A$202,MATCH(A5,'Location Master'!$E$2:$E$202,0)),""))</f>
        <v>R01</v>
      </c>
      <c r="E5" s="27">
        <f t="array" ref="E5">IF(A5="","",IFERROR(INDEX('Location Master'!$B$2:$B$202,MATCH(A5,'Location Master'!$E$2:$E$202,0)),""))</f>
        <v>1</v>
      </c>
      <c r="F5" s="27" t="str">
        <f t="array" ref="F5">IF(A5="","",IFERROR(INDEX('Location Master'!$C$2:$C$202,MATCH(A5,'Location Master'!$E$2:$E$202,0)),""))</f>
        <v>GL2</v>
      </c>
      <c r="G5" s="27" t="str">
        <f t="array" ref="G5">IF(A5="","",IFERROR(INDEX('Location Master'!$D$2:$D$202,MATCH(A5,'Location Master'!$E$2:$E$202,0)),""))</f>
        <v>B</v>
      </c>
      <c r="H5" s="139" t="s">
        <v>283</v>
      </c>
    </row>
    <row r="6" ht="24.0" customHeight="1">
      <c r="A6" s="136" t="str">
        <f>IF('Location Master'!E7="","",'Location Master'!E7)</f>
        <v>R01-B02-GL1-A</v>
      </c>
      <c r="B6" s="103" t="str">
        <f t="array" ref="B6">IF(A6="","",IFERROR(INDEX(Inventory!$B$2:$B$201,MATCH(A6,Inventory!$D$2:$D$201,0)),""))</f>
        <v>GRANITE_ AVALANCHE</v>
      </c>
      <c r="C6" s="13" t="str">
        <f t="array" ref="C6">IF(A6="","",IFERROR(INDEX(Inventory!$C$2:$C$201,MATCH(A6,Inventory!$D$2:$D$201,0)),""))</f>
        <v>CIVIL</v>
      </c>
      <c r="D6" s="13" t="str">
        <f t="array" ref="D6">IF(A6="","",IFERROR(INDEX('Location Master'!$A$2:$A$202,MATCH(A6,'Location Master'!$E$2:$E$202,0)),""))</f>
        <v>R01</v>
      </c>
      <c r="E6" s="13">
        <f t="array" ref="E6">IF(A6="","",IFERROR(INDEX('Location Master'!$B$2:$B$202,MATCH(A6,'Location Master'!$E$2:$E$202,0)),""))</f>
        <v>2</v>
      </c>
      <c r="F6" s="13" t="str">
        <f t="array" ref="F6">IF(A6="","",IFERROR(INDEX('Location Master'!$C$2:$C$202,MATCH(A6,'Location Master'!$E$2:$E$202,0)),""))</f>
        <v>GL1</v>
      </c>
      <c r="G6" s="13" t="str">
        <f t="array" ref="G6">IF(A6="","",IFERROR(INDEX('Location Master'!$D$2:$D$202,MATCH(A6,'Location Master'!$E$2:$E$202,0)),""))</f>
        <v>A</v>
      </c>
      <c r="H6" s="137" t="s">
        <v>283</v>
      </c>
    </row>
    <row r="7" ht="24.0" customHeight="1">
      <c r="A7" s="138" t="str">
        <f>IF('Location Master'!E8="","",'Location Master'!E8)</f>
        <v>R01-B02-GL2-A</v>
      </c>
      <c r="B7" s="119" t="str">
        <f t="array" ref="B7">IF(A7="","",IFERROR(INDEX(Inventory!$B$2:$B$201,MATCH(A7,Inventory!$D$2:$D$201,0)),""))</f>
        <v>SCREW_SELF THREAD_25X6</v>
      </c>
      <c r="C7" s="27" t="str">
        <f t="array" ref="C7">IF(A7="","",IFERROR(INDEX(Inventory!$C$2:$C$201,MATCH(A7,Inventory!$D$2:$D$201,0)),""))</f>
        <v>ELECTRIC</v>
      </c>
      <c r="D7" s="27" t="str">
        <f t="array" ref="D7">IF(A7="","",IFERROR(INDEX('Location Master'!$A$2:$A$202,MATCH(A7,'Location Master'!$E$2:$E$202,0)),""))</f>
        <v>R01</v>
      </c>
      <c r="E7" s="27">
        <f t="array" ref="E7">IF(A7="","",IFERROR(INDEX('Location Master'!$B$2:$B$202,MATCH(A7,'Location Master'!$E$2:$E$202,0)),""))</f>
        <v>2</v>
      </c>
      <c r="F7" s="27" t="str">
        <f t="array" ref="F7">IF(A7="","",IFERROR(INDEX('Location Master'!$C$2:$C$202,MATCH(A7,'Location Master'!$E$2:$E$202,0)),""))</f>
        <v>GL2</v>
      </c>
      <c r="G7" s="27" t="str">
        <f t="array" ref="G7">IF(A7="","",IFERROR(INDEX('Location Master'!$D$2:$D$202,MATCH(A7,'Location Master'!$E$2:$E$202,0)),""))</f>
        <v>A</v>
      </c>
      <c r="H7" s="139" t="s">
        <v>283</v>
      </c>
    </row>
    <row r="8" ht="24.0" customHeight="1">
      <c r="A8" s="136" t="str">
        <f>IF('Location Master'!E9="","",'Location Master'!E9)</f>
        <v>R01-B02-GL2-B</v>
      </c>
      <c r="B8" s="103" t="str">
        <f t="array" ref="B8">IF(A8="","",IFERROR(INDEX(Inventory!$B$2:$B$201,MATCH(A8,Inventory!$D$2:$D$201,0)),""))</f>
        <v>SLUE PIPE_20MM</v>
      </c>
      <c r="C8" s="13" t="str">
        <f t="array" ref="C8">IF(A8="","",IFERROR(INDEX(Inventory!$C$2:$C$201,MATCH(A8,Inventory!$D$2:$D$201,0)),""))</f>
        <v>AC</v>
      </c>
      <c r="D8" s="13" t="str">
        <f t="array" ref="D8">IF(A8="","",IFERROR(INDEX('Location Master'!$A$2:$A$202,MATCH(A8,'Location Master'!$E$2:$E$202,0)),""))</f>
        <v>R01</v>
      </c>
      <c r="E8" s="13">
        <f t="array" ref="E8">IF(A8="","",IFERROR(INDEX('Location Master'!$B$2:$B$202,MATCH(A8,'Location Master'!$E$2:$E$202,0)),""))</f>
        <v>2</v>
      </c>
      <c r="F8" s="13" t="str">
        <f t="array" ref="F8">IF(A8="","",IFERROR(INDEX('Location Master'!$C$2:$C$202,MATCH(A8,'Location Master'!$E$2:$E$202,0)),""))</f>
        <v>GL2</v>
      </c>
      <c r="G8" s="13" t="str">
        <f t="array" ref="G8">IF(A8="","",IFERROR(INDEX('Location Master'!$D$2:$D$202,MATCH(A8,'Location Master'!$E$2:$E$202,0)),""))</f>
        <v>B</v>
      </c>
      <c r="H8" s="137" t="s">
        <v>283</v>
      </c>
    </row>
    <row r="9" ht="24.0" customHeight="1">
      <c r="A9" s="138" t="str">
        <f>IF('Location Master'!E10="","",'Location Master'!E10)</f>
        <v>R01-B01-GL3-A</v>
      </c>
      <c r="B9" s="119" t="str">
        <f t="array" ref="B9">IF(A9="","",IFERROR(INDEX(Inventory!$B$2:$B$201,MATCH(A9,Inventory!$D$2:$D$201,0)),""))</f>
        <v>2*10 WIRE NAIL</v>
      </c>
      <c r="C9" s="27" t="str">
        <f t="array" ref="C9">IF(A9="","",IFERROR(INDEX(Inventory!$C$2:$C$201,MATCH(A9,Inventory!$D$2:$D$201,0)),""))</f>
        <v>FURNISHING</v>
      </c>
      <c r="D9" s="27" t="str">
        <f t="array" ref="D9">IF(A9="","",IFERROR(INDEX('Location Master'!$A$2:$A$202,MATCH(A9,'Location Master'!$E$2:$E$202,0)),""))</f>
        <v>R01</v>
      </c>
      <c r="E9" s="27">
        <f t="array" ref="E9">IF(A9="","",IFERROR(INDEX('Location Master'!$B$2:$B$202,MATCH(A9,'Location Master'!$E$2:$E$202,0)),""))</f>
        <v>1</v>
      </c>
      <c r="F9" s="27" t="str">
        <f t="array" ref="F9">IF(A9="","",IFERROR(INDEX('Location Master'!$C$2:$C$202,MATCH(A9,'Location Master'!$E$2:$E$202,0)),""))</f>
        <v>GL3</v>
      </c>
      <c r="G9" s="27" t="str">
        <f t="array" ref="G9">IF(A9="","",IFERROR(INDEX('Location Master'!$D$2:$D$202,MATCH(A9,'Location Master'!$E$2:$E$202,0)),""))</f>
        <v>A</v>
      </c>
      <c r="H9" s="139" t="s">
        <v>283</v>
      </c>
    </row>
    <row r="10" ht="24.0" customHeight="1">
      <c r="A10" s="136" t="str">
        <f>IF('Location Master'!E11="","",'Location Master'!E11)</f>
        <v>R01-B01-GL3-B</v>
      </c>
      <c r="B10" s="103" t="str">
        <f t="array" ref="B10">IF(A10="","",IFERROR(INDEX(Inventory!$B$2:$B$201,MATCH(A10,Inventory!$D$2:$D$201,0)),""))</f>
        <v/>
      </c>
      <c r="C10" s="13" t="str">
        <f t="array" ref="C10">IF(A10="","",IFERROR(INDEX(Inventory!$C$2:$C$201,MATCH(A10,Inventory!$D$2:$D$201,0)),""))</f>
        <v/>
      </c>
      <c r="D10" s="13" t="str">
        <f t="array" ref="D10">IF(A10="","",IFERROR(INDEX('Location Master'!$A$2:$A$202,MATCH(A10,'Location Master'!$E$2:$E$202,0)),""))</f>
        <v>R01</v>
      </c>
      <c r="E10" s="13">
        <f t="array" ref="E10">IF(A10="","",IFERROR(INDEX('Location Master'!$B$2:$B$202,MATCH(A10,'Location Master'!$E$2:$E$202,0)),""))</f>
        <v>1</v>
      </c>
      <c r="F10" s="13" t="str">
        <f t="array" ref="F10">IF(A10="","",IFERROR(INDEX('Location Master'!$C$2:$C$202,MATCH(A10,'Location Master'!$E$2:$E$202,0)),""))</f>
        <v>GL3</v>
      </c>
      <c r="G10" s="13" t="str">
        <f t="array" ref="G10">IF(A10="","",IFERROR(INDEX('Location Master'!$D$2:$D$202,MATCH(A10,'Location Master'!$E$2:$E$202,0)),""))</f>
        <v>B</v>
      </c>
      <c r="H10" s="137" t="s">
        <v>284</v>
      </c>
    </row>
    <row r="11" ht="24.0" customHeight="1">
      <c r="A11" s="138" t="str">
        <f>IF('Location Master'!E12="","",'Location Master'!E12)</f>
        <v>R01-B02-GL1-B</v>
      </c>
      <c r="B11" s="119" t="str">
        <f t="array" ref="B11">IF(A11="","",IFERROR(INDEX(Inventory!$B$2:$B$201,MATCH(A11,Inventory!$D$2:$D$201,0)),""))</f>
        <v/>
      </c>
      <c r="C11" s="27" t="str">
        <f t="array" ref="C11">IF(A11="","",IFERROR(INDEX(Inventory!$C$2:$C$201,MATCH(A11,Inventory!$D$2:$D$201,0)),""))</f>
        <v/>
      </c>
      <c r="D11" s="27" t="str">
        <f t="array" ref="D11">IF(A11="","",IFERROR(INDEX('Location Master'!$A$2:$A$202,MATCH(A11,'Location Master'!$E$2:$E$202,0)),""))</f>
        <v>R01</v>
      </c>
      <c r="E11" s="27">
        <f t="array" ref="E11">IF(A11="","",IFERROR(INDEX('Location Master'!$B$2:$B$202,MATCH(A11,'Location Master'!$E$2:$E$202,0)),""))</f>
        <v>2</v>
      </c>
      <c r="F11" s="27" t="str">
        <f t="array" ref="F11">IF(A11="","",IFERROR(INDEX('Location Master'!$C$2:$C$202,MATCH(A11,'Location Master'!$E$2:$E$202,0)),""))</f>
        <v>GL1</v>
      </c>
      <c r="G11" s="27" t="str">
        <f t="array" ref="G11">IF(A11="","",IFERROR(INDEX('Location Master'!$D$2:$D$202,MATCH(A11,'Location Master'!$E$2:$E$202,0)),""))</f>
        <v>B</v>
      </c>
      <c r="H11" s="139" t="s">
        <v>284</v>
      </c>
    </row>
    <row r="12" ht="24.0" customHeight="1">
      <c r="A12" s="140" t="str">
        <f>IF('Location Master'!E13="","",'Location Master'!E13)</f>
        <v>R01-B02-GL3-A</v>
      </c>
      <c r="B12" s="141" t="str">
        <f t="array" ref="B12">IF(A12="","",IFERROR(INDEX(Inventory!$B$2:$B$201,MATCH(A12,Inventory!$D$2:$D$201,0)),""))</f>
        <v/>
      </c>
      <c r="C12" s="142" t="str">
        <f t="array" ref="C12">IF(A12="","",IFERROR(INDEX(Inventory!$C$2:$C$201,MATCH(A12,Inventory!$D$2:$D$201,0)),""))</f>
        <v/>
      </c>
      <c r="D12" s="142" t="str">
        <f t="array" ref="D12">IF(A12="","",IFERROR(INDEX('Location Master'!$A$2:$A$202,MATCH(A12,'Location Master'!$E$2:$E$202,0)),""))</f>
        <v>R01</v>
      </c>
      <c r="E12" s="142">
        <f t="array" ref="E12">IF(A12="","",IFERROR(INDEX('Location Master'!$B$2:$B$202,MATCH(A12,'Location Master'!$E$2:$E$202,0)),""))</f>
        <v>2</v>
      </c>
      <c r="F12" s="142" t="str">
        <f t="array" ref="F12">IF(A12="","",IFERROR(INDEX('Location Master'!$C$2:$C$202,MATCH(A12,'Location Master'!$E$2:$E$202,0)),""))</f>
        <v>GL3</v>
      </c>
      <c r="G12" s="142" t="str">
        <f t="array" ref="G12">IF(A12="","",IFERROR(INDEX('Location Master'!$D$2:$D$202,MATCH(A12,'Location Master'!$E$2:$E$202,0)),""))</f>
        <v>A</v>
      </c>
      <c r="H12" s="143" t="s">
        <v>284</v>
      </c>
    </row>
    <row r="13" ht="24.0" customHeight="1">
      <c r="A13" s="144" t="str">
        <f>IF('Location Master'!E14="","",'Location Master'!E14)</f>
        <v>R02-B02-GL1-A</v>
      </c>
      <c r="B13" s="145" t="str">
        <f t="array" ref="B13">IF(A13="","",IFERROR(INDEX(Inventory!$B$2:$B$201,MATCH(A13,Inventory!$D$2:$D$201,0)),""))</f>
        <v/>
      </c>
      <c r="C13" s="146" t="str">
        <f t="array" ref="C13">IF(A13="","",IFERROR(INDEX(Inventory!$C$2:$C$201,MATCH(A13,Inventory!$D$2:$D$201,0)),""))</f>
        <v/>
      </c>
      <c r="D13" s="146" t="str">
        <f t="array" ref="D13">IF(A13="","",IFERROR(INDEX('Location Master'!$A$2:$A$202,MATCH(A13,'Location Master'!$E$2:$E$202,0)),""))</f>
        <v>R02</v>
      </c>
      <c r="E13" s="146">
        <f t="array" ref="E13">IF(A13="","",IFERROR(INDEX('Location Master'!$B$2:$B$202,MATCH(A13,'Location Master'!$E$2:$E$202,0)),""))</f>
        <v>2</v>
      </c>
      <c r="F13" s="146" t="str">
        <f t="array" ref="F13">IF(A13="","",IFERROR(INDEX('Location Master'!$C$2:$C$202,MATCH(A13,'Location Master'!$E$2:$E$202,0)),""))</f>
        <v>GL1</v>
      </c>
      <c r="G13" s="146" t="str">
        <f t="array" ref="G13">IF(A13="","",IFERROR(INDEX('Location Master'!$D$2:$D$202,MATCH(A13,'Location Master'!$E$2:$E$202,0)),""))</f>
        <v>A</v>
      </c>
      <c r="H13" s="146"/>
    </row>
    <row r="14" ht="24.0" customHeight="1">
      <c r="A14" s="135" t="str">
        <f>IF('Location Master'!E15="","",'Location Master'!E15)</f>
        <v>R01-B01-GL1-A3</v>
      </c>
      <c r="B14" s="133" t="str">
        <f t="array" ref="B14">IF(A14="","",IFERROR(INDEX(Inventory!$B$2:$B$201,MATCH(A14,Inventory!$D$2:$D$201,0)),""))</f>
        <v/>
      </c>
      <c r="C14" s="88" t="str">
        <f t="array" ref="C14">IF(A14="","",IFERROR(INDEX(Inventory!$C$2:$C$201,MATCH(A14,Inventory!$D$2:$D$201,0)),""))</f>
        <v/>
      </c>
      <c r="D14" s="88" t="str">
        <f t="array" ref="D14">IF(A14="","",IFERROR(INDEX('Location Master'!$A$2:$A$202,MATCH(A14,'Location Master'!$E$2:$E$202,0)),""))</f>
        <v>R01</v>
      </c>
      <c r="E14" s="88">
        <f t="array" ref="E14">IF(A14="","",IFERROR(INDEX('Location Master'!$B$2:$B$202,MATCH(A14,'Location Master'!$E$2:$E$202,0)),""))</f>
        <v>1</v>
      </c>
      <c r="F14" s="88" t="str">
        <f t="array" ref="F14">IF(A14="","",IFERROR(INDEX('Location Master'!$C$2:$C$202,MATCH(A14,'Location Master'!$E$2:$E$202,0)),""))</f>
        <v>GL1</v>
      </c>
      <c r="G14" s="88" t="str">
        <f t="array" ref="G14">IF(A14="","",IFERROR(INDEX('Location Master'!$D$2:$D$202,MATCH(A14,'Location Master'!$E$2:$E$202,0)),""))</f>
        <v>A3</v>
      </c>
      <c r="H14" s="88"/>
    </row>
    <row r="15" ht="24.0" customHeight="1">
      <c r="A15" s="132" t="str">
        <f>IF('Location Master'!E16="","",'Location Master'!E16)</f>
        <v/>
      </c>
      <c r="B15" s="130" t="str">
        <f t="array" ref="B15">IF(A15="","",IFERROR(INDEX(Inventory!$B$2:$B$201,MATCH(A15,Inventory!$D$2:$D$201,0)),""))</f>
        <v/>
      </c>
      <c r="C15" s="82" t="str">
        <f t="array" ref="C15">IF(A15="","",IFERROR(INDEX(Inventory!$C$2:$C$201,MATCH(A15,Inventory!$D$2:$D$201,0)),""))</f>
        <v/>
      </c>
      <c r="D15" s="82" t="str">
        <f t="array" ref="D15">IF(A15="","",IFERROR(INDEX('Location Master'!$A$2:$A$202,MATCH(A15,'Location Master'!$E$2:$E$202,0)),""))</f>
        <v/>
      </c>
      <c r="E15" s="82" t="str">
        <f t="array" ref="E15">IF(A15="","",IFERROR(INDEX('Location Master'!$B$2:$B$202,MATCH(A15,'Location Master'!$E$2:$E$202,0)),""))</f>
        <v/>
      </c>
      <c r="F15" s="82" t="str">
        <f t="array" ref="F15">IF(A15="","",IFERROR(INDEX('Location Master'!$C$2:$C$202,MATCH(A15,'Location Master'!$E$2:$E$202,0)),""))</f>
        <v/>
      </c>
      <c r="G15" s="82" t="str">
        <f t="array" ref="G15">IF(A15="","",IFERROR(INDEX('Location Master'!$D$2:$D$202,MATCH(A15,'Location Master'!$E$2:$E$202,0)),""))</f>
        <v/>
      </c>
      <c r="H15" s="82"/>
    </row>
    <row r="16" ht="24.0" customHeight="1">
      <c r="A16" s="135" t="str">
        <f>IF('Location Master'!E17="","",'Location Master'!E17)</f>
        <v/>
      </c>
      <c r="B16" s="133" t="str">
        <f t="array" ref="B16">IF(A16="","",IFERROR(INDEX(Inventory!$B$2:$B$201,MATCH(A16,Inventory!$D$2:$D$201,0)),""))</f>
        <v/>
      </c>
      <c r="C16" s="88" t="str">
        <f t="array" ref="C16">IF(A16="","",IFERROR(INDEX(Inventory!$C$2:$C$201,MATCH(A16,Inventory!$D$2:$D$201,0)),""))</f>
        <v/>
      </c>
      <c r="D16" s="88" t="str">
        <f t="array" ref="D16">IF(A16="","",IFERROR(INDEX('Location Master'!$A$2:$A$202,MATCH(A16,'Location Master'!$E$2:$E$202,0)),""))</f>
        <v/>
      </c>
      <c r="E16" s="88" t="str">
        <f t="array" ref="E16">IF(A16="","",IFERROR(INDEX('Location Master'!$B$2:$B$202,MATCH(A16,'Location Master'!$E$2:$E$202,0)),""))</f>
        <v/>
      </c>
      <c r="F16" s="88" t="str">
        <f t="array" ref="F16">IF(A16="","",IFERROR(INDEX('Location Master'!$C$2:$C$202,MATCH(A16,'Location Master'!$E$2:$E$202,0)),""))</f>
        <v/>
      </c>
      <c r="G16" s="88" t="str">
        <f t="array" ref="G16">IF(A16="","",IFERROR(INDEX('Location Master'!$D$2:$D$202,MATCH(A16,'Location Master'!$E$2:$E$202,0)),""))</f>
        <v/>
      </c>
      <c r="H16" s="88"/>
    </row>
    <row r="17" ht="24.0" customHeight="1">
      <c r="A17" s="132" t="str">
        <f>IF('Location Master'!E18="","",'Location Master'!E18)</f>
        <v/>
      </c>
      <c r="B17" s="130" t="str">
        <f t="array" ref="B17">IF(A17="","",IFERROR(INDEX(Inventory!$B$2:$B$201,MATCH(A17,Inventory!$D$2:$D$201,0)),""))</f>
        <v/>
      </c>
      <c r="C17" s="82" t="str">
        <f t="array" ref="C17">IF(A17="","",IFERROR(INDEX(Inventory!$C$2:$C$201,MATCH(A17,Inventory!$D$2:$D$201,0)),""))</f>
        <v/>
      </c>
      <c r="D17" s="82" t="str">
        <f t="array" ref="D17">IF(A17="","",IFERROR(INDEX('Location Master'!$A$2:$A$202,MATCH(A17,'Location Master'!$E$2:$E$202,0)),""))</f>
        <v/>
      </c>
      <c r="E17" s="82" t="str">
        <f t="array" ref="E17">IF(A17="","",IFERROR(INDEX('Location Master'!$B$2:$B$202,MATCH(A17,'Location Master'!$E$2:$E$202,0)),""))</f>
        <v/>
      </c>
      <c r="F17" s="82" t="str">
        <f t="array" ref="F17">IF(A17="","",IFERROR(INDEX('Location Master'!$C$2:$C$202,MATCH(A17,'Location Master'!$E$2:$E$202,0)),""))</f>
        <v/>
      </c>
      <c r="G17" s="82" t="str">
        <f t="array" ref="G17">IF(A17="","",IFERROR(INDEX('Location Master'!$D$2:$D$202,MATCH(A17,'Location Master'!$E$2:$E$202,0)),""))</f>
        <v/>
      </c>
      <c r="H17" s="82"/>
    </row>
    <row r="18" ht="24.0" customHeight="1">
      <c r="A18" s="135" t="str">
        <f>IF('Location Master'!E19="","",'Location Master'!E19)</f>
        <v/>
      </c>
      <c r="B18" s="133" t="str">
        <f t="array" ref="B18">IF(A18="","",IFERROR(INDEX(Inventory!$B$2:$B$201,MATCH(A18,Inventory!$D$2:$D$201,0)),""))</f>
        <v/>
      </c>
      <c r="C18" s="88" t="str">
        <f t="array" ref="C18">IF(A18="","",IFERROR(INDEX(Inventory!$C$2:$C$201,MATCH(A18,Inventory!$D$2:$D$201,0)),""))</f>
        <v/>
      </c>
      <c r="D18" s="88" t="str">
        <f t="array" ref="D18">IF(A18="","",IFERROR(INDEX('Location Master'!$A$2:$A$202,MATCH(A18,'Location Master'!$E$2:$E$202,0)),""))</f>
        <v/>
      </c>
      <c r="E18" s="88" t="str">
        <f t="array" ref="E18">IF(A18="","",IFERROR(INDEX('Location Master'!$B$2:$B$202,MATCH(A18,'Location Master'!$E$2:$E$202,0)),""))</f>
        <v/>
      </c>
      <c r="F18" s="88" t="str">
        <f t="array" ref="F18">IF(A18="","",IFERROR(INDEX('Location Master'!$C$2:$C$202,MATCH(A18,'Location Master'!$E$2:$E$202,0)),""))</f>
        <v/>
      </c>
      <c r="G18" s="88" t="str">
        <f t="array" ref="G18">IF(A18="","",IFERROR(INDEX('Location Master'!$D$2:$D$202,MATCH(A18,'Location Master'!$E$2:$E$202,0)),""))</f>
        <v/>
      </c>
      <c r="H18" s="88"/>
    </row>
    <row r="19" ht="24.0" customHeight="1">
      <c r="A19" s="132" t="str">
        <f>IF('Location Master'!E20="","",'Location Master'!E20)</f>
        <v/>
      </c>
      <c r="B19" s="130" t="str">
        <f t="array" ref="B19">IF(A19="","",IFERROR(INDEX(Inventory!$B$2:$B$201,MATCH(A19,Inventory!$D$2:$D$201,0)),""))</f>
        <v/>
      </c>
      <c r="C19" s="82" t="str">
        <f t="array" ref="C19">IF(A19="","",IFERROR(INDEX(Inventory!$C$2:$C$201,MATCH(A19,Inventory!$D$2:$D$201,0)),""))</f>
        <v/>
      </c>
      <c r="D19" s="82" t="str">
        <f t="array" ref="D19">IF(A19="","",IFERROR(INDEX('Location Master'!$A$2:$A$202,MATCH(A19,'Location Master'!$E$2:$E$202,0)),""))</f>
        <v/>
      </c>
      <c r="E19" s="82" t="str">
        <f t="array" ref="E19">IF(A19="","",IFERROR(INDEX('Location Master'!$B$2:$B$202,MATCH(A19,'Location Master'!$E$2:$E$202,0)),""))</f>
        <v/>
      </c>
      <c r="F19" s="82" t="str">
        <f t="array" ref="F19">IF(A19="","",IFERROR(INDEX('Location Master'!$C$2:$C$202,MATCH(A19,'Location Master'!$E$2:$E$202,0)),""))</f>
        <v/>
      </c>
      <c r="G19" s="82" t="str">
        <f t="array" ref="G19">IF(A19="","",IFERROR(INDEX('Location Master'!$D$2:$D$202,MATCH(A19,'Location Master'!$E$2:$E$202,0)),""))</f>
        <v/>
      </c>
      <c r="H19" s="82"/>
    </row>
    <row r="20" ht="24.0" customHeight="1">
      <c r="A20" s="135" t="str">
        <f>IF('Location Master'!E21="","",'Location Master'!E21)</f>
        <v/>
      </c>
      <c r="B20" s="133" t="str">
        <f t="array" ref="B20">IF(A20="","",IFERROR(INDEX(Inventory!$B$2:$B$201,MATCH(A20,Inventory!$D$2:$D$201,0)),""))</f>
        <v/>
      </c>
      <c r="C20" s="88" t="str">
        <f t="array" ref="C20">IF(A20="","",IFERROR(INDEX(Inventory!$C$2:$C$201,MATCH(A20,Inventory!$D$2:$D$201,0)),""))</f>
        <v/>
      </c>
      <c r="D20" s="88" t="str">
        <f t="array" ref="D20">IF(A20="","",IFERROR(INDEX('Location Master'!$A$2:$A$202,MATCH(A20,'Location Master'!$E$2:$E$202,0)),""))</f>
        <v/>
      </c>
      <c r="E20" s="88" t="str">
        <f t="array" ref="E20">IF(A20="","",IFERROR(INDEX('Location Master'!$B$2:$B$202,MATCH(A20,'Location Master'!$E$2:$E$202,0)),""))</f>
        <v/>
      </c>
      <c r="F20" s="88" t="str">
        <f t="array" ref="F20">IF(A20="","",IFERROR(INDEX('Location Master'!$C$2:$C$202,MATCH(A20,'Location Master'!$E$2:$E$202,0)),""))</f>
        <v/>
      </c>
      <c r="G20" s="88" t="str">
        <f t="array" ref="G20">IF(A20="","",IFERROR(INDEX('Location Master'!$D$2:$D$202,MATCH(A20,'Location Master'!$E$2:$E$202,0)),""))</f>
        <v/>
      </c>
      <c r="H20" s="88"/>
    </row>
    <row r="21" ht="24.0" customHeight="1">
      <c r="A21" s="132" t="str">
        <f>IF('Location Master'!E22="","",'Location Master'!E22)</f>
        <v/>
      </c>
      <c r="B21" s="130" t="str">
        <f t="array" ref="B21">IF(A21="","",IFERROR(INDEX(Inventory!$B$2:$B$201,MATCH(A21,Inventory!$D$2:$D$201,0)),""))</f>
        <v/>
      </c>
      <c r="C21" s="82" t="str">
        <f t="array" ref="C21">IF(A21="","",IFERROR(INDEX(Inventory!$C$2:$C$201,MATCH(A21,Inventory!$D$2:$D$201,0)),""))</f>
        <v/>
      </c>
      <c r="D21" s="82" t="str">
        <f t="array" ref="D21">IF(A21="","",IFERROR(INDEX('Location Master'!$A$2:$A$202,MATCH(A21,'Location Master'!$E$2:$E$202,0)),""))</f>
        <v/>
      </c>
      <c r="E21" s="82" t="str">
        <f t="array" ref="E21">IF(A21="","",IFERROR(INDEX('Location Master'!$B$2:$B$202,MATCH(A21,'Location Master'!$E$2:$E$202,0)),""))</f>
        <v/>
      </c>
      <c r="F21" s="82" t="str">
        <f t="array" ref="F21">IF(A21="","",IFERROR(INDEX('Location Master'!$C$2:$C$202,MATCH(A21,'Location Master'!$E$2:$E$202,0)),""))</f>
        <v/>
      </c>
      <c r="G21" s="82" t="str">
        <f t="array" ref="G21">IF(A21="","",IFERROR(INDEX('Location Master'!$D$2:$D$202,MATCH(A21,'Location Master'!$E$2:$E$202,0)),""))</f>
        <v/>
      </c>
      <c r="H21" s="82"/>
    </row>
    <row r="22" ht="24.0" customHeight="1">
      <c r="A22" s="135" t="str">
        <f>IF('Location Master'!E23="","",'Location Master'!E23)</f>
        <v/>
      </c>
      <c r="B22" s="133" t="str">
        <f t="array" ref="B22">IF(A22="","",IFERROR(INDEX(Inventory!$B$2:$B$201,MATCH(A22,Inventory!$D$2:$D$201,0)),""))</f>
        <v/>
      </c>
      <c r="C22" s="88" t="str">
        <f t="array" ref="C22">IF(A22="","",IFERROR(INDEX(Inventory!$C$2:$C$201,MATCH(A22,Inventory!$D$2:$D$201,0)),""))</f>
        <v/>
      </c>
      <c r="D22" s="88" t="str">
        <f t="array" ref="D22">IF(A22="","",IFERROR(INDEX('Location Master'!$A$2:$A$202,MATCH(A22,'Location Master'!$E$2:$E$202,0)),""))</f>
        <v/>
      </c>
      <c r="E22" s="88" t="str">
        <f t="array" ref="E22">IF(A22="","",IFERROR(INDEX('Location Master'!$B$2:$B$202,MATCH(A22,'Location Master'!$E$2:$E$202,0)),""))</f>
        <v/>
      </c>
      <c r="F22" s="88" t="str">
        <f t="array" ref="F22">IF(A22="","",IFERROR(INDEX('Location Master'!$C$2:$C$202,MATCH(A22,'Location Master'!$E$2:$E$202,0)),""))</f>
        <v/>
      </c>
      <c r="G22" s="88" t="str">
        <f t="array" ref="G22">IF(A22="","",IFERROR(INDEX('Location Master'!$D$2:$D$202,MATCH(A22,'Location Master'!$E$2:$E$202,0)),""))</f>
        <v/>
      </c>
      <c r="H22" s="88"/>
    </row>
    <row r="23" ht="24.0" customHeight="1">
      <c r="A23" s="132" t="str">
        <f>IF('Location Master'!E24="","",'Location Master'!E24)</f>
        <v/>
      </c>
      <c r="B23" s="130" t="str">
        <f t="array" ref="B23">IF(A23="","",IFERROR(INDEX(Inventory!$B$2:$B$201,MATCH(A23,Inventory!$D$2:$D$201,0)),""))</f>
        <v/>
      </c>
      <c r="C23" s="82" t="str">
        <f t="array" ref="C23">IF(A23="","",IFERROR(INDEX(Inventory!$C$2:$C$201,MATCH(A23,Inventory!$D$2:$D$201,0)),""))</f>
        <v/>
      </c>
      <c r="D23" s="82" t="str">
        <f t="array" ref="D23">IF(A23="","",IFERROR(INDEX('Location Master'!$A$2:$A$202,MATCH(A23,'Location Master'!$E$2:$E$202,0)),""))</f>
        <v/>
      </c>
      <c r="E23" s="82" t="str">
        <f t="array" ref="E23">IF(A23="","",IFERROR(INDEX('Location Master'!$B$2:$B$202,MATCH(A23,'Location Master'!$E$2:$E$202,0)),""))</f>
        <v/>
      </c>
      <c r="F23" s="82" t="str">
        <f t="array" ref="F23">IF(A23="","",IFERROR(INDEX('Location Master'!$C$2:$C$202,MATCH(A23,'Location Master'!$E$2:$E$202,0)),""))</f>
        <v/>
      </c>
      <c r="G23" s="82" t="str">
        <f t="array" ref="G23">IF(A23="","",IFERROR(INDEX('Location Master'!$D$2:$D$202,MATCH(A23,'Location Master'!$E$2:$E$202,0)),""))</f>
        <v/>
      </c>
      <c r="H23" s="82"/>
    </row>
    <row r="24" ht="24.0" customHeight="1">
      <c r="A24" s="135" t="str">
        <f>IF('Location Master'!E25="","",'Location Master'!E25)</f>
        <v/>
      </c>
      <c r="B24" s="133" t="str">
        <f t="array" ref="B24">IF(A24="","",IFERROR(INDEX(Inventory!$B$2:$B$201,MATCH(A24,Inventory!$D$2:$D$201,0)),""))</f>
        <v/>
      </c>
      <c r="C24" s="88" t="str">
        <f t="array" ref="C24">IF(A24="","",IFERROR(INDEX(Inventory!$C$2:$C$201,MATCH(A24,Inventory!$D$2:$D$201,0)),""))</f>
        <v/>
      </c>
      <c r="D24" s="88" t="str">
        <f t="array" ref="D24">IF(A24="","",IFERROR(INDEX('Location Master'!$A$2:$A$202,MATCH(A24,'Location Master'!$E$2:$E$202,0)),""))</f>
        <v/>
      </c>
      <c r="E24" s="88" t="str">
        <f t="array" ref="E24">IF(A24="","",IFERROR(INDEX('Location Master'!$B$2:$B$202,MATCH(A24,'Location Master'!$E$2:$E$202,0)),""))</f>
        <v/>
      </c>
      <c r="F24" s="88" t="str">
        <f t="array" ref="F24">IF(A24="","",IFERROR(INDEX('Location Master'!$C$2:$C$202,MATCH(A24,'Location Master'!$E$2:$E$202,0)),""))</f>
        <v/>
      </c>
      <c r="G24" s="88" t="str">
        <f t="array" ref="G24">IF(A24="","",IFERROR(INDEX('Location Master'!$D$2:$D$202,MATCH(A24,'Location Master'!$E$2:$E$202,0)),""))</f>
        <v/>
      </c>
      <c r="H24" s="88"/>
    </row>
    <row r="25" ht="24.0" customHeight="1">
      <c r="A25" s="132" t="str">
        <f>IF('Location Master'!E26="","",'Location Master'!E26)</f>
        <v/>
      </c>
      <c r="B25" s="130" t="str">
        <f t="array" ref="B25">IF(A25="","",IFERROR(INDEX(Inventory!$B$2:$B$201,MATCH(A25,Inventory!$D$2:$D$201,0)),""))</f>
        <v/>
      </c>
      <c r="C25" s="82" t="str">
        <f t="array" ref="C25">IF(A25="","",IFERROR(INDEX(Inventory!$C$2:$C$201,MATCH(A25,Inventory!$D$2:$D$201,0)),""))</f>
        <v/>
      </c>
      <c r="D25" s="82" t="str">
        <f t="array" ref="D25">IF(A25="","",IFERROR(INDEX('Location Master'!$A$2:$A$202,MATCH(A25,'Location Master'!$E$2:$E$202,0)),""))</f>
        <v/>
      </c>
      <c r="E25" s="82" t="str">
        <f t="array" ref="E25">IF(A25="","",IFERROR(INDEX('Location Master'!$B$2:$B$202,MATCH(A25,'Location Master'!$E$2:$E$202,0)),""))</f>
        <v/>
      </c>
      <c r="F25" s="82" t="str">
        <f t="array" ref="F25">IF(A25="","",IFERROR(INDEX('Location Master'!$C$2:$C$202,MATCH(A25,'Location Master'!$E$2:$E$202,0)),""))</f>
        <v/>
      </c>
      <c r="G25" s="82" t="str">
        <f t="array" ref="G25">IF(A25="","",IFERROR(INDEX('Location Master'!$D$2:$D$202,MATCH(A25,'Location Master'!$E$2:$E$202,0)),""))</f>
        <v/>
      </c>
      <c r="H25" s="82"/>
    </row>
    <row r="26" ht="24.0" customHeight="1">
      <c r="A26" s="135" t="str">
        <f>IF('Location Master'!E27="","",'Location Master'!E27)</f>
        <v/>
      </c>
      <c r="B26" s="133" t="str">
        <f t="array" ref="B26">IF(A26="","",IFERROR(INDEX(Inventory!$B$2:$B$201,MATCH(A26,Inventory!$D$2:$D$201,0)),""))</f>
        <v/>
      </c>
      <c r="C26" s="88" t="str">
        <f t="array" ref="C26">IF(A26="","",IFERROR(INDEX(Inventory!$C$2:$C$201,MATCH(A26,Inventory!$D$2:$D$201,0)),""))</f>
        <v/>
      </c>
      <c r="D26" s="88" t="str">
        <f t="array" ref="D26">IF(A26="","",IFERROR(INDEX('Location Master'!$A$2:$A$202,MATCH(A26,'Location Master'!$E$2:$E$202,0)),""))</f>
        <v/>
      </c>
      <c r="E26" s="88" t="str">
        <f t="array" ref="E26">IF(A26="","",IFERROR(INDEX('Location Master'!$B$2:$B$202,MATCH(A26,'Location Master'!$E$2:$E$202,0)),""))</f>
        <v/>
      </c>
      <c r="F26" s="88" t="str">
        <f t="array" ref="F26">IF(A26="","",IFERROR(INDEX('Location Master'!$C$2:$C$202,MATCH(A26,'Location Master'!$E$2:$E$202,0)),""))</f>
        <v/>
      </c>
      <c r="G26" s="88" t="str">
        <f t="array" ref="G26">IF(A26="","",IFERROR(INDEX('Location Master'!$D$2:$D$202,MATCH(A26,'Location Master'!$E$2:$E$202,0)),""))</f>
        <v/>
      </c>
      <c r="H26" s="88"/>
    </row>
    <row r="27" ht="24.0" customHeight="1">
      <c r="A27" s="132" t="str">
        <f>IF('Location Master'!E28="","",'Location Master'!E28)</f>
        <v/>
      </c>
      <c r="B27" s="130" t="str">
        <f t="array" ref="B27">IF(A27="","",IFERROR(INDEX(Inventory!$B$2:$B$201,MATCH(A27,Inventory!$D$2:$D$201,0)),""))</f>
        <v/>
      </c>
      <c r="C27" s="82" t="str">
        <f t="array" ref="C27">IF(A27="","",IFERROR(INDEX(Inventory!$C$2:$C$201,MATCH(A27,Inventory!$D$2:$D$201,0)),""))</f>
        <v/>
      </c>
      <c r="D27" s="82" t="str">
        <f t="array" ref="D27">IF(A27="","",IFERROR(INDEX('Location Master'!$A$2:$A$202,MATCH(A27,'Location Master'!$E$2:$E$202,0)),""))</f>
        <v/>
      </c>
      <c r="E27" s="82" t="str">
        <f t="array" ref="E27">IF(A27="","",IFERROR(INDEX('Location Master'!$B$2:$B$202,MATCH(A27,'Location Master'!$E$2:$E$202,0)),""))</f>
        <v/>
      </c>
      <c r="F27" s="82" t="str">
        <f t="array" ref="F27">IF(A27="","",IFERROR(INDEX('Location Master'!$C$2:$C$202,MATCH(A27,'Location Master'!$E$2:$E$202,0)),""))</f>
        <v/>
      </c>
      <c r="G27" s="82" t="str">
        <f t="array" ref="G27">IF(A27="","",IFERROR(INDEX('Location Master'!$D$2:$D$202,MATCH(A27,'Location Master'!$E$2:$E$202,0)),""))</f>
        <v/>
      </c>
      <c r="H27" s="82"/>
    </row>
    <row r="28" ht="24.0" customHeight="1">
      <c r="A28" s="135" t="str">
        <f>IF('Location Master'!E29="","",'Location Master'!E29)</f>
        <v/>
      </c>
      <c r="B28" s="133" t="str">
        <f t="array" ref="B28">IF(A28="","",IFERROR(INDEX(Inventory!$B$2:$B$201,MATCH(A28,Inventory!$D$2:$D$201,0)),""))</f>
        <v/>
      </c>
      <c r="C28" s="88" t="str">
        <f t="array" ref="C28">IF(A28="","",IFERROR(INDEX(Inventory!$C$2:$C$201,MATCH(A28,Inventory!$D$2:$D$201,0)),""))</f>
        <v/>
      </c>
      <c r="D28" s="88" t="str">
        <f t="array" ref="D28">IF(A28="","",IFERROR(INDEX('Location Master'!$A$2:$A$202,MATCH(A28,'Location Master'!$E$2:$E$202,0)),""))</f>
        <v/>
      </c>
      <c r="E28" s="88" t="str">
        <f t="array" ref="E28">IF(A28="","",IFERROR(INDEX('Location Master'!$B$2:$B$202,MATCH(A28,'Location Master'!$E$2:$E$202,0)),""))</f>
        <v/>
      </c>
      <c r="F28" s="88" t="str">
        <f t="array" ref="F28">IF(A28="","",IFERROR(INDEX('Location Master'!$C$2:$C$202,MATCH(A28,'Location Master'!$E$2:$E$202,0)),""))</f>
        <v/>
      </c>
      <c r="G28" s="88" t="str">
        <f t="array" ref="G28">IF(A28="","",IFERROR(INDEX('Location Master'!$D$2:$D$202,MATCH(A28,'Location Master'!$E$2:$E$202,0)),""))</f>
        <v/>
      </c>
      <c r="H28" s="88"/>
    </row>
    <row r="29" ht="24.0" customHeight="1">
      <c r="A29" s="132" t="str">
        <f>IF('Location Master'!E30="","",'Location Master'!E30)</f>
        <v/>
      </c>
      <c r="B29" s="130" t="str">
        <f t="array" ref="B29">IF(A29="","",IFERROR(INDEX(Inventory!$B$2:$B$201,MATCH(A29,Inventory!$D$2:$D$201,0)),""))</f>
        <v/>
      </c>
      <c r="C29" s="82" t="str">
        <f t="array" ref="C29">IF(A29="","",IFERROR(INDEX(Inventory!$C$2:$C$201,MATCH(A29,Inventory!$D$2:$D$201,0)),""))</f>
        <v/>
      </c>
      <c r="D29" s="82" t="str">
        <f t="array" ref="D29">IF(A29="","",IFERROR(INDEX('Location Master'!$A$2:$A$202,MATCH(A29,'Location Master'!$E$2:$E$202,0)),""))</f>
        <v/>
      </c>
      <c r="E29" s="82" t="str">
        <f t="array" ref="E29">IF(A29="","",IFERROR(INDEX('Location Master'!$B$2:$B$202,MATCH(A29,'Location Master'!$E$2:$E$202,0)),""))</f>
        <v/>
      </c>
      <c r="F29" s="82" t="str">
        <f t="array" ref="F29">IF(A29="","",IFERROR(INDEX('Location Master'!$C$2:$C$202,MATCH(A29,'Location Master'!$E$2:$E$202,0)),""))</f>
        <v/>
      </c>
      <c r="G29" s="82" t="str">
        <f t="array" ref="G29">IF(A29="","",IFERROR(INDEX('Location Master'!$D$2:$D$202,MATCH(A29,'Location Master'!$E$2:$E$202,0)),""))</f>
        <v/>
      </c>
      <c r="H29" s="82"/>
    </row>
    <row r="30" ht="24.0" customHeight="1">
      <c r="A30" s="135" t="str">
        <f>IF('Location Master'!E31="","",'Location Master'!E31)</f>
        <v/>
      </c>
      <c r="B30" s="133" t="str">
        <f t="array" ref="B30">IF(A30="","",IFERROR(INDEX(Inventory!$B$2:$B$201,MATCH(A30,Inventory!$D$2:$D$201,0)),""))</f>
        <v/>
      </c>
      <c r="C30" s="88" t="str">
        <f t="array" ref="C30">IF(A30="","",IFERROR(INDEX(Inventory!$C$2:$C$201,MATCH(A30,Inventory!$D$2:$D$201,0)),""))</f>
        <v/>
      </c>
      <c r="D30" s="88" t="str">
        <f t="array" ref="D30">IF(A30="","",IFERROR(INDEX('Location Master'!$A$2:$A$202,MATCH(A30,'Location Master'!$E$2:$E$202,0)),""))</f>
        <v/>
      </c>
      <c r="E30" s="88" t="str">
        <f t="array" ref="E30">IF(A30="","",IFERROR(INDEX('Location Master'!$B$2:$B$202,MATCH(A30,'Location Master'!$E$2:$E$202,0)),""))</f>
        <v/>
      </c>
      <c r="F30" s="88" t="str">
        <f t="array" ref="F30">IF(A30="","",IFERROR(INDEX('Location Master'!$C$2:$C$202,MATCH(A30,'Location Master'!$E$2:$E$202,0)),""))</f>
        <v/>
      </c>
      <c r="G30" s="88" t="str">
        <f t="array" ref="G30">IF(A30="","",IFERROR(INDEX('Location Master'!$D$2:$D$202,MATCH(A30,'Location Master'!$E$2:$E$202,0)),""))</f>
        <v/>
      </c>
      <c r="H30" s="88"/>
    </row>
    <row r="31" ht="24.0" customHeight="1">
      <c r="A31" s="132" t="str">
        <f>IF('Location Master'!E32="","",'Location Master'!E32)</f>
        <v/>
      </c>
      <c r="B31" s="130" t="str">
        <f t="array" ref="B31">IF(A31="","",IFERROR(INDEX(Inventory!$B$2:$B$201,MATCH(A31,Inventory!$D$2:$D$201,0)),""))</f>
        <v/>
      </c>
      <c r="C31" s="82" t="str">
        <f t="array" ref="C31">IF(A31="","",IFERROR(INDEX(Inventory!$C$2:$C$201,MATCH(A31,Inventory!$D$2:$D$201,0)),""))</f>
        <v/>
      </c>
      <c r="D31" s="82" t="str">
        <f t="array" ref="D31">IF(A31="","",IFERROR(INDEX('Location Master'!$A$2:$A$202,MATCH(A31,'Location Master'!$E$2:$E$202,0)),""))</f>
        <v/>
      </c>
      <c r="E31" s="82" t="str">
        <f t="array" ref="E31">IF(A31="","",IFERROR(INDEX('Location Master'!$B$2:$B$202,MATCH(A31,'Location Master'!$E$2:$E$202,0)),""))</f>
        <v/>
      </c>
      <c r="F31" s="82" t="str">
        <f t="array" ref="F31">IF(A31="","",IFERROR(INDEX('Location Master'!$C$2:$C$202,MATCH(A31,'Location Master'!$E$2:$E$202,0)),""))</f>
        <v/>
      </c>
      <c r="G31" s="82" t="str">
        <f t="array" ref="G31">IF(A31="","",IFERROR(INDEX('Location Master'!$D$2:$D$202,MATCH(A31,'Location Master'!$E$2:$E$202,0)),""))</f>
        <v/>
      </c>
      <c r="H31" s="82"/>
    </row>
    <row r="32" ht="24.0" customHeight="1">
      <c r="A32" s="135" t="str">
        <f>IF('Location Master'!E33="","",'Location Master'!E33)</f>
        <v/>
      </c>
      <c r="B32" s="133" t="str">
        <f t="array" ref="B32">IF(A32="","",IFERROR(INDEX(Inventory!$B$2:$B$201,MATCH(A32,Inventory!$D$2:$D$201,0)),""))</f>
        <v/>
      </c>
      <c r="C32" s="88" t="str">
        <f t="array" ref="C32">IF(A32="","",IFERROR(INDEX(Inventory!$C$2:$C$201,MATCH(A32,Inventory!$D$2:$D$201,0)),""))</f>
        <v/>
      </c>
      <c r="D32" s="88" t="str">
        <f t="array" ref="D32">IF(A32="","",IFERROR(INDEX('Location Master'!$A$2:$A$202,MATCH(A32,'Location Master'!$E$2:$E$202,0)),""))</f>
        <v/>
      </c>
      <c r="E32" s="88" t="str">
        <f t="array" ref="E32">IF(A32="","",IFERROR(INDEX('Location Master'!$B$2:$B$202,MATCH(A32,'Location Master'!$E$2:$E$202,0)),""))</f>
        <v/>
      </c>
      <c r="F32" s="88" t="str">
        <f t="array" ref="F32">IF(A32="","",IFERROR(INDEX('Location Master'!$C$2:$C$202,MATCH(A32,'Location Master'!$E$2:$E$202,0)),""))</f>
        <v/>
      </c>
      <c r="G32" s="88" t="str">
        <f t="array" ref="G32">IF(A32="","",IFERROR(INDEX('Location Master'!$D$2:$D$202,MATCH(A32,'Location Master'!$E$2:$E$202,0)),""))</f>
        <v/>
      </c>
      <c r="H32" s="88"/>
    </row>
    <row r="33" ht="24.0" customHeight="1">
      <c r="A33" s="132" t="str">
        <f>IF('Location Master'!E34="","",'Location Master'!E34)</f>
        <v/>
      </c>
      <c r="B33" s="130" t="str">
        <f t="array" ref="B33">IF(A33="","",IFERROR(INDEX(Inventory!$B$2:$B$201,MATCH(A33,Inventory!$D$2:$D$201,0)),""))</f>
        <v/>
      </c>
      <c r="C33" s="82" t="str">
        <f t="array" ref="C33">IF(A33="","",IFERROR(INDEX(Inventory!$C$2:$C$201,MATCH(A33,Inventory!$D$2:$D$201,0)),""))</f>
        <v/>
      </c>
      <c r="D33" s="82" t="str">
        <f t="array" ref="D33">IF(A33="","",IFERROR(INDEX('Location Master'!$A$2:$A$202,MATCH(A33,'Location Master'!$E$2:$E$202,0)),""))</f>
        <v/>
      </c>
      <c r="E33" s="82" t="str">
        <f t="array" ref="E33">IF(A33="","",IFERROR(INDEX('Location Master'!$B$2:$B$202,MATCH(A33,'Location Master'!$E$2:$E$202,0)),""))</f>
        <v/>
      </c>
      <c r="F33" s="82" t="str">
        <f t="array" ref="F33">IF(A33="","",IFERROR(INDEX('Location Master'!$C$2:$C$202,MATCH(A33,'Location Master'!$E$2:$E$202,0)),""))</f>
        <v/>
      </c>
      <c r="G33" s="82" t="str">
        <f t="array" ref="G33">IF(A33="","",IFERROR(INDEX('Location Master'!$D$2:$D$202,MATCH(A33,'Location Master'!$E$2:$E$202,0)),""))</f>
        <v/>
      </c>
      <c r="H33" s="82"/>
    </row>
    <row r="34" ht="24.0" customHeight="1">
      <c r="A34" s="135" t="str">
        <f>IF('Location Master'!E35="","",'Location Master'!E35)</f>
        <v/>
      </c>
      <c r="B34" s="133" t="str">
        <f t="array" ref="B34">IF(A34="","",IFERROR(INDEX(Inventory!$B$2:$B$201,MATCH(A34,Inventory!$D$2:$D$201,0)),""))</f>
        <v/>
      </c>
      <c r="C34" s="88" t="str">
        <f t="array" ref="C34">IF(A34="","",IFERROR(INDEX(Inventory!$C$2:$C$201,MATCH(A34,Inventory!$D$2:$D$201,0)),""))</f>
        <v/>
      </c>
      <c r="D34" s="88" t="str">
        <f t="array" ref="D34">IF(A34="","",IFERROR(INDEX('Location Master'!$A$2:$A$202,MATCH(A34,'Location Master'!$E$2:$E$202,0)),""))</f>
        <v/>
      </c>
      <c r="E34" s="88" t="str">
        <f t="array" ref="E34">IF(A34="","",IFERROR(INDEX('Location Master'!$B$2:$B$202,MATCH(A34,'Location Master'!$E$2:$E$202,0)),""))</f>
        <v/>
      </c>
      <c r="F34" s="88" t="str">
        <f t="array" ref="F34">IF(A34="","",IFERROR(INDEX('Location Master'!$C$2:$C$202,MATCH(A34,'Location Master'!$E$2:$E$202,0)),""))</f>
        <v/>
      </c>
      <c r="G34" s="88" t="str">
        <f t="array" ref="G34">IF(A34="","",IFERROR(INDEX('Location Master'!$D$2:$D$202,MATCH(A34,'Location Master'!$E$2:$E$202,0)),""))</f>
        <v/>
      </c>
      <c r="H34" s="88"/>
    </row>
    <row r="35" ht="24.0" customHeight="1">
      <c r="A35" s="132" t="str">
        <f>IF('Location Master'!E36="","",'Location Master'!E36)</f>
        <v/>
      </c>
      <c r="B35" s="130" t="str">
        <f t="array" ref="B35">IF(A35="","",IFERROR(INDEX(Inventory!$B$2:$B$201,MATCH(A35,Inventory!$D$2:$D$201,0)),""))</f>
        <v/>
      </c>
      <c r="C35" s="82" t="str">
        <f t="array" ref="C35">IF(A35="","",IFERROR(INDEX(Inventory!$C$2:$C$201,MATCH(A35,Inventory!$D$2:$D$201,0)),""))</f>
        <v/>
      </c>
      <c r="D35" s="82" t="str">
        <f t="array" ref="D35">IF(A35="","",IFERROR(INDEX('Location Master'!$A$2:$A$202,MATCH(A35,'Location Master'!$E$2:$E$202,0)),""))</f>
        <v/>
      </c>
      <c r="E35" s="82" t="str">
        <f t="array" ref="E35">IF(A35="","",IFERROR(INDEX('Location Master'!$B$2:$B$202,MATCH(A35,'Location Master'!$E$2:$E$202,0)),""))</f>
        <v/>
      </c>
      <c r="F35" s="82" t="str">
        <f t="array" ref="F35">IF(A35="","",IFERROR(INDEX('Location Master'!$C$2:$C$202,MATCH(A35,'Location Master'!$E$2:$E$202,0)),""))</f>
        <v/>
      </c>
      <c r="G35" s="82" t="str">
        <f t="array" ref="G35">IF(A35="","",IFERROR(INDEX('Location Master'!$D$2:$D$202,MATCH(A35,'Location Master'!$E$2:$E$202,0)),""))</f>
        <v/>
      </c>
      <c r="H35" s="82"/>
    </row>
    <row r="36" ht="24.0" customHeight="1">
      <c r="A36" s="135" t="str">
        <f>IF('Location Master'!E37="","",'Location Master'!E37)</f>
        <v/>
      </c>
      <c r="B36" s="133" t="str">
        <f t="array" ref="B36">IF(A36="","",IFERROR(INDEX(Inventory!$B$2:$B$201,MATCH(A36,Inventory!$D$2:$D$201,0)),""))</f>
        <v/>
      </c>
      <c r="C36" s="88" t="str">
        <f t="array" ref="C36">IF(A36="","",IFERROR(INDEX(Inventory!$C$2:$C$201,MATCH(A36,Inventory!$D$2:$D$201,0)),""))</f>
        <v/>
      </c>
      <c r="D36" s="88" t="str">
        <f t="array" ref="D36">IF(A36="","",IFERROR(INDEX('Location Master'!$A$2:$A$202,MATCH(A36,'Location Master'!$E$2:$E$202,0)),""))</f>
        <v/>
      </c>
      <c r="E36" s="88" t="str">
        <f t="array" ref="E36">IF(A36="","",IFERROR(INDEX('Location Master'!$B$2:$B$202,MATCH(A36,'Location Master'!$E$2:$E$202,0)),""))</f>
        <v/>
      </c>
      <c r="F36" s="88" t="str">
        <f t="array" ref="F36">IF(A36="","",IFERROR(INDEX('Location Master'!$C$2:$C$202,MATCH(A36,'Location Master'!$E$2:$E$202,0)),""))</f>
        <v/>
      </c>
      <c r="G36" s="88" t="str">
        <f t="array" ref="G36">IF(A36="","",IFERROR(INDEX('Location Master'!$D$2:$D$202,MATCH(A36,'Location Master'!$E$2:$E$202,0)),""))</f>
        <v/>
      </c>
      <c r="H36" s="88"/>
    </row>
    <row r="37" ht="24.0" customHeight="1">
      <c r="A37" s="132" t="str">
        <f>IF('Location Master'!E38="","",'Location Master'!E38)</f>
        <v/>
      </c>
      <c r="B37" s="130" t="str">
        <f t="array" ref="B37">IF(A37="","",IFERROR(INDEX(Inventory!$B$2:$B$201,MATCH(A37,Inventory!$D$2:$D$201,0)),""))</f>
        <v/>
      </c>
      <c r="C37" s="82" t="str">
        <f t="array" ref="C37">IF(A37="","",IFERROR(INDEX(Inventory!$C$2:$C$201,MATCH(A37,Inventory!$D$2:$D$201,0)),""))</f>
        <v/>
      </c>
      <c r="D37" s="82" t="str">
        <f t="array" ref="D37">IF(A37="","",IFERROR(INDEX('Location Master'!$A$2:$A$202,MATCH(A37,'Location Master'!$E$2:$E$202,0)),""))</f>
        <v/>
      </c>
      <c r="E37" s="82" t="str">
        <f t="array" ref="E37">IF(A37="","",IFERROR(INDEX('Location Master'!$B$2:$B$202,MATCH(A37,'Location Master'!$E$2:$E$202,0)),""))</f>
        <v/>
      </c>
      <c r="F37" s="82" t="str">
        <f t="array" ref="F37">IF(A37="","",IFERROR(INDEX('Location Master'!$C$2:$C$202,MATCH(A37,'Location Master'!$E$2:$E$202,0)),""))</f>
        <v/>
      </c>
      <c r="G37" s="82" t="str">
        <f t="array" ref="G37">IF(A37="","",IFERROR(INDEX('Location Master'!$D$2:$D$202,MATCH(A37,'Location Master'!$E$2:$E$202,0)),""))</f>
        <v/>
      </c>
      <c r="H37" s="82"/>
    </row>
    <row r="38" ht="24.0" customHeight="1">
      <c r="A38" s="135" t="str">
        <f>IF('Location Master'!E39="","",'Location Master'!E39)</f>
        <v/>
      </c>
      <c r="B38" s="133" t="str">
        <f t="array" ref="B38">IF(A38="","",IFERROR(INDEX(Inventory!$B$2:$B$201,MATCH(A38,Inventory!$D$2:$D$201,0)),""))</f>
        <v/>
      </c>
      <c r="C38" s="88" t="str">
        <f t="array" ref="C38">IF(A38="","",IFERROR(INDEX(Inventory!$C$2:$C$201,MATCH(A38,Inventory!$D$2:$D$201,0)),""))</f>
        <v/>
      </c>
      <c r="D38" s="88" t="str">
        <f t="array" ref="D38">IF(A38="","",IFERROR(INDEX('Location Master'!$A$2:$A$202,MATCH(A38,'Location Master'!$E$2:$E$202,0)),""))</f>
        <v/>
      </c>
      <c r="E38" s="88" t="str">
        <f t="array" ref="E38">IF(A38="","",IFERROR(INDEX('Location Master'!$B$2:$B$202,MATCH(A38,'Location Master'!$E$2:$E$202,0)),""))</f>
        <v/>
      </c>
      <c r="F38" s="88" t="str">
        <f t="array" ref="F38">IF(A38="","",IFERROR(INDEX('Location Master'!$C$2:$C$202,MATCH(A38,'Location Master'!$E$2:$E$202,0)),""))</f>
        <v/>
      </c>
      <c r="G38" s="88" t="str">
        <f t="array" ref="G38">IF(A38="","",IFERROR(INDEX('Location Master'!$D$2:$D$202,MATCH(A38,'Location Master'!$E$2:$E$202,0)),""))</f>
        <v/>
      </c>
      <c r="H38" s="88"/>
    </row>
    <row r="39" ht="24.0" customHeight="1">
      <c r="A39" s="132" t="str">
        <f>IF('Location Master'!E40="","",'Location Master'!E40)</f>
        <v/>
      </c>
      <c r="B39" s="130" t="str">
        <f t="array" ref="B39">IF(A39="","",IFERROR(INDEX(Inventory!$B$2:$B$201,MATCH(A39,Inventory!$D$2:$D$201,0)),""))</f>
        <v/>
      </c>
      <c r="C39" s="82" t="str">
        <f t="array" ref="C39">IF(A39="","",IFERROR(INDEX(Inventory!$C$2:$C$201,MATCH(A39,Inventory!$D$2:$D$201,0)),""))</f>
        <v/>
      </c>
      <c r="D39" s="82" t="str">
        <f t="array" ref="D39">IF(A39="","",IFERROR(INDEX('Location Master'!$A$2:$A$202,MATCH(A39,'Location Master'!$E$2:$E$202,0)),""))</f>
        <v/>
      </c>
      <c r="E39" s="82" t="str">
        <f t="array" ref="E39">IF(A39="","",IFERROR(INDEX('Location Master'!$B$2:$B$202,MATCH(A39,'Location Master'!$E$2:$E$202,0)),""))</f>
        <v/>
      </c>
      <c r="F39" s="82" t="str">
        <f t="array" ref="F39">IF(A39="","",IFERROR(INDEX('Location Master'!$C$2:$C$202,MATCH(A39,'Location Master'!$E$2:$E$202,0)),""))</f>
        <v/>
      </c>
      <c r="G39" s="82" t="str">
        <f t="array" ref="G39">IF(A39="","",IFERROR(INDEX('Location Master'!$D$2:$D$202,MATCH(A39,'Location Master'!$E$2:$E$202,0)),""))</f>
        <v/>
      </c>
      <c r="H39" s="82"/>
    </row>
    <row r="40" ht="24.0" customHeight="1">
      <c r="A40" s="135" t="str">
        <f>IF('Location Master'!E41="","",'Location Master'!E41)</f>
        <v/>
      </c>
      <c r="B40" s="133" t="str">
        <f t="array" ref="B40">IF(A40="","",IFERROR(INDEX(Inventory!$B$2:$B$201,MATCH(A40,Inventory!$D$2:$D$201,0)),""))</f>
        <v/>
      </c>
      <c r="C40" s="88" t="str">
        <f t="array" ref="C40">IF(A40="","",IFERROR(INDEX(Inventory!$C$2:$C$201,MATCH(A40,Inventory!$D$2:$D$201,0)),""))</f>
        <v/>
      </c>
      <c r="D40" s="88" t="str">
        <f t="array" ref="D40">IF(A40="","",IFERROR(INDEX('Location Master'!$A$2:$A$202,MATCH(A40,'Location Master'!$E$2:$E$202,0)),""))</f>
        <v/>
      </c>
      <c r="E40" s="88" t="str">
        <f t="array" ref="E40">IF(A40="","",IFERROR(INDEX('Location Master'!$B$2:$B$202,MATCH(A40,'Location Master'!$E$2:$E$202,0)),""))</f>
        <v/>
      </c>
      <c r="F40" s="88" t="str">
        <f t="array" ref="F40">IF(A40="","",IFERROR(INDEX('Location Master'!$C$2:$C$202,MATCH(A40,'Location Master'!$E$2:$E$202,0)),""))</f>
        <v/>
      </c>
      <c r="G40" s="88" t="str">
        <f t="array" ref="G40">IF(A40="","",IFERROR(INDEX('Location Master'!$D$2:$D$202,MATCH(A40,'Location Master'!$E$2:$E$202,0)),""))</f>
        <v/>
      </c>
      <c r="H40" s="88"/>
    </row>
    <row r="41" ht="24.0" customHeight="1">
      <c r="A41" s="132" t="str">
        <f>IF('Location Master'!E42="","",'Location Master'!E42)</f>
        <v/>
      </c>
      <c r="B41" s="130" t="str">
        <f t="array" ref="B41">IF(A41="","",IFERROR(INDEX(Inventory!$B$2:$B$201,MATCH(A41,Inventory!$D$2:$D$201,0)),""))</f>
        <v/>
      </c>
      <c r="C41" s="82" t="str">
        <f t="array" ref="C41">IF(A41="","",IFERROR(INDEX(Inventory!$C$2:$C$201,MATCH(A41,Inventory!$D$2:$D$201,0)),""))</f>
        <v/>
      </c>
      <c r="D41" s="82" t="str">
        <f t="array" ref="D41">IF(A41="","",IFERROR(INDEX('Location Master'!$A$2:$A$202,MATCH(A41,'Location Master'!$E$2:$E$202,0)),""))</f>
        <v/>
      </c>
      <c r="E41" s="82" t="str">
        <f t="array" ref="E41">IF(A41="","",IFERROR(INDEX('Location Master'!$B$2:$B$202,MATCH(A41,'Location Master'!$E$2:$E$202,0)),""))</f>
        <v/>
      </c>
      <c r="F41" s="82" t="str">
        <f t="array" ref="F41">IF(A41="","",IFERROR(INDEX('Location Master'!$C$2:$C$202,MATCH(A41,'Location Master'!$E$2:$E$202,0)),""))</f>
        <v/>
      </c>
      <c r="G41" s="82" t="str">
        <f t="array" ref="G41">IF(A41="","",IFERROR(INDEX('Location Master'!$D$2:$D$202,MATCH(A41,'Location Master'!$E$2:$E$202,0)),""))</f>
        <v/>
      </c>
      <c r="H41" s="82"/>
    </row>
    <row r="42" ht="24.0" customHeight="1">
      <c r="A42" s="135" t="str">
        <f>IF('Location Master'!E43="","",'Location Master'!E43)</f>
        <v/>
      </c>
      <c r="B42" s="133" t="str">
        <f t="array" ref="B42">IF(A42="","",IFERROR(INDEX(Inventory!$B$2:$B$201,MATCH(A42,Inventory!$D$2:$D$201,0)),""))</f>
        <v/>
      </c>
      <c r="C42" s="88" t="str">
        <f t="array" ref="C42">IF(A42="","",IFERROR(INDEX(Inventory!$C$2:$C$201,MATCH(A42,Inventory!$D$2:$D$201,0)),""))</f>
        <v/>
      </c>
      <c r="D42" s="88" t="str">
        <f t="array" ref="D42">IF(A42="","",IFERROR(INDEX('Location Master'!$A$2:$A$202,MATCH(A42,'Location Master'!$E$2:$E$202,0)),""))</f>
        <v/>
      </c>
      <c r="E42" s="88" t="str">
        <f t="array" ref="E42">IF(A42="","",IFERROR(INDEX('Location Master'!$B$2:$B$202,MATCH(A42,'Location Master'!$E$2:$E$202,0)),""))</f>
        <v/>
      </c>
      <c r="F42" s="88" t="str">
        <f t="array" ref="F42">IF(A42="","",IFERROR(INDEX('Location Master'!$C$2:$C$202,MATCH(A42,'Location Master'!$E$2:$E$202,0)),""))</f>
        <v/>
      </c>
      <c r="G42" s="88" t="str">
        <f t="array" ref="G42">IF(A42="","",IFERROR(INDEX('Location Master'!$D$2:$D$202,MATCH(A42,'Location Master'!$E$2:$E$202,0)),""))</f>
        <v/>
      </c>
      <c r="H42" s="88"/>
    </row>
    <row r="43" ht="24.0" customHeight="1">
      <c r="A43" s="132" t="str">
        <f>IF('Location Master'!E44="","",'Location Master'!E44)</f>
        <v/>
      </c>
      <c r="B43" s="130" t="str">
        <f t="array" ref="B43">IF(A43="","",IFERROR(INDEX(Inventory!$B$2:$B$201,MATCH(A43,Inventory!$D$2:$D$201,0)),""))</f>
        <v/>
      </c>
      <c r="C43" s="82" t="str">
        <f t="array" ref="C43">IF(A43="","",IFERROR(INDEX(Inventory!$C$2:$C$201,MATCH(A43,Inventory!$D$2:$D$201,0)),""))</f>
        <v/>
      </c>
      <c r="D43" s="82" t="str">
        <f t="array" ref="D43">IF(A43="","",IFERROR(INDEX('Location Master'!$A$2:$A$202,MATCH(A43,'Location Master'!$E$2:$E$202,0)),""))</f>
        <v/>
      </c>
      <c r="E43" s="82" t="str">
        <f t="array" ref="E43">IF(A43="","",IFERROR(INDEX('Location Master'!$B$2:$B$202,MATCH(A43,'Location Master'!$E$2:$E$202,0)),""))</f>
        <v/>
      </c>
      <c r="F43" s="82" t="str">
        <f t="array" ref="F43">IF(A43="","",IFERROR(INDEX('Location Master'!$C$2:$C$202,MATCH(A43,'Location Master'!$E$2:$E$202,0)),""))</f>
        <v/>
      </c>
      <c r="G43" s="82" t="str">
        <f t="array" ref="G43">IF(A43="","",IFERROR(INDEX('Location Master'!$D$2:$D$202,MATCH(A43,'Location Master'!$E$2:$E$202,0)),""))</f>
        <v/>
      </c>
      <c r="H43" s="82"/>
    </row>
    <row r="44" ht="24.0" customHeight="1">
      <c r="A44" s="135" t="str">
        <f>IF('Location Master'!E45="","",'Location Master'!E45)</f>
        <v/>
      </c>
      <c r="B44" s="133" t="str">
        <f t="array" ref="B44">IF(A44="","",IFERROR(INDEX(Inventory!$B$2:$B$201,MATCH(A44,Inventory!$D$2:$D$201,0)),""))</f>
        <v/>
      </c>
      <c r="C44" s="88" t="str">
        <f t="array" ref="C44">IF(A44="","",IFERROR(INDEX(Inventory!$C$2:$C$201,MATCH(A44,Inventory!$D$2:$D$201,0)),""))</f>
        <v/>
      </c>
      <c r="D44" s="88" t="str">
        <f t="array" ref="D44">IF(A44="","",IFERROR(INDEX('Location Master'!$A$2:$A$202,MATCH(A44,'Location Master'!$E$2:$E$202,0)),""))</f>
        <v/>
      </c>
      <c r="E44" s="88" t="str">
        <f t="array" ref="E44">IF(A44="","",IFERROR(INDEX('Location Master'!$B$2:$B$202,MATCH(A44,'Location Master'!$E$2:$E$202,0)),""))</f>
        <v/>
      </c>
      <c r="F44" s="88" t="str">
        <f t="array" ref="F44">IF(A44="","",IFERROR(INDEX('Location Master'!$C$2:$C$202,MATCH(A44,'Location Master'!$E$2:$E$202,0)),""))</f>
        <v/>
      </c>
      <c r="G44" s="88" t="str">
        <f t="array" ref="G44">IF(A44="","",IFERROR(INDEX('Location Master'!$D$2:$D$202,MATCH(A44,'Location Master'!$E$2:$E$202,0)),""))</f>
        <v/>
      </c>
      <c r="H44" s="88"/>
    </row>
    <row r="45" ht="24.0" customHeight="1">
      <c r="A45" s="132" t="str">
        <f>IF('Location Master'!E46="","",'Location Master'!E46)</f>
        <v/>
      </c>
      <c r="B45" s="130" t="str">
        <f t="array" ref="B45">IF(A45="","",IFERROR(INDEX(Inventory!$B$2:$B$201,MATCH(A45,Inventory!$D$2:$D$201,0)),""))</f>
        <v/>
      </c>
      <c r="C45" s="82" t="str">
        <f t="array" ref="C45">IF(A45="","",IFERROR(INDEX(Inventory!$C$2:$C$201,MATCH(A45,Inventory!$D$2:$D$201,0)),""))</f>
        <v/>
      </c>
      <c r="D45" s="82" t="str">
        <f t="array" ref="D45">IF(A45="","",IFERROR(INDEX('Location Master'!$A$2:$A$202,MATCH(A45,'Location Master'!$E$2:$E$202,0)),""))</f>
        <v/>
      </c>
      <c r="E45" s="82" t="str">
        <f t="array" ref="E45">IF(A45="","",IFERROR(INDEX('Location Master'!$B$2:$B$202,MATCH(A45,'Location Master'!$E$2:$E$202,0)),""))</f>
        <v/>
      </c>
      <c r="F45" s="82" t="str">
        <f t="array" ref="F45">IF(A45="","",IFERROR(INDEX('Location Master'!$C$2:$C$202,MATCH(A45,'Location Master'!$E$2:$E$202,0)),""))</f>
        <v/>
      </c>
      <c r="G45" s="82" t="str">
        <f t="array" ref="G45">IF(A45="","",IFERROR(INDEX('Location Master'!$D$2:$D$202,MATCH(A45,'Location Master'!$E$2:$E$202,0)),""))</f>
        <v/>
      </c>
      <c r="H45" s="82"/>
    </row>
    <row r="46" ht="24.0" customHeight="1">
      <c r="A46" s="135" t="str">
        <f>IF('Location Master'!E47="","",'Location Master'!E47)</f>
        <v/>
      </c>
      <c r="B46" s="133" t="str">
        <f t="array" ref="B46">IF(A46="","",IFERROR(INDEX(Inventory!$B$2:$B$201,MATCH(A46,Inventory!$D$2:$D$201,0)),""))</f>
        <v/>
      </c>
      <c r="C46" s="88" t="str">
        <f t="array" ref="C46">IF(A46="","",IFERROR(INDEX(Inventory!$C$2:$C$201,MATCH(A46,Inventory!$D$2:$D$201,0)),""))</f>
        <v/>
      </c>
      <c r="D46" s="88" t="str">
        <f t="array" ref="D46">IF(A46="","",IFERROR(INDEX('Location Master'!$A$2:$A$202,MATCH(A46,'Location Master'!$E$2:$E$202,0)),""))</f>
        <v/>
      </c>
      <c r="E46" s="88" t="str">
        <f t="array" ref="E46">IF(A46="","",IFERROR(INDEX('Location Master'!$B$2:$B$202,MATCH(A46,'Location Master'!$E$2:$E$202,0)),""))</f>
        <v/>
      </c>
      <c r="F46" s="88" t="str">
        <f t="array" ref="F46">IF(A46="","",IFERROR(INDEX('Location Master'!$C$2:$C$202,MATCH(A46,'Location Master'!$E$2:$E$202,0)),""))</f>
        <v/>
      </c>
      <c r="G46" s="88" t="str">
        <f t="array" ref="G46">IF(A46="","",IFERROR(INDEX('Location Master'!$D$2:$D$202,MATCH(A46,'Location Master'!$E$2:$E$202,0)),""))</f>
        <v/>
      </c>
      <c r="H46" s="88"/>
    </row>
    <row r="47" ht="24.0" customHeight="1">
      <c r="A47" s="132" t="str">
        <f>IF('Location Master'!E48="","",'Location Master'!E48)</f>
        <v/>
      </c>
      <c r="B47" s="130" t="str">
        <f t="array" ref="B47">IF(A47="","",IFERROR(INDEX(Inventory!$B$2:$B$201,MATCH(A47,Inventory!$D$2:$D$201,0)),""))</f>
        <v/>
      </c>
      <c r="C47" s="82" t="str">
        <f t="array" ref="C47">IF(A47="","",IFERROR(INDEX(Inventory!$C$2:$C$201,MATCH(A47,Inventory!$D$2:$D$201,0)),""))</f>
        <v/>
      </c>
      <c r="D47" s="82" t="str">
        <f t="array" ref="D47">IF(A47="","",IFERROR(INDEX('Location Master'!$A$2:$A$202,MATCH(A47,'Location Master'!$E$2:$E$202,0)),""))</f>
        <v/>
      </c>
      <c r="E47" s="82" t="str">
        <f t="array" ref="E47">IF(A47="","",IFERROR(INDEX('Location Master'!$B$2:$B$202,MATCH(A47,'Location Master'!$E$2:$E$202,0)),""))</f>
        <v/>
      </c>
      <c r="F47" s="82" t="str">
        <f t="array" ref="F47">IF(A47="","",IFERROR(INDEX('Location Master'!$C$2:$C$202,MATCH(A47,'Location Master'!$E$2:$E$202,0)),""))</f>
        <v/>
      </c>
      <c r="G47" s="82" t="str">
        <f t="array" ref="G47">IF(A47="","",IFERROR(INDEX('Location Master'!$D$2:$D$202,MATCH(A47,'Location Master'!$E$2:$E$202,0)),""))</f>
        <v/>
      </c>
      <c r="H47" s="82"/>
    </row>
    <row r="48" ht="24.0" customHeight="1">
      <c r="A48" s="135" t="str">
        <f>IF('Location Master'!E49="","",'Location Master'!E49)</f>
        <v/>
      </c>
      <c r="B48" s="133" t="str">
        <f t="array" ref="B48">IF(A48="","",IFERROR(INDEX(Inventory!$B$2:$B$201,MATCH(A48,Inventory!$D$2:$D$201,0)),""))</f>
        <v/>
      </c>
      <c r="C48" s="88" t="str">
        <f t="array" ref="C48">IF(A48="","",IFERROR(INDEX(Inventory!$C$2:$C$201,MATCH(A48,Inventory!$D$2:$D$201,0)),""))</f>
        <v/>
      </c>
      <c r="D48" s="88" t="str">
        <f t="array" ref="D48">IF(A48="","",IFERROR(INDEX('Location Master'!$A$2:$A$202,MATCH(A48,'Location Master'!$E$2:$E$202,0)),""))</f>
        <v/>
      </c>
      <c r="E48" s="88" t="str">
        <f t="array" ref="E48">IF(A48="","",IFERROR(INDEX('Location Master'!$B$2:$B$202,MATCH(A48,'Location Master'!$E$2:$E$202,0)),""))</f>
        <v/>
      </c>
      <c r="F48" s="88" t="str">
        <f t="array" ref="F48">IF(A48="","",IFERROR(INDEX('Location Master'!$C$2:$C$202,MATCH(A48,'Location Master'!$E$2:$E$202,0)),""))</f>
        <v/>
      </c>
      <c r="G48" s="88" t="str">
        <f t="array" ref="G48">IF(A48="","",IFERROR(INDEX('Location Master'!$D$2:$D$202,MATCH(A48,'Location Master'!$E$2:$E$202,0)),""))</f>
        <v/>
      </c>
      <c r="H48" s="88"/>
    </row>
    <row r="49" ht="24.0" customHeight="1">
      <c r="A49" s="132" t="str">
        <f>IF('Location Master'!E50="","",'Location Master'!E50)</f>
        <v/>
      </c>
      <c r="B49" s="130" t="str">
        <f t="array" ref="B49">IF(A49="","",IFERROR(INDEX(Inventory!$B$2:$B$201,MATCH(A49,Inventory!$D$2:$D$201,0)),""))</f>
        <v/>
      </c>
      <c r="C49" s="82" t="str">
        <f t="array" ref="C49">IF(A49="","",IFERROR(INDEX(Inventory!$C$2:$C$201,MATCH(A49,Inventory!$D$2:$D$201,0)),""))</f>
        <v/>
      </c>
      <c r="D49" s="82" t="str">
        <f t="array" ref="D49">IF(A49="","",IFERROR(INDEX('Location Master'!$A$2:$A$202,MATCH(A49,'Location Master'!$E$2:$E$202,0)),""))</f>
        <v/>
      </c>
      <c r="E49" s="82" t="str">
        <f t="array" ref="E49">IF(A49="","",IFERROR(INDEX('Location Master'!$B$2:$B$202,MATCH(A49,'Location Master'!$E$2:$E$202,0)),""))</f>
        <v/>
      </c>
      <c r="F49" s="82" t="str">
        <f t="array" ref="F49">IF(A49="","",IFERROR(INDEX('Location Master'!$C$2:$C$202,MATCH(A49,'Location Master'!$E$2:$E$202,0)),""))</f>
        <v/>
      </c>
      <c r="G49" s="82" t="str">
        <f t="array" ref="G49">IF(A49="","",IFERROR(INDEX('Location Master'!$D$2:$D$202,MATCH(A49,'Location Master'!$E$2:$E$202,0)),""))</f>
        <v/>
      </c>
      <c r="H49" s="82"/>
    </row>
    <row r="50" ht="24.0" customHeight="1">
      <c r="A50" s="135" t="str">
        <f>IF('Location Master'!E51="","",'Location Master'!E51)</f>
        <v/>
      </c>
      <c r="B50" s="133" t="str">
        <f t="array" ref="B50">IF(A50="","",IFERROR(INDEX(Inventory!$B$2:$B$201,MATCH(A50,Inventory!$D$2:$D$201,0)),""))</f>
        <v/>
      </c>
      <c r="C50" s="88" t="str">
        <f t="array" ref="C50">IF(A50="","",IFERROR(INDEX(Inventory!$C$2:$C$201,MATCH(A50,Inventory!$D$2:$D$201,0)),""))</f>
        <v/>
      </c>
      <c r="D50" s="88" t="str">
        <f t="array" ref="D50">IF(A50="","",IFERROR(INDEX('Location Master'!$A$2:$A$202,MATCH(A50,'Location Master'!$E$2:$E$202,0)),""))</f>
        <v/>
      </c>
      <c r="E50" s="88" t="str">
        <f t="array" ref="E50">IF(A50="","",IFERROR(INDEX('Location Master'!$B$2:$B$202,MATCH(A50,'Location Master'!$E$2:$E$202,0)),""))</f>
        <v/>
      </c>
      <c r="F50" s="88" t="str">
        <f t="array" ref="F50">IF(A50="","",IFERROR(INDEX('Location Master'!$C$2:$C$202,MATCH(A50,'Location Master'!$E$2:$E$202,0)),""))</f>
        <v/>
      </c>
      <c r="G50" s="88" t="str">
        <f t="array" ref="G50">IF(A50="","",IFERROR(INDEX('Location Master'!$D$2:$D$202,MATCH(A50,'Location Master'!$E$2:$E$202,0)),""))</f>
        <v/>
      </c>
      <c r="H50" s="88"/>
    </row>
    <row r="51" ht="24.0" customHeight="1">
      <c r="A51" s="132" t="str">
        <f>IF('Location Master'!E52="","",'Location Master'!E52)</f>
        <v/>
      </c>
      <c r="B51" s="130" t="str">
        <f t="array" ref="B51">IF(A51="","",IFERROR(INDEX(Inventory!$B$2:$B$201,MATCH(A51,Inventory!$D$2:$D$201,0)),""))</f>
        <v/>
      </c>
      <c r="C51" s="82" t="str">
        <f t="array" ref="C51">IF(A51="","",IFERROR(INDEX(Inventory!$C$2:$C$201,MATCH(A51,Inventory!$D$2:$D$201,0)),""))</f>
        <v/>
      </c>
      <c r="D51" s="82" t="str">
        <f t="array" ref="D51">IF(A51="","",IFERROR(INDEX('Location Master'!$A$2:$A$202,MATCH(A51,'Location Master'!$E$2:$E$202,0)),""))</f>
        <v/>
      </c>
      <c r="E51" s="82" t="str">
        <f t="array" ref="E51">IF(A51="","",IFERROR(INDEX('Location Master'!$B$2:$B$202,MATCH(A51,'Location Master'!$E$2:$E$202,0)),""))</f>
        <v/>
      </c>
      <c r="F51" s="82" t="str">
        <f t="array" ref="F51">IF(A51="","",IFERROR(INDEX('Location Master'!$C$2:$C$202,MATCH(A51,'Location Master'!$E$2:$E$202,0)),""))</f>
        <v/>
      </c>
      <c r="G51" s="82" t="str">
        <f t="array" ref="G51">IF(A51="","",IFERROR(INDEX('Location Master'!$D$2:$D$202,MATCH(A51,'Location Master'!$E$2:$E$202,0)),""))</f>
        <v/>
      </c>
      <c r="H51" s="82"/>
    </row>
    <row r="52" ht="24.0" customHeight="1">
      <c r="A52" s="135" t="str">
        <f>IF('Location Master'!E53="","",'Location Master'!E53)</f>
        <v/>
      </c>
      <c r="B52" s="133" t="str">
        <f t="array" ref="B52">IF(A52="","",IFERROR(INDEX(Inventory!$B$2:$B$201,MATCH(A52,Inventory!$D$2:$D$201,0)),""))</f>
        <v/>
      </c>
      <c r="C52" s="88" t="str">
        <f t="array" ref="C52">IF(A52="","",IFERROR(INDEX(Inventory!$C$2:$C$201,MATCH(A52,Inventory!$D$2:$D$201,0)),""))</f>
        <v/>
      </c>
      <c r="D52" s="88" t="str">
        <f t="array" ref="D52">IF(A52="","",IFERROR(INDEX('Location Master'!$A$2:$A$202,MATCH(A52,'Location Master'!$E$2:$E$202,0)),""))</f>
        <v/>
      </c>
      <c r="E52" s="88" t="str">
        <f t="array" ref="E52">IF(A52="","",IFERROR(INDEX('Location Master'!$B$2:$B$202,MATCH(A52,'Location Master'!$E$2:$E$202,0)),""))</f>
        <v/>
      </c>
      <c r="F52" s="88" t="str">
        <f t="array" ref="F52">IF(A52="","",IFERROR(INDEX('Location Master'!$C$2:$C$202,MATCH(A52,'Location Master'!$E$2:$E$202,0)),""))</f>
        <v/>
      </c>
      <c r="G52" s="88" t="str">
        <f t="array" ref="G52">IF(A52="","",IFERROR(INDEX('Location Master'!$D$2:$D$202,MATCH(A52,'Location Master'!$E$2:$E$202,0)),""))</f>
        <v/>
      </c>
      <c r="H52" s="88"/>
    </row>
    <row r="53" ht="24.0" customHeight="1">
      <c r="A53" s="132" t="str">
        <f>IF('Location Master'!E54="","",'Location Master'!E54)</f>
        <v/>
      </c>
      <c r="B53" s="130" t="str">
        <f t="array" ref="B53">IF(A53="","",IFERROR(INDEX(Inventory!$B$2:$B$201,MATCH(A53,Inventory!$D$2:$D$201,0)),""))</f>
        <v/>
      </c>
      <c r="C53" s="82" t="str">
        <f t="array" ref="C53">IF(A53="","",IFERROR(INDEX(Inventory!$C$2:$C$201,MATCH(A53,Inventory!$D$2:$D$201,0)),""))</f>
        <v/>
      </c>
      <c r="D53" s="82" t="str">
        <f t="array" ref="D53">IF(A53="","",IFERROR(INDEX('Location Master'!$A$2:$A$202,MATCH(A53,'Location Master'!$E$2:$E$202,0)),""))</f>
        <v/>
      </c>
      <c r="E53" s="82" t="str">
        <f t="array" ref="E53">IF(A53="","",IFERROR(INDEX('Location Master'!$B$2:$B$202,MATCH(A53,'Location Master'!$E$2:$E$202,0)),""))</f>
        <v/>
      </c>
      <c r="F53" s="82" t="str">
        <f t="array" ref="F53">IF(A53="","",IFERROR(INDEX('Location Master'!$C$2:$C$202,MATCH(A53,'Location Master'!$E$2:$E$202,0)),""))</f>
        <v/>
      </c>
      <c r="G53" s="82" t="str">
        <f t="array" ref="G53">IF(A53="","",IFERROR(INDEX('Location Master'!$D$2:$D$202,MATCH(A53,'Location Master'!$E$2:$E$202,0)),""))</f>
        <v/>
      </c>
      <c r="H53" s="82"/>
    </row>
    <row r="54" ht="24.0" customHeight="1">
      <c r="A54" s="135" t="str">
        <f>IF('Location Master'!E55="","",'Location Master'!E55)</f>
        <v/>
      </c>
      <c r="B54" s="133" t="str">
        <f t="array" ref="B54">IF(A54="","",IFERROR(INDEX(Inventory!$B$2:$B$201,MATCH(A54,Inventory!$D$2:$D$201,0)),""))</f>
        <v/>
      </c>
      <c r="C54" s="88" t="str">
        <f t="array" ref="C54">IF(A54="","",IFERROR(INDEX(Inventory!$C$2:$C$201,MATCH(A54,Inventory!$D$2:$D$201,0)),""))</f>
        <v/>
      </c>
      <c r="D54" s="88" t="str">
        <f t="array" ref="D54">IF(A54="","",IFERROR(INDEX('Location Master'!$A$2:$A$202,MATCH(A54,'Location Master'!$E$2:$E$202,0)),""))</f>
        <v/>
      </c>
      <c r="E54" s="88" t="str">
        <f t="array" ref="E54">IF(A54="","",IFERROR(INDEX('Location Master'!$B$2:$B$202,MATCH(A54,'Location Master'!$E$2:$E$202,0)),""))</f>
        <v/>
      </c>
      <c r="F54" s="88" t="str">
        <f t="array" ref="F54">IF(A54="","",IFERROR(INDEX('Location Master'!$C$2:$C$202,MATCH(A54,'Location Master'!$E$2:$E$202,0)),""))</f>
        <v/>
      </c>
      <c r="G54" s="88" t="str">
        <f t="array" ref="G54">IF(A54="","",IFERROR(INDEX('Location Master'!$D$2:$D$202,MATCH(A54,'Location Master'!$E$2:$E$202,0)),""))</f>
        <v/>
      </c>
      <c r="H54" s="88"/>
    </row>
    <row r="55" ht="24.0" customHeight="1">
      <c r="A55" s="132" t="str">
        <f>IF('Location Master'!E56="","",'Location Master'!E56)</f>
        <v/>
      </c>
      <c r="B55" s="130" t="str">
        <f t="array" ref="B55">IF(A55="","",IFERROR(INDEX(Inventory!$B$2:$B$201,MATCH(A55,Inventory!$D$2:$D$201,0)),""))</f>
        <v/>
      </c>
      <c r="C55" s="82" t="str">
        <f t="array" ref="C55">IF(A55="","",IFERROR(INDEX(Inventory!$C$2:$C$201,MATCH(A55,Inventory!$D$2:$D$201,0)),""))</f>
        <v/>
      </c>
      <c r="D55" s="82" t="str">
        <f t="array" ref="D55">IF(A55="","",IFERROR(INDEX('Location Master'!$A$2:$A$202,MATCH(A55,'Location Master'!$E$2:$E$202,0)),""))</f>
        <v/>
      </c>
      <c r="E55" s="82" t="str">
        <f t="array" ref="E55">IF(A55="","",IFERROR(INDEX('Location Master'!$B$2:$B$202,MATCH(A55,'Location Master'!$E$2:$E$202,0)),""))</f>
        <v/>
      </c>
      <c r="F55" s="82" t="str">
        <f t="array" ref="F55">IF(A55="","",IFERROR(INDEX('Location Master'!$C$2:$C$202,MATCH(A55,'Location Master'!$E$2:$E$202,0)),""))</f>
        <v/>
      </c>
      <c r="G55" s="82" t="str">
        <f t="array" ref="G55">IF(A55="","",IFERROR(INDEX('Location Master'!$D$2:$D$202,MATCH(A55,'Location Master'!$E$2:$E$202,0)),""))</f>
        <v/>
      </c>
      <c r="H55" s="82"/>
    </row>
    <row r="56" ht="24.0" customHeight="1">
      <c r="A56" s="135" t="str">
        <f>IF('Location Master'!E57="","",'Location Master'!E57)</f>
        <v/>
      </c>
      <c r="B56" s="133" t="str">
        <f t="array" ref="B56">IF(A56="","",IFERROR(INDEX(Inventory!$B$2:$B$201,MATCH(A56,Inventory!$D$2:$D$201,0)),""))</f>
        <v/>
      </c>
      <c r="C56" s="88" t="str">
        <f t="array" ref="C56">IF(A56="","",IFERROR(INDEX(Inventory!$C$2:$C$201,MATCH(A56,Inventory!$D$2:$D$201,0)),""))</f>
        <v/>
      </c>
      <c r="D56" s="88" t="str">
        <f t="array" ref="D56">IF(A56="","",IFERROR(INDEX('Location Master'!$A$2:$A$202,MATCH(A56,'Location Master'!$E$2:$E$202,0)),""))</f>
        <v/>
      </c>
      <c r="E56" s="88" t="str">
        <f t="array" ref="E56">IF(A56="","",IFERROR(INDEX('Location Master'!$B$2:$B$202,MATCH(A56,'Location Master'!$E$2:$E$202,0)),""))</f>
        <v/>
      </c>
      <c r="F56" s="88" t="str">
        <f t="array" ref="F56">IF(A56="","",IFERROR(INDEX('Location Master'!$C$2:$C$202,MATCH(A56,'Location Master'!$E$2:$E$202,0)),""))</f>
        <v/>
      </c>
      <c r="G56" s="88" t="str">
        <f t="array" ref="G56">IF(A56="","",IFERROR(INDEX('Location Master'!$D$2:$D$202,MATCH(A56,'Location Master'!$E$2:$E$202,0)),""))</f>
        <v/>
      </c>
      <c r="H56" s="88"/>
    </row>
    <row r="57" ht="24.0" customHeight="1">
      <c r="A57" s="132" t="str">
        <f>IF('Location Master'!E58="","",'Location Master'!E58)</f>
        <v/>
      </c>
      <c r="B57" s="130" t="str">
        <f t="array" ref="B57">IF(A57="","",IFERROR(INDEX(Inventory!$B$2:$B$201,MATCH(A57,Inventory!$D$2:$D$201,0)),""))</f>
        <v/>
      </c>
      <c r="C57" s="82" t="str">
        <f t="array" ref="C57">IF(A57="","",IFERROR(INDEX(Inventory!$C$2:$C$201,MATCH(A57,Inventory!$D$2:$D$201,0)),""))</f>
        <v/>
      </c>
      <c r="D57" s="82" t="str">
        <f t="array" ref="D57">IF(A57="","",IFERROR(INDEX('Location Master'!$A$2:$A$202,MATCH(A57,'Location Master'!$E$2:$E$202,0)),""))</f>
        <v/>
      </c>
      <c r="E57" s="82" t="str">
        <f t="array" ref="E57">IF(A57="","",IFERROR(INDEX('Location Master'!$B$2:$B$202,MATCH(A57,'Location Master'!$E$2:$E$202,0)),""))</f>
        <v/>
      </c>
      <c r="F57" s="82" t="str">
        <f t="array" ref="F57">IF(A57="","",IFERROR(INDEX('Location Master'!$C$2:$C$202,MATCH(A57,'Location Master'!$E$2:$E$202,0)),""))</f>
        <v/>
      </c>
      <c r="G57" s="82" t="str">
        <f t="array" ref="G57">IF(A57="","",IFERROR(INDEX('Location Master'!$D$2:$D$202,MATCH(A57,'Location Master'!$E$2:$E$202,0)),""))</f>
        <v/>
      </c>
      <c r="H57" s="82"/>
    </row>
    <row r="58" ht="24.0" customHeight="1">
      <c r="A58" s="135" t="str">
        <f>IF('Location Master'!E59="","",'Location Master'!E59)</f>
        <v/>
      </c>
      <c r="B58" s="133" t="str">
        <f t="array" ref="B58">IF(A58="","",IFERROR(INDEX(Inventory!$B$2:$B$201,MATCH(A58,Inventory!$D$2:$D$201,0)),""))</f>
        <v/>
      </c>
      <c r="C58" s="88" t="str">
        <f t="array" ref="C58">IF(A58="","",IFERROR(INDEX(Inventory!$C$2:$C$201,MATCH(A58,Inventory!$D$2:$D$201,0)),""))</f>
        <v/>
      </c>
      <c r="D58" s="88" t="str">
        <f t="array" ref="D58">IF(A58="","",IFERROR(INDEX('Location Master'!$A$2:$A$202,MATCH(A58,'Location Master'!$E$2:$E$202,0)),""))</f>
        <v/>
      </c>
      <c r="E58" s="88" t="str">
        <f t="array" ref="E58">IF(A58="","",IFERROR(INDEX('Location Master'!$B$2:$B$202,MATCH(A58,'Location Master'!$E$2:$E$202,0)),""))</f>
        <v/>
      </c>
      <c r="F58" s="88" t="str">
        <f t="array" ref="F58">IF(A58="","",IFERROR(INDEX('Location Master'!$C$2:$C$202,MATCH(A58,'Location Master'!$E$2:$E$202,0)),""))</f>
        <v/>
      </c>
      <c r="G58" s="88" t="str">
        <f t="array" ref="G58">IF(A58="","",IFERROR(INDEX('Location Master'!$D$2:$D$202,MATCH(A58,'Location Master'!$E$2:$E$202,0)),""))</f>
        <v/>
      </c>
      <c r="H58" s="88"/>
    </row>
    <row r="59" ht="24.0" customHeight="1">
      <c r="A59" s="132" t="str">
        <f>IF('Location Master'!E60="","",'Location Master'!E60)</f>
        <v/>
      </c>
      <c r="B59" s="130" t="str">
        <f t="array" ref="B59">IF(A59="","",IFERROR(INDEX(Inventory!$B$2:$B$201,MATCH(A59,Inventory!$D$2:$D$201,0)),""))</f>
        <v/>
      </c>
      <c r="C59" s="82" t="str">
        <f t="array" ref="C59">IF(A59="","",IFERROR(INDEX(Inventory!$C$2:$C$201,MATCH(A59,Inventory!$D$2:$D$201,0)),""))</f>
        <v/>
      </c>
      <c r="D59" s="82" t="str">
        <f t="array" ref="D59">IF(A59="","",IFERROR(INDEX('Location Master'!$A$2:$A$202,MATCH(A59,'Location Master'!$E$2:$E$202,0)),""))</f>
        <v/>
      </c>
      <c r="E59" s="82" t="str">
        <f t="array" ref="E59">IF(A59="","",IFERROR(INDEX('Location Master'!$B$2:$B$202,MATCH(A59,'Location Master'!$E$2:$E$202,0)),""))</f>
        <v/>
      </c>
      <c r="F59" s="82" t="str">
        <f t="array" ref="F59">IF(A59="","",IFERROR(INDEX('Location Master'!$C$2:$C$202,MATCH(A59,'Location Master'!$E$2:$E$202,0)),""))</f>
        <v/>
      </c>
      <c r="G59" s="82" t="str">
        <f t="array" ref="G59">IF(A59="","",IFERROR(INDEX('Location Master'!$D$2:$D$202,MATCH(A59,'Location Master'!$E$2:$E$202,0)),""))</f>
        <v/>
      </c>
      <c r="H59" s="82"/>
    </row>
    <row r="60" ht="24.0" customHeight="1">
      <c r="A60" s="135" t="str">
        <f>IF('Location Master'!E61="","",'Location Master'!E61)</f>
        <v/>
      </c>
      <c r="B60" s="133" t="str">
        <f t="array" ref="B60">IF(A60="","",IFERROR(INDEX(Inventory!$B$2:$B$201,MATCH(A60,Inventory!$D$2:$D$201,0)),""))</f>
        <v/>
      </c>
      <c r="C60" s="88" t="str">
        <f t="array" ref="C60">IF(A60="","",IFERROR(INDEX(Inventory!$C$2:$C$201,MATCH(A60,Inventory!$D$2:$D$201,0)),""))</f>
        <v/>
      </c>
      <c r="D60" s="88" t="str">
        <f t="array" ref="D60">IF(A60="","",IFERROR(INDEX('Location Master'!$A$2:$A$202,MATCH(A60,'Location Master'!$E$2:$E$202,0)),""))</f>
        <v/>
      </c>
      <c r="E60" s="88" t="str">
        <f t="array" ref="E60">IF(A60="","",IFERROR(INDEX('Location Master'!$B$2:$B$202,MATCH(A60,'Location Master'!$E$2:$E$202,0)),""))</f>
        <v/>
      </c>
      <c r="F60" s="88" t="str">
        <f t="array" ref="F60">IF(A60="","",IFERROR(INDEX('Location Master'!$C$2:$C$202,MATCH(A60,'Location Master'!$E$2:$E$202,0)),""))</f>
        <v/>
      </c>
      <c r="G60" s="88" t="str">
        <f t="array" ref="G60">IF(A60="","",IFERROR(INDEX('Location Master'!$D$2:$D$202,MATCH(A60,'Location Master'!$E$2:$E$202,0)),""))</f>
        <v/>
      </c>
      <c r="H60" s="88"/>
    </row>
    <row r="61" ht="24.0" customHeight="1">
      <c r="A61" s="132" t="str">
        <f>IF('Location Master'!E62="","",'Location Master'!E62)</f>
        <v/>
      </c>
      <c r="B61" s="130" t="str">
        <f t="array" ref="B61">IF(A61="","",IFERROR(INDEX(Inventory!$B$2:$B$201,MATCH(A61,Inventory!$D$2:$D$201,0)),""))</f>
        <v/>
      </c>
      <c r="C61" s="82" t="str">
        <f t="array" ref="C61">IF(A61="","",IFERROR(INDEX(Inventory!$C$2:$C$201,MATCH(A61,Inventory!$D$2:$D$201,0)),""))</f>
        <v/>
      </c>
      <c r="D61" s="82" t="str">
        <f t="array" ref="D61">IF(A61="","",IFERROR(INDEX('Location Master'!$A$2:$A$202,MATCH(A61,'Location Master'!$E$2:$E$202,0)),""))</f>
        <v/>
      </c>
      <c r="E61" s="82" t="str">
        <f t="array" ref="E61">IF(A61="","",IFERROR(INDEX('Location Master'!$B$2:$B$202,MATCH(A61,'Location Master'!$E$2:$E$202,0)),""))</f>
        <v/>
      </c>
      <c r="F61" s="82" t="str">
        <f t="array" ref="F61">IF(A61="","",IFERROR(INDEX('Location Master'!$C$2:$C$202,MATCH(A61,'Location Master'!$E$2:$E$202,0)),""))</f>
        <v/>
      </c>
      <c r="G61" s="82" t="str">
        <f t="array" ref="G61">IF(A61="","",IFERROR(INDEX('Location Master'!$D$2:$D$202,MATCH(A61,'Location Master'!$E$2:$E$202,0)),""))</f>
        <v/>
      </c>
      <c r="H61" s="82"/>
    </row>
    <row r="62" ht="24.0" customHeight="1">
      <c r="A62" s="135" t="str">
        <f>IF('Location Master'!E63="","",'Location Master'!E63)</f>
        <v/>
      </c>
      <c r="B62" s="133" t="str">
        <f t="array" ref="B62">IF(A62="","",IFERROR(INDEX(Inventory!$B$2:$B$201,MATCH(A62,Inventory!$D$2:$D$201,0)),""))</f>
        <v/>
      </c>
      <c r="C62" s="88" t="str">
        <f t="array" ref="C62">IF(A62="","",IFERROR(INDEX(Inventory!$C$2:$C$201,MATCH(A62,Inventory!$D$2:$D$201,0)),""))</f>
        <v/>
      </c>
      <c r="D62" s="88" t="str">
        <f t="array" ref="D62">IF(A62="","",IFERROR(INDEX('Location Master'!$A$2:$A$202,MATCH(A62,'Location Master'!$E$2:$E$202,0)),""))</f>
        <v/>
      </c>
      <c r="E62" s="88" t="str">
        <f t="array" ref="E62">IF(A62="","",IFERROR(INDEX('Location Master'!$B$2:$B$202,MATCH(A62,'Location Master'!$E$2:$E$202,0)),""))</f>
        <v/>
      </c>
      <c r="F62" s="88" t="str">
        <f t="array" ref="F62">IF(A62="","",IFERROR(INDEX('Location Master'!$C$2:$C$202,MATCH(A62,'Location Master'!$E$2:$E$202,0)),""))</f>
        <v/>
      </c>
      <c r="G62" s="88" t="str">
        <f t="array" ref="G62">IF(A62="","",IFERROR(INDEX('Location Master'!$D$2:$D$202,MATCH(A62,'Location Master'!$E$2:$E$202,0)),""))</f>
        <v/>
      </c>
      <c r="H62" s="88"/>
    </row>
    <row r="63" ht="24.0" customHeight="1">
      <c r="A63" s="132" t="str">
        <f>IF('Location Master'!E64="","",'Location Master'!E64)</f>
        <v/>
      </c>
      <c r="B63" s="130" t="str">
        <f t="array" ref="B63">IF(A63="","",IFERROR(INDEX(Inventory!$B$2:$B$201,MATCH(A63,Inventory!$D$2:$D$201,0)),""))</f>
        <v/>
      </c>
      <c r="C63" s="82" t="str">
        <f t="array" ref="C63">IF(A63="","",IFERROR(INDEX(Inventory!$C$2:$C$201,MATCH(A63,Inventory!$D$2:$D$201,0)),""))</f>
        <v/>
      </c>
      <c r="D63" s="82" t="str">
        <f t="array" ref="D63">IF(A63="","",IFERROR(INDEX('Location Master'!$A$2:$A$202,MATCH(A63,'Location Master'!$E$2:$E$202,0)),""))</f>
        <v/>
      </c>
      <c r="E63" s="82" t="str">
        <f t="array" ref="E63">IF(A63="","",IFERROR(INDEX('Location Master'!$B$2:$B$202,MATCH(A63,'Location Master'!$E$2:$E$202,0)),""))</f>
        <v/>
      </c>
      <c r="F63" s="82" t="str">
        <f t="array" ref="F63">IF(A63="","",IFERROR(INDEX('Location Master'!$C$2:$C$202,MATCH(A63,'Location Master'!$E$2:$E$202,0)),""))</f>
        <v/>
      </c>
      <c r="G63" s="82" t="str">
        <f t="array" ref="G63">IF(A63="","",IFERROR(INDEX('Location Master'!$D$2:$D$202,MATCH(A63,'Location Master'!$E$2:$E$202,0)),""))</f>
        <v/>
      </c>
      <c r="H63" s="82"/>
    </row>
    <row r="64" ht="24.0" customHeight="1">
      <c r="A64" s="135" t="str">
        <f>IF('Location Master'!E65="","",'Location Master'!E65)</f>
        <v/>
      </c>
      <c r="B64" s="133" t="str">
        <f t="array" ref="B64">IF(A64="","",IFERROR(INDEX(Inventory!$B$2:$B$201,MATCH(A64,Inventory!$D$2:$D$201,0)),""))</f>
        <v/>
      </c>
      <c r="C64" s="88" t="str">
        <f t="array" ref="C64">IF(A64="","",IFERROR(INDEX(Inventory!$C$2:$C$201,MATCH(A64,Inventory!$D$2:$D$201,0)),""))</f>
        <v/>
      </c>
      <c r="D64" s="88" t="str">
        <f t="array" ref="D64">IF(A64="","",IFERROR(INDEX('Location Master'!$A$2:$A$202,MATCH(A64,'Location Master'!$E$2:$E$202,0)),""))</f>
        <v/>
      </c>
      <c r="E64" s="88" t="str">
        <f t="array" ref="E64">IF(A64="","",IFERROR(INDEX('Location Master'!$B$2:$B$202,MATCH(A64,'Location Master'!$E$2:$E$202,0)),""))</f>
        <v/>
      </c>
      <c r="F64" s="88" t="str">
        <f t="array" ref="F64">IF(A64="","",IFERROR(INDEX('Location Master'!$C$2:$C$202,MATCH(A64,'Location Master'!$E$2:$E$202,0)),""))</f>
        <v/>
      </c>
      <c r="G64" s="88" t="str">
        <f t="array" ref="G64">IF(A64="","",IFERROR(INDEX('Location Master'!$D$2:$D$202,MATCH(A64,'Location Master'!$E$2:$E$202,0)),""))</f>
        <v/>
      </c>
      <c r="H64" s="88"/>
    </row>
    <row r="65" ht="24.0" customHeight="1">
      <c r="A65" s="132" t="str">
        <f>IF('Location Master'!E66="","",'Location Master'!E66)</f>
        <v/>
      </c>
      <c r="B65" s="130" t="str">
        <f t="array" ref="B65">IF(A65="","",IFERROR(INDEX(Inventory!$B$2:$B$201,MATCH(A65,Inventory!$D$2:$D$201,0)),""))</f>
        <v/>
      </c>
      <c r="C65" s="82" t="str">
        <f t="array" ref="C65">IF(A65="","",IFERROR(INDEX(Inventory!$C$2:$C$201,MATCH(A65,Inventory!$D$2:$D$201,0)),""))</f>
        <v/>
      </c>
      <c r="D65" s="82" t="str">
        <f t="array" ref="D65">IF(A65="","",IFERROR(INDEX('Location Master'!$A$2:$A$202,MATCH(A65,'Location Master'!$E$2:$E$202,0)),""))</f>
        <v/>
      </c>
      <c r="E65" s="82" t="str">
        <f t="array" ref="E65">IF(A65="","",IFERROR(INDEX('Location Master'!$B$2:$B$202,MATCH(A65,'Location Master'!$E$2:$E$202,0)),""))</f>
        <v/>
      </c>
      <c r="F65" s="82" t="str">
        <f t="array" ref="F65">IF(A65="","",IFERROR(INDEX('Location Master'!$C$2:$C$202,MATCH(A65,'Location Master'!$E$2:$E$202,0)),""))</f>
        <v/>
      </c>
      <c r="G65" s="82" t="str">
        <f t="array" ref="G65">IF(A65="","",IFERROR(INDEX('Location Master'!$D$2:$D$202,MATCH(A65,'Location Master'!$E$2:$E$202,0)),""))</f>
        <v/>
      </c>
      <c r="H65" s="82"/>
    </row>
    <row r="66" ht="24.0" customHeight="1">
      <c r="A66" s="135" t="str">
        <f>IF('Location Master'!E67="","",'Location Master'!E67)</f>
        <v/>
      </c>
      <c r="B66" s="133" t="str">
        <f t="array" ref="B66">IF(A66="","",IFERROR(INDEX(Inventory!$B$2:$B$201,MATCH(A66,Inventory!$D$2:$D$201,0)),""))</f>
        <v/>
      </c>
      <c r="C66" s="88" t="str">
        <f t="array" ref="C66">IF(A66="","",IFERROR(INDEX(Inventory!$C$2:$C$201,MATCH(A66,Inventory!$D$2:$D$201,0)),""))</f>
        <v/>
      </c>
      <c r="D66" s="88" t="str">
        <f t="array" ref="D66">IF(A66="","",IFERROR(INDEX('Location Master'!$A$2:$A$202,MATCH(A66,'Location Master'!$E$2:$E$202,0)),""))</f>
        <v/>
      </c>
      <c r="E66" s="88" t="str">
        <f t="array" ref="E66">IF(A66="","",IFERROR(INDEX('Location Master'!$B$2:$B$202,MATCH(A66,'Location Master'!$E$2:$E$202,0)),""))</f>
        <v/>
      </c>
      <c r="F66" s="88" t="str">
        <f t="array" ref="F66">IF(A66="","",IFERROR(INDEX('Location Master'!$C$2:$C$202,MATCH(A66,'Location Master'!$E$2:$E$202,0)),""))</f>
        <v/>
      </c>
      <c r="G66" s="88" t="str">
        <f t="array" ref="G66">IF(A66="","",IFERROR(INDEX('Location Master'!$D$2:$D$202,MATCH(A66,'Location Master'!$E$2:$E$202,0)),""))</f>
        <v/>
      </c>
      <c r="H66" s="88"/>
    </row>
    <row r="67" ht="24.0" customHeight="1">
      <c r="A67" s="132" t="str">
        <f>IF('Location Master'!E68="","",'Location Master'!E68)</f>
        <v/>
      </c>
      <c r="B67" s="130" t="str">
        <f t="array" ref="B67">IF(A67="","",IFERROR(INDEX(Inventory!$B$2:$B$201,MATCH(A67,Inventory!$D$2:$D$201,0)),""))</f>
        <v/>
      </c>
      <c r="C67" s="82" t="str">
        <f t="array" ref="C67">IF(A67="","",IFERROR(INDEX(Inventory!$C$2:$C$201,MATCH(A67,Inventory!$D$2:$D$201,0)),""))</f>
        <v/>
      </c>
      <c r="D67" s="82" t="str">
        <f t="array" ref="D67">IF(A67="","",IFERROR(INDEX('Location Master'!$A$2:$A$202,MATCH(A67,'Location Master'!$E$2:$E$202,0)),""))</f>
        <v/>
      </c>
      <c r="E67" s="82" t="str">
        <f t="array" ref="E67">IF(A67="","",IFERROR(INDEX('Location Master'!$B$2:$B$202,MATCH(A67,'Location Master'!$E$2:$E$202,0)),""))</f>
        <v/>
      </c>
      <c r="F67" s="82" t="str">
        <f t="array" ref="F67">IF(A67="","",IFERROR(INDEX('Location Master'!$C$2:$C$202,MATCH(A67,'Location Master'!$E$2:$E$202,0)),""))</f>
        <v/>
      </c>
      <c r="G67" s="82" t="str">
        <f t="array" ref="G67">IF(A67="","",IFERROR(INDEX('Location Master'!$D$2:$D$202,MATCH(A67,'Location Master'!$E$2:$E$202,0)),""))</f>
        <v/>
      </c>
      <c r="H67" s="82"/>
    </row>
    <row r="68" ht="24.0" customHeight="1">
      <c r="A68" s="135" t="str">
        <f>IF('Location Master'!E69="","",'Location Master'!E69)</f>
        <v/>
      </c>
      <c r="B68" s="133" t="str">
        <f t="array" ref="B68">IF(A68="","",IFERROR(INDEX(Inventory!$B$2:$B$201,MATCH(A68,Inventory!$D$2:$D$201,0)),""))</f>
        <v/>
      </c>
      <c r="C68" s="88" t="str">
        <f t="array" ref="C68">IF(A68="","",IFERROR(INDEX(Inventory!$C$2:$C$201,MATCH(A68,Inventory!$D$2:$D$201,0)),""))</f>
        <v/>
      </c>
      <c r="D68" s="88" t="str">
        <f t="array" ref="D68">IF(A68="","",IFERROR(INDEX('Location Master'!$A$2:$A$202,MATCH(A68,'Location Master'!$E$2:$E$202,0)),""))</f>
        <v/>
      </c>
      <c r="E68" s="88" t="str">
        <f t="array" ref="E68">IF(A68="","",IFERROR(INDEX('Location Master'!$B$2:$B$202,MATCH(A68,'Location Master'!$E$2:$E$202,0)),""))</f>
        <v/>
      </c>
      <c r="F68" s="88" t="str">
        <f t="array" ref="F68">IF(A68="","",IFERROR(INDEX('Location Master'!$C$2:$C$202,MATCH(A68,'Location Master'!$E$2:$E$202,0)),""))</f>
        <v/>
      </c>
      <c r="G68" s="88" t="str">
        <f t="array" ref="G68">IF(A68="","",IFERROR(INDEX('Location Master'!$D$2:$D$202,MATCH(A68,'Location Master'!$E$2:$E$202,0)),""))</f>
        <v/>
      </c>
      <c r="H68" s="88"/>
    </row>
    <row r="69" ht="24.0" customHeight="1">
      <c r="A69" s="132" t="str">
        <f>IF('Location Master'!E70="","",'Location Master'!E70)</f>
        <v/>
      </c>
      <c r="B69" s="130" t="str">
        <f t="array" ref="B69">IF(A69="","",IFERROR(INDEX(Inventory!$B$2:$B$201,MATCH(A69,Inventory!$D$2:$D$201,0)),""))</f>
        <v/>
      </c>
      <c r="C69" s="82" t="str">
        <f t="array" ref="C69">IF(A69="","",IFERROR(INDEX(Inventory!$C$2:$C$201,MATCH(A69,Inventory!$D$2:$D$201,0)),""))</f>
        <v/>
      </c>
      <c r="D69" s="82" t="str">
        <f t="array" ref="D69">IF(A69="","",IFERROR(INDEX('Location Master'!$A$2:$A$202,MATCH(A69,'Location Master'!$E$2:$E$202,0)),""))</f>
        <v/>
      </c>
      <c r="E69" s="82" t="str">
        <f t="array" ref="E69">IF(A69="","",IFERROR(INDEX('Location Master'!$B$2:$B$202,MATCH(A69,'Location Master'!$E$2:$E$202,0)),""))</f>
        <v/>
      </c>
      <c r="F69" s="82" t="str">
        <f t="array" ref="F69">IF(A69="","",IFERROR(INDEX('Location Master'!$C$2:$C$202,MATCH(A69,'Location Master'!$E$2:$E$202,0)),""))</f>
        <v/>
      </c>
      <c r="G69" s="82" t="str">
        <f t="array" ref="G69">IF(A69="","",IFERROR(INDEX('Location Master'!$D$2:$D$202,MATCH(A69,'Location Master'!$E$2:$E$202,0)),""))</f>
        <v/>
      </c>
      <c r="H69" s="82"/>
    </row>
    <row r="70" ht="24.0" customHeight="1">
      <c r="A70" s="135" t="str">
        <f>IF('Location Master'!E71="","",'Location Master'!E71)</f>
        <v/>
      </c>
      <c r="B70" s="133" t="str">
        <f t="array" ref="B70">IF(A70="","",IFERROR(INDEX(Inventory!$B$2:$B$201,MATCH(A70,Inventory!$D$2:$D$201,0)),""))</f>
        <v/>
      </c>
      <c r="C70" s="88" t="str">
        <f t="array" ref="C70">IF(A70="","",IFERROR(INDEX(Inventory!$C$2:$C$201,MATCH(A70,Inventory!$D$2:$D$201,0)),""))</f>
        <v/>
      </c>
      <c r="D70" s="88" t="str">
        <f t="array" ref="D70">IF(A70="","",IFERROR(INDEX('Location Master'!$A$2:$A$202,MATCH(A70,'Location Master'!$E$2:$E$202,0)),""))</f>
        <v/>
      </c>
      <c r="E70" s="88" t="str">
        <f t="array" ref="E70">IF(A70="","",IFERROR(INDEX('Location Master'!$B$2:$B$202,MATCH(A70,'Location Master'!$E$2:$E$202,0)),""))</f>
        <v/>
      </c>
      <c r="F70" s="88" t="str">
        <f t="array" ref="F70">IF(A70="","",IFERROR(INDEX('Location Master'!$C$2:$C$202,MATCH(A70,'Location Master'!$E$2:$E$202,0)),""))</f>
        <v/>
      </c>
      <c r="G70" s="88" t="str">
        <f t="array" ref="G70">IF(A70="","",IFERROR(INDEX('Location Master'!$D$2:$D$202,MATCH(A70,'Location Master'!$E$2:$E$202,0)),""))</f>
        <v/>
      </c>
      <c r="H70" s="88"/>
    </row>
    <row r="71" ht="24.0" customHeight="1">
      <c r="A71" s="132" t="str">
        <f>IF('Location Master'!E72="","",'Location Master'!E72)</f>
        <v/>
      </c>
      <c r="B71" s="130" t="str">
        <f t="array" ref="B71">IF(A71="","",IFERROR(INDEX(Inventory!$B$2:$B$201,MATCH(A71,Inventory!$D$2:$D$201,0)),""))</f>
        <v/>
      </c>
      <c r="C71" s="82" t="str">
        <f t="array" ref="C71">IF(A71="","",IFERROR(INDEX(Inventory!$C$2:$C$201,MATCH(A71,Inventory!$D$2:$D$201,0)),""))</f>
        <v/>
      </c>
      <c r="D71" s="82" t="str">
        <f t="array" ref="D71">IF(A71="","",IFERROR(INDEX('Location Master'!$A$2:$A$202,MATCH(A71,'Location Master'!$E$2:$E$202,0)),""))</f>
        <v/>
      </c>
      <c r="E71" s="82" t="str">
        <f t="array" ref="E71">IF(A71="","",IFERROR(INDEX('Location Master'!$B$2:$B$202,MATCH(A71,'Location Master'!$E$2:$E$202,0)),""))</f>
        <v/>
      </c>
      <c r="F71" s="82" t="str">
        <f t="array" ref="F71">IF(A71="","",IFERROR(INDEX('Location Master'!$C$2:$C$202,MATCH(A71,'Location Master'!$E$2:$E$202,0)),""))</f>
        <v/>
      </c>
      <c r="G71" s="82" t="str">
        <f t="array" ref="G71">IF(A71="","",IFERROR(INDEX('Location Master'!$D$2:$D$202,MATCH(A71,'Location Master'!$E$2:$E$202,0)),""))</f>
        <v/>
      </c>
      <c r="H71" s="82"/>
    </row>
    <row r="72" ht="24.0" customHeight="1">
      <c r="A72" s="135" t="str">
        <f>IF('Location Master'!E73="","",'Location Master'!E73)</f>
        <v/>
      </c>
      <c r="B72" s="133" t="str">
        <f t="array" ref="B72">IF(A72="","",IFERROR(INDEX(Inventory!$B$2:$B$201,MATCH(A72,Inventory!$D$2:$D$201,0)),""))</f>
        <v/>
      </c>
      <c r="C72" s="88" t="str">
        <f t="array" ref="C72">IF(A72="","",IFERROR(INDEX(Inventory!$C$2:$C$201,MATCH(A72,Inventory!$D$2:$D$201,0)),""))</f>
        <v/>
      </c>
      <c r="D72" s="88" t="str">
        <f t="array" ref="D72">IF(A72="","",IFERROR(INDEX('Location Master'!$A$2:$A$202,MATCH(A72,'Location Master'!$E$2:$E$202,0)),""))</f>
        <v/>
      </c>
      <c r="E72" s="88" t="str">
        <f t="array" ref="E72">IF(A72="","",IFERROR(INDEX('Location Master'!$B$2:$B$202,MATCH(A72,'Location Master'!$E$2:$E$202,0)),""))</f>
        <v/>
      </c>
      <c r="F72" s="88" t="str">
        <f t="array" ref="F72">IF(A72="","",IFERROR(INDEX('Location Master'!$C$2:$C$202,MATCH(A72,'Location Master'!$E$2:$E$202,0)),""))</f>
        <v/>
      </c>
      <c r="G72" s="88" t="str">
        <f t="array" ref="G72">IF(A72="","",IFERROR(INDEX('Location Master'!$D$2:$D$202,MATCH(A72,'Location Master'!$E$2:$E$202,0)),""))</f>
        <v/>
      </c>
      <c r="H72" s="88"/>
    </row>
    <row r="73" ht="24.0" customHeight="1">
      <c r="A73" s="132" t="str">
        <f>IF('Location Master'!E74="","",'Location Master'!E74)</f>
        <v/>
      </c>
      <c r="B73" s="130" t="str">
        <f t="array" ref="B73">IF(A73="","",IFERROR(INDEX(Inventory!$B$2:$B$201,MATCH(A73,Inventory!$D$2:$D$201,0)),""))</f>
        <v/>
      </c>
      <c r="C73" s="82" t="str">
        <f t="array" ref="C73">IF(A73="","",IFERROR(INDEX(Inventory!$C$2:$C$201,MATCH(A73,Inventory!$D$2:$D$201,0)),""))</f>
        <v/>
      </c>
      <c r="D73" s="82" t="str">
        <f t="array" ref="D73">IF(A73="","",IFERROR(INDEX('Location Master'!$A$2:$A$202,MATCH(A73,'Location Master'!$E$2:$E$202,0)),""))</f>
        <v/>
      </c>
      <c r="E73" s="82" t="str">
        <f t="array" ref="E73">IF(A73="","",IFERROR(INDEX('Location Master'!$B$2:$B$202,MATCH(A73,'Location Master'!$E$2:$E$202,0)),""))</f>
        <v/>
      </c>
      <c r="F73" s="82" t="str">
        <f t="array" ref="F73">IF(A73="","",IFERROR(INDEX('Location Master'!$C$2:$C$202,MATCH(A73,'Location Master'!$E$2:$E$202,0)),""))</f>
        <v/>
      </c>
      <c r="G73" s="82" t="str">
        <f t="array" ref="G73">IF(A73="","",IFERROR(INDEX('Location Master'!$D$2:$D$202,MATCH(A73,'Location Master'!$E$2:$E$202,0)),""))</f>
        <v/>
      </c>
      <c r="H73" s="82"/>
    </row>
    <row r="74" ht="24.0" customHeight="1">
      <c r="A74" s="135" t="str">
        <f>IF('Location Master'!E75="","",'Location Master'!E75)</f>
        <v/>
      </c>
      <c r="B74" s="133" t="str">
        <f t="array" ref="B74">IF(A74="","",IFERROR(INDEX(Inventory!$B$2:$B$201,MATCH(A74,Inventory!$D$2:$D$201,0)),""))</f>
        <v/>
      </c>
      <c r="C74" s="88" t="str">
        <f t="array" ref="C74">IF(A74="","",IFERROR(INDEX(Inventory!$C$2:$C$201,MATCH(A74,Inventory!$D$2:$D$201,0)),""))</f>
        <v/>
      </c>
      <c r="D74" s="88" t="str">
        <f t="array" ref="D74">IF(A74="","",IFERROR(INDEX('Location Master'!$A$2:$A$202,MATCH(A74,'Location Master'!$E$2:$E$202,0)),""))</f>
        <v/>
      </c>
      <c r="E74" s="88" t="str">
        <f t="array" ref="E74">IF(A74="","",IFERROR(INDEX('Location Master'!$B$2:$B$202,MATCH(A74,'Location Master'!$E$2:$E$202,0)),""))</f>
        <v/>
      </c>
      <c r="F74" s="88" t="str">
        <f t="array" ref="F74">IF(A74="","",IFERROR(INDEX('Location Master'!$C$2:$C$202,MATCH(A74,'Location Master'!$E$2:$E$202,0)),""))</f>
        <v/>
      </c>
      <c r="G74" s="88" t="str">
        <f t="array" ref="G74">IF(A74="","",IFERROR(INDEX('Location Master'!$D$2:$D$202,MATCH(A74,'Location Master'!$E$2:$E$202,0)),""))</f>
        <v/>
      </c>
      <c r="H74" s="88"/>
    </row>
    <row r="75" ht="24.0" customHeight="1">
      <c r="A75" s="132" t="str">
        <f>IF('Location Master'!E76="","",'Location Master'!E76)</f>
        <v/>
      </c>
      <c r="B75" s="130" t="str">
        <f t="array" ref="B75">IF(A75="","",IFERROR(INDEX(Inventory!$B$2:$B$201,MATCH(A75,Inventory!$D$2:$D$201,0)),""))</f>
        <v/>
      </c>
      <c r="C75" s="82" t="str">
        <f t="array" ref="C75">IF(A75="","",IFERROR(INDEX(Inventory!$C$2:$C$201,MATCH(A75,Inventory!$D$2:$D$201,0)),""))</f>
        <v/>
      </c>
      <c r="D75" s="82" t="str">
        <f t="array" ref="D75">IF(A75="","",IFERROR(INDEX('Location Master'!$A$2:$A$202,MATCH(A75,'Location Master'!$E$2:$E$202,0)),""))</f>
        <v/>
      </c>
      <c r="E75" s="82" t="str">
        <f t="array" ref="E75">IF(A75="","",IFERROR(INDEX('Location Master'!$B$2:$B$202,MATCH(A75,'Location Master'!$E$2:$E$202,0)),""))</f>
        <v/>
      </c>
      <c r="F75" s="82" t="str">
        <f t="array" ref="F75">IF(A75="","",IFERROR(INDEX('Location Master'!$C$2:$C$202,MATCH(A75,'Location Master'!$E$2:$E$202,0)),""))</f>
        <v/>
      </c>
      <c r="G75" s="82" t="str">
        <f t="array" ref="G75">IF(A75="","",IFERROR(INDEX('Location Master'!$D$2:$D$202,MATCH(A75,'Location Master'!$E$2:$E$202,0)),""))</f>
        <v/>
      </c>
      <c r="H75" s="82"/>
    </row>
    <row r="76" ht="24.0" customHeight="1">
      <c r="A76" s="135" t="str">
        <f>IF('Location Master'!E77="","",'Location Master'!E77)</f>
        <v/>
      </c>
      <c r="B76" s="133" t="str">
        <f t="array" ref="B76">IF(A76="","",IFERROR(INDEX(Inventory!$B$2:$B$201,MATCH(A76,Inventory!$D$2:$D$201,0)),""))</f>
        <v/>
      </c>
      <c r="C76" s="88" t="str">
        <f t="array" ref="C76">IF(A76="","",IFERROR(INDEX(Inventory!$C$2:$C$201,MATCH(A76,Inventory!$D$2:$D$201,0)),""))</f>
        <v/>
      </c>
      <c r="D76" s="88" t="str">
        <f t="array" ref="D76">IF(A76="","",IFERROR(INDEX('Location Master'!$A$2:$A$202,MATCH(A76,'Location Master'!$E$2:$E$202,0)),""))</f>
        <v/>
      </c>
      <c r="E76" s="88" t="str">
        <f t="array" ref="E76">IF(A76="","",IFERROR(INDEX('Location Master'!$B$2:$B$202,MATCH(A76,'Location Master'!$E$2:$E$202,0)),""))</f>
        <v/>
      </c>
      <c r="F76" s="88" t="str">
        <f t="array" ref="F76">IF(A76="","",IFERROR(INDEX('Location Master'!$C$2:$C$202,MATCH(A76,'Location Master'!$E$2:$E$202,0)),""))</f>
        <v/>
      </c>
      <c r="G76" s="88" t="str">
        <f t="array" ref="G76">IF(A76="","",IFERROR(INDEX('Location Master'!$D$2:$D$202,MATCH(A76,'Location Master'!$E$2:$E$202,0)),""))</f>
        <v/>
      </c>
      <c r="H76" s="88"/>
    </row>
    <row r="77" ht="24.0" customHeight="1">
      <c r="A77" s="132" t="str">
        <f>IF('Location Master'!E78="","",'Location Master'!E78)</f>
        <v/>
      </c>
      <c r="B77" s="130" t="str">
        <f t="array" ref="B77">IF(A77="","",IFERROR(INDEX(Inventory!$B$2:$B$201,MATCH(A77,Inventory!$D$2:$D$201,0)),""))</f>
        <v/>
      </c>
      <c r="C77" s="82" t="str">
        <f t="array" ref="C77">IF(A77="","",IFERROR(INDEX(Inventory!$C$2:$C$201,MATCH(A77,Inventory!$D$2:$D$201,0)),""))</f>
        <v/>
      </c>
      <c r="D77" s="82" t="str">
        <f t="array" ref="D77">IF(A77="","",IFERROR(INDEX('Location Master'!$A$2:$A$202,MATCH(A77,'Location Master'!$E$2:$E$202,0)),""))</f>
        <v/>
      </c>
      <c r="E77" s="82" t="str">
        <f t="array" ref="E77">IF(A77="","",IFERROR(INDEX('Location Master'!$B$2:$B$202,MATCH(A77,'Location Master'!$E$2:$E$202,0)),""))</f>
        <v/>
      </c>
      <c r="F77" s="82" t="str">
        <f t="array" ref="F77">IF(A77="","",IFERROR(INDEX('Location Master'!$C$2:$C$202,MATCH(A77,'Location Master'!$E$2:$E$202,0)),""))</f>
        <v/>
      </c>
      <c r="G77" s="82" t="str">
        <f t="array" ref="G77">IF(A77="","",IFERROR(INDEX('Location Master'!$D$2:$D$202,MATCH(A77,'Location Master'!$E$2:$E$202,0)),""))</f>
        <v/>
      </c>
      <c r="H77" s="82"/>
    </row>
    <row r="78" ht="24.0" customHeight="1">
      <c r="A78" s="135" t="str">
        <f>IF('Location Master'!E79="","",'Location Master'!E79)</f>
        <v/>
      </c>
      <c r="B78" s="133" t="str">
        <f t="array" ref="B78">IF(A78="","",IFERROR(INDEX(Inventory!$B$2:$B$201,MATCH(A78,Inventory!$D$2:$D$201,0)),""))</f>
        <v/>
      </c>
      <c r="C78" s="88" t="str">
        <f t="array" ref="C78">IF(A78="","",IFERROR(INDEX(Inventory!$C$2:$C$201,MATCH(A78,Inventory!$D$2:$D$201,0)),""))</f>
        <v/>
      </c>
      <c r="D78" s="88" t="str">
        <f t="array" ref="D78">IF(A78="","",IFERROR(INDEX('Location Master'!$A$2:$A$202,MATCH(A78,'Location Master'!$E$2:$E$202,0)),""))</f>
        <v/>
      </c>
      <c r="E78" s="88" t="str">
        <f t="array" ref="E78">IF(A78="","",IFERROR(INDEX('Location Master'!$B$2:$B$202,MATCH(A78,'Location Master'!$E$2:$E$202,0)),""))</f>
        <v/>
      </c>
      <c r="F78" s="88" t="str">
        <f t="array" ref="F78">IF(A78="","",IFERROR(INDEX('Location Master'!$C$2:$C$202,MATCH(A78,'Location Master'!$E$2:$E$202,0)),""))</f>
        <v/>
      </c>
      <c r="G78" s="88" t="str">
        <f t="array" ref="G78">IF(A78="","",IFERROR(INDEX('Location Master'!$D$2:$D$202,MATCH(A78,'Location Master'!$E$2:$E$202,0)),""))</f>
        <v/>
      </c>
      <c r="H78" s="88"/>
    </row>
    <row r="79" ht="24.0" customHeight="1">
      <c r="A79" s="132" t="str">
        <f>IF('Location Master'!E80="","",'Location Master'!E80)</f>
        <v/>
      </c>
      <c r="B79" s="130" t="str">
        <f t="array" ref="B79">IF(A79="","",IFERROR(INDEX(Inventory!$B$2:$B$201,MATCH(A79,Inventory!$D$2:$D$201,0)),""))</f>
        <v/>
      </c>
      <c r="C79" s="82" t="str">
        <f t="array" ref="C79">IF(A79="","",IFERROR(INDEX(Inventory!$C$2:$C$201,MATCH(A79,Inventory!$D$2:$D$201,0)),""))</f>
        <v/>
      </c>
      <c r="D79" s="82" t="str">
        <f t="array" ref="D79">IF(A79="","",IFERROR(INDEX('Location Master'!$A$2:$A$202,MATCH(A79,'Location Master'!$E$2:$E$202,0)),""))</f>
        <v/>
      </c>
      <c r="E79" s="82" t="str">
        <f t="array" ref="E79">IF(A79="","",IFERROR(INDEX('Location Master'!$B$2:$B$202,MATCH(A79,'Location Master'!$E$2:$E$202,0)),""))</f>
        <v/>
      </c>
      <c r="F79" s="82" t="str">
        <f t="array" ref="F79">IF(A79="","",IFERROR(INDEX('Location Master'!$C$2:$C$202,MATCH(A79,'Location Master'!$E$2:$E$202,0)),""))</f>
        <v/>
      </c>
      <c r="G79" s="82" t="str">
        <f t="array" ref="G79">IF(A79="","",IFERROR(INDEX('Location Master'!$D$2:$D$202,MATCH(A79,'Location Master'!$E$2:$E$202,0)),""))</f>
        <v/>
      </c>
      <c r="H79" s="82"/>
    </row>
    <row r="80" ht="24.0" customHeight="1">
      <c r="A80" s="135" t="str">
        <f>IF('Location Master'!E81="","",'Location Master'!E81)</f>
        <v/>
      </c>
      <c r="B80" s="133" t="str">
        <f t="array" ref="B80">IF(A80="","",IFERROR(INDEX(Inventory!$B$2:$B$201,MATCH(A80,Inventory!$D$2:$D$201,0)),""))</f>
        <v/>
      </c>
      <c r="C80" s="88" t="str">
        <f t="array" ref="C80">IF(A80="","",IFERROR(INDEX(Inventory!$C$2:$C$201,MATCH(A80,Inventory!$D$2:$D$201,0)),""))</f>
        <v/>
      </c>
      <c r="D80" s="88" t="str">
        <f t="array" ref="D80">IF(A80="","",IFERROR(INDEX('Location Master'!$A$2:$A$202,MATCH(A80,'Location Master'!$E$2:$E$202,0)),""))</f>
        <v/>
      </c>
      <c r="E80" s="88" t="str">
        <f t="array" ref="E80">IF(A80="","",IFERROR(INDEX('Location Master'!$B$2:$B$202,MATCH(A80,'Location Master'!$E$2:$E$202,0)),""))</f>
        <v/>
      </c>
      <c r="F80" s="88" t="str">
        <f t="array" ref="F80">IF(A80="","",IFERROR(INDEX('Location Master'!$C$2:$C$202,MATCH(A80,'Location Master'!$E$2:$E$202,0)),""))</f>
        <v/>
      </c>
      <c r="G80" s="88" t="str">
        <f t="array" ref="G80">IF(A80="","",IFERROR(INDEX('Location Master'!$D$2:$D$202,MATCH(A80,'Location Master'!$E$2:$E$202,0)),""))</f>
        <v/>
      </c>
      <c r="H80" s="88"/>
    </row>
    <row r="81" ht="24.0" customHeight="1">
      <c r="A81" s="132" t="str">
        <f>IF('Location Master'!E82="","",'Location Master'!E82)</f>
        <v/>
      </c>
      <c r="B81" s="130" t="str">
        <f t="array" ref="B81">IF(A81="","",IFERROR(INDEX(Inventory!$B$2:$B$201,MATCH(A81,Inventory!$D$2:$D$201,0)),""))</f>
        <v/>
      </c>
      <c r="C81" s="82" t="str">
        <f t="array" ref="C81">IF(A81="","",IFERROR(INDEX(Inventory!$C$2:$C$201,MATCH(A81,Inventory!$D$2:$D$201,0)),""))</f>
        <v/>
      </c>
      <c r="D81" s="82" t="str">
        <f t="array" ref="D81">IF(A81="","",IFERROR(INDEX('Location Master'!$A$2:$A$202,MATCH(A81,'Location Master'!$E$2:$E$202,0)),""))</f>
        <v/>
      </c>
      <c r="E81" s="82" t="str">
        <f t="array" ref="E81">IF(A81="","",IFERROR(INDEX('Location Master'!$B$2:$B$202,MATCH(A81,'Location Master'!$E$2:$E$202,0)),""))</f>
        <v/>
      </c>
      <c r="F81" s="82" t="str">
        <f t="array" ref="F81">IF(A81="","",IFERROR(INDEX('Location Master'!$C$2:$C$202,MATCH(A81,'Location Master'!$E$2:$E$202,0)),""))</f>
        <v/>
      </c>
      <c r="G81" s="82" t="str">
        <f t="array" ref="G81">IF(A81="","",IFERROR(INDEX('Location Master'!$D$2:$D$202,MATCH(A81,'Location Master'!$E$2:$E$202,0)),""))</f>
        <v/>
      </c>
      <c r="H81" s="82"/>
    </row>
    <row r="82" ht="24.0" customHeight="1">
      <c r="A82" s="135" t="str">
        <f>IF('Location Master'!E83="","",'Location Master'!E83)</f>
        <v/>
      </c>
      <c r="B82" s="133" t="str">
        <f t="array" ref="B82">IF(A82="","",IFERROR(INDEX(Inventory!$B$2:$B$201,MATCH(A82,Inventory!$D$2:$D$201,0)),""))</f>
        <v/>
      </c>
      <c r="C82" s="88" t="str">
        <f t="array" ref="C82">IF(A82="","",IFERROR(INDEX(Inventory!$C$2:$C$201,MATCH(A82,Inventory!$D$2:$D$201,0)),""))</f>
        <v/>
      </c>
      <c r="D82" s="88" t="str">
        <f t="array" ref="D82">IF(A82="","",IFERROR(INDEX('Location Master'!$A$2:$A$202,MATCH(A82,'Location Master'!$E$2:$E$202,0)),""))</f>
        <v/>
      </c>
      <c r="E82" s="88" t="str">
        <f t="array" ref="E82">IF(A82="","",IFERROR(INDEX('Location Master'!$B$2:$B$202,MATCH(A82,'Location Master'!$E$2:$E$202,0)),""))</f>
        <v/>
      </c>
      <c r="F82" s="88" t="str">
        <f t="array" ref="F82">IF(A82="","",IFERROR(INDEX('Location Master'!$C$2:$C$202,MATCH(A82,'Location Master'!$E$2:$E$202,0)),""))</f>
        <v/>
      </c>
      <c r="G82" s="88" t="str">
        <f t="array" ref="G82">IF(A82="","",IFERROR(INDEX('Location Master'!$D$2:$D$202,MATCH(A82,'Location Master'!$E$2:$E$202,0)),""))</f>
        <v/>
      </c>
      <c r="H82" s="88"/>
    </row>
    <row r="83" ht="24.0" customHeight="1">
      <c r="A83" s="132" t="str">
        <f>IF('Location Master'!E84="","",'Location Master'!E84)</f>
        <v/>
      </c>
      <c r="B83" s="130" t="str">
        <f t="array" ref="B83">IF(A83="","",IFERROR(INDEX(Inventory!$B$2:$B$201,MATCH(A83,Inventory!$D$2:$D$201,0)),""))</f>
        <v/>
      </c>
      <c r="C83" s="82" t="str">
        <f t="array" ref="C83">IF(A83="","",IFERROR(INDEX(Inventory!$C$2:$C$201,MATCH(A83,Inventory!$D$2:$D$201,0)),""))</f>
        <v/>
      </c>
      <c r="D83" s="82" t="str">
        <f t="array" ref="D83">IF(A83="","",IFERROR(INDEX('Location Master'!$A$2:$A$202,MATCH(A83,'Location Master'!$E$2:$E$202,0)),""))</f>
        <v/>
      </c>
      <c r="E83" s="82" t="str">
        <f t="array" ref="E83">IF(A83="","",IFERROR(INDEX('Location Master'!$B$2:$B$202,MATCH(A83,'Location Master'!$E$2:$E$202,0)),""))</f>
        <v/>
      </c>
      <c r="F83" s="82" t="str">
        <f t="array" ref="F83">IF(A83="","",IFERROR(INDEX('Location Master'!$C$2:$C$202,MATCH(A83,'Location Master'!$E$2:$E$202,0)),""))</f>
        <v/>
      </c>
      <c r="G83" s="82" t="str">
        <f t="array" ref="G83">IF(A83="","",IFERROR(INDEX('Location Master'!$D$2:$D$202,MATCH(A83,'Location Master'!$E$2:$E$202,0)),""))</f>
        <v/>
      </c>
      <c r="H83" s="82"/>
    </row>
    <row r="84" ht="24.0" customHeight="1">
      <c r="A84" s="135" t="str">
        <f>IF('Location Master'!E85="","",'Location Master'!E85)</f>
        <v/>
      </c>
      <c r="B84" s="133" t="str">
        <f t="array" ref="B84">IF(A84="","",IFERROR(INDEX(Inventory!$B$2:$B$201,MATCH(A84,Inventory!$D$2:$D$201,0)),""))</f>
        <v/>
      </c>
      <c r="C84" s="88" t="str">
        <f t="array" ref="C84">IF(A84="","",IFERROR(INDEX(Inventory!$C$2:$C$201,MATCH(A84,Inventory!$D$2:$D$201,0)),""))</f>
        <v/>
      </c>
      <c r="D84" s="88" t="str">
        <f t="array" ref="D84">IF(A84="","",IFERROR(INDEX('Location Master'!$A$2:$A$202,MATCH(A84,'Location Master'!$E$2:$E$202,0)),""))</f>
        <v/>
      </c>
      <c r="E84" s="88" t="str">
        <f t="array" ref="E84">IF(A84="","",IFERROR(INDEX('Location Master'!$B$2:$B$202,MATCH(A84,'Location Master'!$E$2:$E$202,0)),""))</f>
        <v/>
      </c>
      <c r="F84" s="88" t="str">
        <f t="array" ref="F84">IF(A84="","",IFERROR(INDEX('Location Master'!$C$2:$C$202,MATCH(A84,'Location Master'!$E$2:$E$202,0)),""))</f>
        <v/>
      </c>
      <c r="G84" s="88" t="str">
        <f t="array" ref="G84">IF(A84="","",IFERROR(INDEX('Location Master'!$D$2:$D$202,MATCH(A84,'Location Master'!$E$2:$E$202,0)),""))</f>
        <v/>
      </c>
      <c r="H84" s="88"/>
    </row>
    <row r="85" ht="24.0" customHeight="1">
      <c r="A85" s="132" t="str">
        <f>IF('Location Master'!E86="","",'Location Master'!E86)</f>
        <v/>
      </c>
      <c r="B85" s="130" t="str">
        <f t="array" ref="B85">IF(A85="","",IFERROR(INDEX(Inventory!$B$2:$B$201,MATCH(A85,Inventory!$D$2:$D$201,0)),""))</f>
        <v/>
      </c>
      <c r="C85" s="82" t="str">
        <f t="array" ref="C85">IF(A85="","",IFERROR(INDEX(Inventory!$C$2:$C$201,MATCH(A85,Inventory!$D$2:$D$201,0)),""))</f>
        <v/>
      </c>
      <c r="D85" s="82" t="str">
        <f t="array" ref="D85">IF(A85="","",IFERROR(INDEX('Location Master'!$A$2:$A$202,MATCH(A85,'Location Master'!$E$2:$E$202,0)),""))</f>
        <v/>
      </c>
      <c r="E85" s="82" t="str">
        <f t="array" ref="E85">IF(A85="","",IFERROR(INDEX('Location Master'!$B$2:$B$202,MATCH(A85,'Location Master'!$E$2:$E$202,0)),""))</f>
        <v/>
      </c>
      <c r="F85" s="82" t="str">
        <f t="array" ref="F85">IF(A85="","",IFERROR(INDEX('Location Master'!$C$2:$C$202,MATCH(A85,'Location Master'!$E$2:$E$202,0)),""))</f>
        <v/>
      </c>
      <c r="G85" s="82" t="str">
        <f t="array" ref="G85">IF(A85="","",IFERROR(INDEX('Location Master'!$D$2:$D$202,MATCH(A85,'Location Master'!$E$2:$E$202,0)),""))</f>
        <v/>
      </c>
      <c r="H85" s="82"/>
    </row>
    <row r="86" ht="24.0" customHeight="1">
      <c r="A86" s="135" t="str">
        <f>IF('Location Master'!E87="","",'Location Master'!E87)</f>
        <v/>
      </c>
      <c r="B86" s="133" t="str">
        <f t="array" ref="B86">IF(A86="","",IFERROR(INDEX(Inventory!$B$2:$B$201,MATCH(A86,Inventory!$D$2:$D$201,0)),""))</f>
        <v/>
      </c>
      <c r="C86" s="88" t="str">
        <f t="array" ref="C86">IF(A86="","",IFERROR(INDEX(Inventory!$C$2:$C$201,MATCH(A86,Inventory!$D$2:$D$201,0)),""))</f>
        <v/>
      </c>
      <c r="D86" s="88" t="str">
        <f t="array" ref="D86">IF(A86="","",IFERROR(INDEX('Location Master'!$A$2:$A$202,MATCH(A86,'Location Master'!$E$2:$E$202,0)),""))</f>
        <v/>
      </c>
      <c r="E86" s="88" t="str">
        <f t="array" ref="E86">IF(A86="","",IFERROR(INDEX('Location Master'!$B$2:$B$202,MATCH(A86,'Location Master'!$E$2:$E$202,0)),""))</f>
        <v/>
      </c>
      <c r="F86" s="88" t="str">
        <f t="array" ref="F86">IF(A86="","",IFERROR(INDEX('Location Master'!$C$2:$C$202,MATCH(A86,'Location Master'!$E$2:$E$202,0)),""))</f>
        <v/>
      </c>
      <c r="G86" s="88" t="str">
        <f t="array" ref="G86">IF(A86="","",IFERROR(INDEX('Location Master'!$D$2:$D$202,MATCH(A86,'Location Master'!$E$2:$E$202,0)),""))</f>
        <v/>
      </c>
      <c r="H86" s="88"/>
    </row>
    <row r="87" ht="24.0" customHeight="1">
      <c r="A87" s="132" t="str">
        <f>IF('Location Master'!E88="","",'Location Master'!E88)</f>
        <v/>
      </c>
      <c r="B87" s="130" t="str">
        <f t="array" ref="B87">IF(A87="","",IFERROR(INDEX(Inventory!$B$2:$B$201,MATCH(A87,Inventory!$D$2:$D$201,0)),""))</f>
        <v/>
      </c>
      <c r="C87" s="82" t="str">
        <f t="array" ref="C87">IF(A87="","",IFERROR(INDEX(Inventory!$C$2:$C$201,MATCH(A87,Inventory!$D$2:$D$201,0)),""))</f>
        <v/>
      </c>
      <c r="D87" s="82" t="str">
        <f t="array" ref="D87">IF(A87="","",IFERROR(INDEX('Location Master'!$A$2:$A$202,MATCH(A87,'Location Master'!$E$2:$E$202,0)),""))</f>
        <v/>
      </c>
      <c r="E87" s="82" t="str">
        <f t="array" ref="E87">IF(A87="","",IFERROR(INDEX('Location Master'!$B$2:$B$202,MATCH(A87,'Location Master'!$E$2:$E$202,0)),""))</f>
        <v/>
      </c>
      <c r="F87" s="82" t="str">
        <f t="array" ref="F87">IF(A87="","",IFERROR(INDEX('Location Master'!$C$2:$C$202,MATCH(A87,'Location Master'!$E$2:$E$202,0)),""))</f>
        <v/>
      </c>
      <c r="G87" s="82" t="str">
        <f t="array" ref="G87">IF(A87="","",IFERROR(INDEX('Location Master'!$D$2:$D$202,MATCH(A87,'Location Master'!$E$2:$E$202,0)),""))</f>
        <v/>
      </c>
      <c r="H87" s="82"/>
    </row>
    <row r="88" ht="24.0" customHeight="1">
      <c r="A88" s="135" t="str">
        <f>IF('Location Master'!E89="","",'Location Master'!E89)</f>
        <v/>
      </c>
      <c r="B88" s="133" t="str">
        <f t="array" ref="B88">IF(A88="","",IFERROR(INDEX(Inventory!$B$2:$B$201,MATCH(A88,Inventory!$D$2:$D$201,0)),""))</f>
        <v/>
      </c>
      <c r="C88" s="88" t="str">
        <f t="array" ref="C88">IF(A88="","",IFERROR(INDEX(Inventory!$C$2:$C$201,MATCH(A88,Inventory!$D$2:$D$201,0)),""))</f>
        <v/>
      </c>
      <c r="D88" s="88" t="str">
        <f t="array" ref="D88">IF(A88="","",IFERROR(INDEX('Location Master'!$A$2:$A$202,MATCH(A88,'Location Master'!$E$2:$E$202,0)),""))</f>
        <v/>
      </c>
      <c r="E88" s="88" t="str">
        <f t="array" ref="E88">IF(A88="","",IFERROR(INDEX('Location Master'!$B$2:$B$202,MATCH(A88,'Location Master'!$E$2:$E$202,0)),""))</f>
        <v/>
      </c>
      <c r="F88" s="88" t="str">
        <f t="array" ref="F88">IF(A88="","",IFERROR(INDEX('Location Master'!$C$2:$C$202,MATCH(A88,'Location Master'!$E$2:$E$202,0)),""))</f>
        <v/>
      </c>
      <c r="G88" s="88" t="str">
        <f t="array" ref="G88">IF(A88="","",IFERROR(INDEX('Location Master'!$D$2:$D$202,MATCH(A88,'Location Master'!$E$2:$E$202,0)),""))</f>
        <v/>
      </c>
      <c r="H88" s="88"/>
    </row>
    <row r="89" ht="24.0" customHeight="1">
      <c r="A89" s="132" t="str">
        <f>IF('Location Master'!E90="","",'Location Master'!E90)</f>
        <v/>
      </c>
      <c r="B89" s="130" t="str">
        <f t="array" ref="B89">IF(A89="","",IFERROR(INDEX(Inventory!$B$2:$B$201,MATCH(A89,Inventory!$D$2:$D$201,0)),""))</f>
        <v/>
      </c>
      <c r="C89" s="82" t="str">
        <f t="array" ref="C89">IF(A89="","",IFERROR(INDEX(Inventory!$C$2:$C$201,MATCH(A89,Inventory!$D$2:$D$201,0)),""))</f>
        <v/>
      </c>
      <c r="D89" s="82" t="str">
        <f t="array" ref="D89">IF(A89="","",IFERROR(INDEX('Location Master'!$A$2:$A$202,MATCH(A89,'Location Master'!$E$2:$E$202,0)),""))</f>
        <v/>
      </c>
      <c r="E89" s="82" t="str">
        <f t="array" ref="E89">IF(A89="","",IFERROR(INDEX('Location Master'!$B$2:$B$202,MATCH(A89,'Location Master'!$E$2:$E$202,0)),""))</f>
        <v/>
      </c>
      <c r="F89" s="82" t="str">
        <f t="array" ref="F89">IF(A89="","",IFERROR(INDEX('Location Master'!$C$2:$C$202,MATCH(A89,'Location Master'!$E$2:$E$202,0)),""))</f>
        <v/>
      </c>
      <c r="G89" s="82" t="str">
        <f t="array" ref="G89">IF(A89="","",IFERROR(INDEX('Location Master'!$D$2:$D$202,MATCH(A89,'Location Master'!$E$2:$E$202,0)),""))</f>
        <v/>
      </c>
      <c r="H89" s="82"/>
    </row>
    <row r="90" ht="24.0" customHeight="1">
      <c r="A90" s="135" t="str">
        <f>IF('Location Master'!E91="","",'Location Master'!E91)</f>
        <v/>
      </c>
      <c r="B90" s="133" t="str">
        <f t="array" ref="B90">IF(A90="","",IFERROR(INDEX(Inventory!$B$2:$B$201,MATCH(A90,Inventory!$D$2:$D$201,0)),""))</f>
        <v/>
      </c>
      <c r="C90" s="88" t="str">
        <f t="array" ref="C90">IF(A90="","",IFERROR(INDEX(Inventory!$C$2:$C$201,MATCH(A90,Inventory!$D$2:$D$201,0)),""))</f>
        <v/>
      </c>
      <c r="D90" s="88" t="str">
        <f t="array" ref="D90">IF(A90="","",IFERROR(INDEX('Location Master'!$A$2:$A$202,MATCH(A90,'Location Master'!$E$2:$E$202,0)),""))</f>
        <v/>
      </c>
      <c r="E90" s="88" t="str">
        <f t="array" ref="E90">IF(A90="","",IFERROR(INDEX('Location Master'!$B$2:$B$202,MATCH(A90,'Location Master'!$E$2:$E$202,0)),""))</f>
        <v/>
      </c>
      <c r="F90" s="88" t="str">
        <f t="array" ref="F90">IF(A90="","",IFERROR(INDEX('Location Master'!$C$2:$C$202,MATCH(A90,'Location Master'!$E$2:$E$202,0)),""))</f>
        <v/>
      </c>
      <c r="G90" s="88" t="str">
        <f t="array" ref="G90">IF(A90="","",IFERROR(INDEX('Location Master'!$D$2:$D$202,MATCH(A90,'Location Master'!$E$2:$E$202,0)),""))</f>
        <v/>
      </c>
      <c r="H90" s="88"/>
    </row>
    <row r="91" ht="24.0" customHeight="1">
      <c r="A91" s="132" t="str">
        <f>IF('Location Master'!E92="","",'Location Master'!E92)</f>
        <v/>
      </c>
      <c r="B91" s="130" t="str">
        <f t="array" ref="B91">IF(A91="","",IFERROR(INDEX(Inventory!$B$2:$B$201,MATCH(A91,Inventory!$D$2:$D$201,0)),""))</f>
        <v/>
      </c>
      <c r="C91" s="82" t="str">
        <f t="array" ref="C91">IF(A91="","",IFERROR(INDEX(Inventory!$C$2:$C$201,MATCH(A91,Inventory!$D$2:$D$201,0)),""))</f>
        <v/>
      </c>
      <c r="D91" s="82" t="str">
        <f t="array" ref="D91">IF(A91="","",IFERROR(INDEX('Location Master'!$A$2:$A$202,MATCH(A91,'Location Master'!$E$2:$E$202,0)),""))</f>
        <v/>
      </c>
      <c r="E91" s="82" t="str">
        <f t="array" ref="E91">IF(A91="","",IFERROR(INDEX('Location Master'!$B$2:$B$202,MATCH(A91,'Location Master'!$E$2:$E$202,0)),""))</f>
        <v/>
      </c>
      <c r="F91" s="82" t="str">
        <f t="array" ref="F91">IF(A91="","",IFERROR(INDEX('Location Master'!$C$2:$C$202,MATCH(A91,'Location Master'!$E$2:$E$202,0)),""))</f>
        <v/>
      </c>
      <c r="G91" s="82" t="str">
        <f t="array" ref="G91">IF(A91="","",IFERROR(INDEX('Location Master'!$D$2:$D$202,MATCH(A91,'Location Master'!$E$2:$E$202,0)),""))</f>
        <v/>
      </c>
      <c r="H91" s="82"/>
    </row>
    <row r="92" ht="24.0" customHeight="1">
      <c r="A92" s="135" t="str">
        <f>IF('Location Master'!E93="","",'Location Master'!E93)</f>
        <v/>
      </c>
      <c r="B92" s="133" t="str">
        <f t="array" ref="B92">IF(A92="","",IFERROR(INDEX(Inventory!$B$2:$B$201,MATCH(A92,Inventory!$D$2:$D$201,0)),""))</f>
        <v/>
      </c>
      <c r="C92" s="88" t="str">
        <f t="array" ref="C92">IF(A92="","",IFERROR(INDEX(Inventory!$C$2:$C$201,MATCH(A92,Inventory!$D$2:$D$201,0)),""))</f>
        <v/>
      </c>
      <c r="D92" s="88" t="str">
        <f t="array" ref="D92">IF(A92="","",IFERROR(INDEX('Location Master'!$A$2:$A$202,MATCH(A92,'Location Master'!$E$2:$E$202,0)),""))</f>
        <v/>
      </c>
      <c r="E92" s="88" t="str">
        <f t="array" ref="E92">IF(A92="","",IFERROR(INDEX('Location Master'!$B$2:$B$202,MATCH(A92,'Location Master'!$E$2:$E$202,0)),""))</f>
        <v/>
      </c>
      <c r="F92" s="88" t="str">
        <f t="array" ref="F92">IF(A92="","",IFERROR(INDEX('Location Master'!$C$2:$C$202,MATCH(A92,'Location Master'!$E$2:$E$202,0)),""))</f>
        <v/>
      </c>
      <c r="G92" s="88" t="str">
        <f t="array" ref="G92">IF(A92="","",IFERROR(INDEX('Location Master'!$D$2:$D$202,MATCH(A92,'Location Master'!$E$2:$E$202,0)),""))</f>
        <v/>
      </c>
      <c r="H92" s="88"/>
    </row>
    <row r="93" ht="24.0" customHeight="1">
      <c r="A93" s="132" t="str">
        <f>IF('Location Master'!E94="","",'Location Master'!E94)</f>
        <v/>
      </c>
      <c r="B93" s="130" t="str">
        <f t="array" ref="B93">IF(A93="","",IFERROR(INDEX(Inventory!$B$2:$B$201,MATCH(A93,Inventory!$D$2:$D$201,0)),""))</f>
        <v/>
      </c>
      <c r="C93" s="82" t="str">
        <f t="array" ref="C93">IF(A93="","",IFERROR(INDEX(Inventory!$C$2:$C$201,MATCH(A93,Inventory!$D$2:$D$201,0)),""))</f>
        <v/>
      </c>
      <c r="D93" s="82" t="str">
        <f t="array" ref="D93">IF(A93="","",IFERROR(INDEX('Location Master'!$A$2:$A$202,MATCH(A93,'Location Master'!$E$2:$E$202,0)),""))</f>
        <v/>
      </c>
      <c r="E93" s="82" t="str">
        <f t="array" ref="E93">IF(A93="","",IFERROR(INDEX('Location Master'!$B$2:$B$202,MATCH(A93,'Location Master'!$E$2:$E$202,0)),""))</f>
        <v/>
      </c>
      <c r="F93" s="82" t="str">
        <f t="array" ref="F93">IF(A93="","",IFERROR(INDEX('Location Master'!$C$2:$C$202,MATCH(A93,'Location Master'!$E$2:$E$202,0)),""))</f>
        <v/>
      </c>
      <c r="G93" s="82" t="str">
        <f t="array" ref="G93">IF(A93="","",IFERROR(INDEX('Location Master'!$D$2:$D$202,MATCH(A93,'Location Master'!$E$2:$E$202,0)),""))</f>
        <v/>
      </c>
      <c r="H93" s="82"/>
    </row>
    <row r="94" ht="24.0" customHeight="1">
      <c r="A94" s="135" t="str">
        <f>IF('Location Master'!E95="","",'Location Master'!E95)</f>
        <v/>
      </c>
      <c r="B94" s="133" t="str">
        <f t="array" ref="B94">IF(A94="","",IFERROR(INDEX(Inventory!$B$2:$B$201,MATCH(A94,Inventory!$D$2:$D$201,0)),""))</f>
        <v/>
      </c>
      <c r="C94" s="88" t="str">
        <f t="array" ref="C94">IF(A94="","",IFERROR(INDEX(Inventory!$C$2:$C$201,MATCH(A94,Inventory!$D$2:$D$201,0)),""))</f>
        <v/>
      </c>
      <c r="D94" s="88" t="str">
        <f t="array" ref="D94">IF(A94="","",IFERROR(INDEX('Location Master'!$A$2:$A$202,MATCH(A94,'Location Master'!$E$2:$E$202,0)),""))</f>
        <v/>
      </c>
      <c r="E94" s="88" t="str">
        <f t="array" ref="E94">IF(A94="","",IFERROR(INDEX('Location Master'!$B$2:$B$202,MATCH(A94,'Location Master'!$E$2:$E$202,0)),""))</f>
        <v/>
      </c>
      <c r="F94" s="88" t="str">
        <f t="array" ref="F94">IF(A94="","",IFERROR(INDEX('Location Master'!$C$2:$C$202,MATCH(A94,'Location Master'!$E$2:$E$202,0)),""))</f>
        <v/>
      </c>
      <c r="G94" s="88" t="str">
        <f t="array" ref="G94">IF(A94="","",IFERROR(INDEX('Location Master'!$D$2:$D$202,MATCH(A94,'Location Master'!$E$2:$E$202,0)),""))</f>
        <v/>
      </c>
      <c r="H94" s="88"/>
    </row>
    <row r="95" ht="24.0" customHeight="1">
      <c r="A95" s="132" t="str">
        <f>IF('Location Master'!E96="","",'Location Master'!E96)</f>
        <v/>
      </c>
      <c r="B95" s="130" t="str">
        <f t="array" ref="B95">IF(A95="","",IFERROR(INDEX(Inventory!$B$2:$B$201,MATCH(A95,Inventory!$D$2:$D$201,0)),""))</f>
        <v/>
      </c>
      <c r="C95" s="82" t="str">
        <f t="array" ref="C95">IF(A95="","",IFERROR(INDEX(Inventory!$C$2:$C$201,MATCH(A95,Inventory!$D$2:$D$201,0)),""))</f>
        <v/>
      </c>
      <c r="D95" s="82" t="str">
        <f t="array" ref="D95">IF(A95="","",IFERROR(INDEX('Location Master'!$A$2:$A$202,MATCH(A95,'Location Master'!$E$2:$E$202,0)),""))</f>
        <v/>
      </c>
      <c r="E95" s="82" t="str">
        <f t="array" ref="E95">IF(A95="","",IFERROR(INDEX('Location Master'!$B$2:$B$202,MATCH(A95,'Location Master'!$E$2:$E$202,0)),""))</f>
        <v/>
      </c>
      <c r="F95" s="82" t="str">
        <f t="array" ref="F95">IF(A95="","",IFERROR(INDEX('Location Master'!$C$2:$C$202,MATCH(A95,'Location Master'!$E$2:$E$202,0)),""))</f>
        <v/>
      </c>
      <c r="G95" s="82" t="str">
        <f t="array" ref="G95">IF(A95="","",IFERROR(INDEX('Location Master'!$D$2:$D$202,MATCH(A95,'Location Master'!$E$2:$E$202,0)),""))</f>
        <v/>
      </c>
      <c r="H95" s="82"/>
    </row>
    <row r="96" ht="24.0" customHeight="1">
      <c r="A96" s="135" t="str">
        <f>IF('Location Master'!E97="","",'Location Master'!E97)</f>
        <v/>
      </c>
      <c r="B96" s="133" t="str">
        <f t="array" ref="B96">IF(A96="","",IFERROR(INDEX(Inventory!$B$2:$B$201,MATCH(A96,Inventory!$D$2:$D$201,0)),""))</f>
        <v/>
      </c>
      <c r="C96" s="88" t="str">
        <f t="array" ref="C96">IF(A96="","",IFERROR(INDEX(Inventory!$C$2:$C$201,MATCH(A96,Inventory!$D$2:$D$201,0)),""))</f>
        <v/>
      </c>
      <c r="D96" s="88" t="str">
        <f t="array" ref="D96">IF(A96="","",IFERROR(INDEX('Location Master'!$A$2:$A$202,MATCH(A96,'Location Master'!$E$2:$E$202,0)),""))</f>
        <v/>
      </c>
      <c r="E96" s="88" t="str">
        <f t="array" ref="E96">IF(A96="","",IFERROR(INDEX('Location Master'!$B$2:$B$202,MATCH(A96,'Location Master'!$E$2:$E$202,0)),""))</f>
        <v/>
      </c>
      <c r="F96" s="88" t="str">
        <f t="array" ref="F96">IF(A96="","",IFERROR(INDEX('Location Master'!$C$2:$C$202,MATCH(A96,'Location Master'!$E$2:$E$202,0)),""))</f>
        <v/>
      </c>
      <c r="G96" s="88" t="str">
        <f t="array" ref="G96">IF(A96="","",IFERROR(INDEX('Location Master'!$D$2:$D$202,MATCH(A96,'Location Master'!$E$2:$E$202,0)),""))</f>
        <v/>
      </c>
      <c r="H96" s="88"/>
    </row>
    <row r="97" ht="24.0" customHeight="1">
      <c r="A97" s="132" t="str">
        <f>IF('Location Master'!E98="","",'Location Master'!E98)</f>
        <v/>
      </c>
      <c r="B97" s="130" t="str">
        <f t="array" ref="B97">IF(A97="","",IFERROR(INDEX(Inventory!$B$2:$B$201,MATCH(A97,Inventory!$D$2:$D$201,0)),""))</f>
        <v/>
      </c>
      <c r="C97" s="82" t="str">
        <f t="array" ref="C97">IF(A97="","",IFERROR(INDEX(Inventory!$C$2:$C$201,MATCH(A97,Inventory!$D$2:$D$201,0)),""))</f>
        <v/>
      </c>
      <c r="D97" s="82" t="str">
        <f t="array" ref="D97">IF(A97="","",IFERROR(INDEX('Location Master'!$A$2:$A$202,MATCH(A97,'Location Master'!$E$2:$E$202,0)),""))</f>
        <v/>
      </c>
      <c r="E97" s="82" t="str">
        <f t="array" ref="E97">IF(A97="","",IFERROR(INDEX('Location Master'!$B$2:$B$202,MATCH(A97,'Location Master'!$E$2:$E$202,0)),""))</f>
        <v/>
      </c>
      <c r="F97" s="82" t="str">
        <f t="array" ref="F97">IF(A97="","",IFERROR(INDEX('Location Master'!$C$2:$C$202,MATCH(A97,'Location Master'!$E$2:$E$202,0)),""))</f>
        <v/>
      </c>
      <c r="G97" s="82" t="str">
        <f t="array" ref="G97">IF(A97="","",IFERROR(INDEX('Location Master'!$D$2:$D$202,MATCH(A97,'Location Master'!$E$2:$E$202,0)),""))</f>
        <v/>
      </c>
      <c r="H97" s="82"/>
    </row>
    <row r="98" ht="24.0" customHeight="1">
      <c r="A98" s="135" t="str">
        <f>IF('Location Master'!E99="","",'Location Master'!E99)</f>
        <v/>
      </c>
      <c r="B98" s="133" t="str">
        <f t="array" ref="B98">IF(A98="","",IFERROR(INDEX(Inventory!$B$2:$B$201,MATCH(A98,Inventory!$D$2:$D$201,0)),""))</f>
        <v/>
      </c>
      <c r="C98" s="88" t="str">
        <f t="array" ref="C98">IF(A98="","",IFERROR(INDEX(Inventory!$C$2:$C$201,MATCH(A98,Inventory!$D$2:$D$201,0)),""))</f>
        <v/>
      </c>
      <c r="D98" s="88" t="str">
        <f t="array" ref="D98">IF(A98="","",IFERROR(INDEX('Location Master'!$A$2:$A$202,MATCH(A98,'Location Master'!$E$2:$E$202,0)),""))</f>
        <v/>
      </c>
      <c r="E98" s="88" t="str">
        <f t="array" ref="E98">IF(A98="","",IFERROR(INDEX('Location Master'!$B$2:$B$202,MATCH(A98,'Location Master'!$E$2:$E$202,0)),""))</f>
        <v/>
      </c>
      <c r="F98" s="88" t="str">
        <f t="array" ref="F98">IF(A98="","",IFERROR(INDEX('Location Master'!$C$2:$C$202,MATCH(A98,'Location Master'!$E$2:$E$202,0)),""))</f>
        <v/>
      </c>
      <c r="G98" s="88" t="str">
        <f t="array" ref="G98">IF(A98="","",IFERROR(INDEX('Location Master'!$D$2:$D$202,MATCH(A98,'Location Master'!$E$2:$E$202,0)),""))</f>
        <v/>
      </c>
      <c r="H98" s="88"/>
    </row>
    <row r="99" ht="24.0" customHeight="1">
      <c r="A99" s="132" t="str">
        <f>IF('Location Master'!E100="","",'Location Master'!E100)</f>
        <v/>
      </c>
      <c r="B99" s="130" t="str">
        <f t="array" ref="B99">IF(A99="","",IFERROR(INDEX(Inventory!$B$2:$B$201,MATCH(A99,Inventory!$D$2:$D$201,0)),""))</f>
        <v/>
      </c>
      <c r="C99" s="82" t="str">
        <f t="array" ref="C99">IF(A99="","",IFERROR(INDEX(Inventory!$C$2:$C$201,MATCH(A99,Inventory!$D$2:$D$201,0)),""))</f>
        <v/>
      </c>
      <c r="D99" s="82" t="str">
        <f t="array" ref="D99">IF(A99="","",IFERROR(INDEX('Location Master'!$A$2:$A$202,MATCH(A99,'Location Master'!$E$2:$E$202,0)),""))</f>
        <v/>
      </c>
      <c r="E99" s="82" t="str">
        <f t="array" ref="E99">IF(A99="","",IFERROR(INDEX('Location Master'!$B$2:$B$202,MATCH(A99,'Location Master'!$E$2:$E$202,0)),""))</f>
        <v/>
      </c>
      <c r="F99" s="82" t="str">
        <f t="array" ref="F99">IF(A99="","",IFERROR(INDEX('Location Master'!$C$2:$C$202,MATCH(A99,'Location Master'!$E$2:$E$202,0)),""))</f>
        <v/>
      </c>
      <c r="G99" s="82" t="str">
        <f t="array" ref="G99">IF(A99="","",IFERROR(INDEX('Location Master'!$D$2:$D$202,MATCH(A99,'Location Master'!$E$2:$E$202,0)),""))</f>
        <v/>
      </c>
      <c r="H99" s="82"/>
    </row>
    <row r="100" ht="24.0" customHeight="1">
      <c r="A100" s="135" t="str">
        <f>IF('Location Master'!E101="","",'Location Master'!E101)</f>
        <v/>
      </c>
      <c r="B100" s="133" t="str">
        <f t="array" ref="B100">IF(A100="","",IFERROR(INDEX(Inventory!$B$2:$B$201,MATCH(A100,Inventory!$D$2:$D$201,0)),""))</f>
        <v/>
      </c>
      <c r="C100" s="88" t="str">
        <f t="array" ref="C100">IF(A100="","",IFERROR(INDEX(Inventory!$C$2:$C$201,MATCH(A100,Inventory!$D$2:$D$201,0)),""))</f>
        <v/>
      </c>
      <c r="D100" s="88" t="str">
        <f t="array" ref="D100">IF(A100="","",IFERROR(INDEX('Location Master'!$A$2:$A$202,MATCH(A100,'Location Master'!$E$2:$E$202,0)),""))</f>
        <v/>
      </c>
      <c r="E100" s="88" t="str">
        <f t="array" ref="E100">IF(A100="","",IFERROR(INDEX('Location Master'!$B$2:$B$202,MATCH(A100,'Location Master'!$E$2:$E$202,0)),""))</f>
        <v/>
      </c>
      <c r="F100" s="88" t="str">
        <f t="array" ref="F100">IF(A100="","",IFERROR(INDEX('Location Master'!$C$2:$C$202,MATCH(A100,'Location Master'!$E$2:$E$202,0)),""))</f>
        <v/>
      </c>
      <c r="G100" s="88" t="str">
        <f t="array" ref="G100">IF(A100="","",IFERROR(INDEX('Location Master'!$D$2:$D$202,MATCH(A100,'Location Master'!$E$2:$E$202,0)),""))</f>
        <v/>
      </c>
      <c r="H100" s="88"/>
    </row>
    <row r="101" ht="24.0" customHeight="1">
      <c r="A101" s="132" t="str">
        <f>IF('Location Master'!E102="","",'Location Master'!E102)</f>
        <v/>
      </c>
      <c r="B101" s="130" t="str">
        <f t="array" ref="B101">IF(A101="","",IFERROR(INDEX(Inventory!$B$2:$B$201,MATCH(A101,Inventory!$D$2:$D$201,0)),""))</f>
        <v/>
      </c>
      <c r="C101" s="82" t="str">
        <f t="array" ref="C101">IF(A101="","",IFERROR(INDEX(Inventory!$C$2:$C$201,MATCH(A101,Inventory!$D$2:$D$201,0)),""))</f>
        <v/>
      </c>
      <c r="D101" s="82" t="str">
        <f t="array" ref="D101">IF(A101="","",IFERROR(INDEX('Location Master'!$A$2:$A$202,MATCH(A101,'Location Master'!$E$2:$E$202,0)),""))</f>
        <v/>
      </c>
      <c r="E101" s="82" t="str">
        <f t="array" ref="E101">IF(A101="","",IFERROR(INDEX('Location Master'!$B$2:$B$202,MATCH(A101,'Location Master'!$E$2:$E$202,0)),""))</f>
        <v/>
      </c>
      <c r="F101" s="82" t="str">
        <f t="array" ref="F101">IF(A101="","",IFERROR(INDEX('Location Master'!$C$2:$C$202,MATCH(A101,'Location Master'!$E$2:$E$202,0)),""))</f>
        <v/>
      </c>
      <c r="G101" s="82" t="str">
        <f t="array" ref="G101">IF(A101="","",IFERROR(INDEX('Location Master'!$D$2:$D$202,MATCH(A101,'Location Master'!$E$2:$E$202,0)),""))</f>
        <v/>
      </c>
      <c r="H101" s="82"/>
    </row>
    <row r="102" ht="24.0" customHeight="1">
      <c r="A102" s="135" t="str">
        <f>IF('Location Master'!E103="","",'Location Master'!E103)</f>
        <v/>
      </c>
      <c r="B102" s="133" t="str">
        <f t="array" ref="B102">IF(A102="","",IFERROR(INDEX(Inventory!$B$2:$B$201,MATCH(A102,Inventory!$D$2:$D$201,0)),""))</f>
        <v/>
      </c>
      <c r="C102" s="88" t="str">
        <f t="array" ref="C102">IF(A102="","",IFERROR(INDEX(Inventory!$C$2:$C$201,MATCH(A102,Inventory!$D$2:$D$201,0)),""))</f>
        <v/>
      </c>
      <c r="D102" s="88" t="str">
        <f t="array" ref="D102">IF(A102="","",IFERROR(INDEX('Location Master'!$A$2:$A$202,MATCH(A102,'Location Master'!$E$2:$E$202,0)),""))</f>
        <v/>
      </c>
      <c r="E102" s="88" t="str">
        <f t="array" ref="E102">IF(A102="","",IFERROR(INDEX('Location Master'!$B$2:$B$202,MATCH(A102,'Location Master'!$E$2:$E$202,0)),""))</f>
        <v/>
      </c>
      <c r="F102" s="88" t="str">
        <f t="array" ref="F102">IF(A102="","",IFERROR(INDEX('Location Master'!$C$2:$C$202,MATCH(A102,'Location Master'!$E$2:$E$202,0)),""))</f>
        <v/>
      </c>
      <c r="G102" s="88" t="str">
        <f t="array" ref="G102">IF(A102="","",IFERROR(INDEX('Location Master'!$D$2:$D$202,MATCH(A102,'Location Master'!$E$2:$E$202,0)),""))</f>
        <v/>
      </c>
      <c r="H102" s="88"/>
    </row>
    <row r="103" ht="24.0" customHeight="1">
      <c r="A103" s="132" t="str">
        <f>IF('Location Master'!E104="","",'Location Master'!E104)</f>
        <v/>
      </c>
      <c r="B103" s="130" t="str">
        <f t="array" ref="B103">IF(A103="","",IFERROR(INDEX(Inventory!$B$2:$B$201,MATCH(A103,Inventory!$D$2:$D$201,0)),""))</f>
        <v/>
      </c>
      <c r="C103" s="82" t="str">
        <f t="array" ref="C103">IF(A103="","",IFERROR(INDEX(Inventory!$C$2:$C$201,MATCH(A103,Inventory!$D$2:$D$201,0)),""))</f>
        <v/>
      </c>
      <c r="D103" s="82" t="str">
        <f t="array" ref="D103">IF(A103="","",IFERROR(INDEX('Location Master'!$A$2:$A$202,MATCH(A103,'Location Master'!$E$2:$E$202,0)),""))</f>
        <v/>
      </c>
      <c r="E103" s="82" t="str">
        <f t="array" ref="E103">IF(A103="","",IFERROR(INDEX('Location Master'!$B$2:$B$202,MATCH(A103,'Location Master'!$E$2:$E$202,0)),""))</f>
        <v/>
      </c>
      <c r="F103" s="82" t="str">
        <f t="array" ref="F103">IF(A103="","",IFERROR(INDEX('Location Master'!$C$2:$C$202,MATCH(A103,'Location Master'!$E$2:$E$202,0)),""))</f>
        <v/>
      </c>
      <c r="G103" s="82" t="str">
        <f t="array" ref="G103">IF(A103="","",IFERROR(INDEX('Location Master'!$D$2:$D$202,MATCH(A103,'Location Master'!$E$2:$E$202,0)),""))</f>
        <v/>
      </c>
      <c r="H103" s="82"/>
    </row>
    <row r="104" ht="24.0" customHeight="1">
      <c r="A104" s="135" t="str">
        <f>IF('Location Master'!E105="","",'Location Master'!E105)</f>
        <v/>
      </c>
      <c r="B104" s="133" t="str">
        <f t="array" ref="B104">IF(A104="","",IFERROR(INDEX(Inventory!$B$2:$B$201,MATCH(A104,Inventory!$D$2:$D$201,0)),""))</f>
        <v/>
      </c>
      <c r="C104" s="88" t="str">
        <f t="array" ref="C104">IF(A104="","",IFERROR(INDEX(Inventory!$C$2:$C$201,MATCH(A104,Inventory!$D$2:$D$201,0)),""))</f>
        <v/>
      </c>
      <c r="D104" s="88" t="str">
        <f t="array" ref="D104">IF(A104="","",IFERROR(INDEX('Location Master'!$A$2:$A$202,MATCH(A104,'Location Master'!$E$2:$E$202,0)),""))</f>
        <v/>
      </c>
      <c r="E104" s="88" t="str">
        <f t="array" ref="E104">IF(A104="","",IFERROR(INDEX('Location Master'!$B$2:$B$202,MATCH(A104,'Location Master'!$E$2:$E$202,0)),""))</f>
        <v/>
      </c>
      <c r="F104" s="88" t="str">
        <f t="array" ref="F104">IF(A104="","",IFERROR(INDEX('Location Master'!$C$2:$C$202,MATCH(A104,'Location Master'!$E$2:$E$202,0)),""))</f>
        <v/>
      </c>
      <c r="G104" s="88" t="str">
        <f t="array" ref="G104">IF(A104="","",IFERROR(INDEX('Location Master'!$D$2:$D$202,MATCH(A104,'Location Master'!$E$2:$E$202,0)),""))</f>
        <v/>
      </c>
      <c r="H104" s="88"/>
    </row>
    <row r="105" ht="24.0" customHeight="1">
      <c r="A105" s="132" t="str">
        <f>IF('Location Master'!E106="","",'Location Master'!E106)</f>
        <v/>
      </c>
      <c r="B105" s="130" t="str">
        <f t="array" ref="B105">IF(A105="","",IFERROR(INDEX(Inventory!$B$2:$B$201,MATCH(A105,Inventory!$D$2:$D$201,0)),""))</f>
        <v/>
      </c>
      <c r="C105" s="82" t="str">
        <f t="array" ref="C105">IF(A105="","",IFERROR(INDEX(Inventory!$C$2:$C$201,MATCH(A105,Inventory!$D$2:$D$201,0)),""))</f>
        <v/>
      </c>
      <c r="D105" s="82" t="str">
        <f t="array" ref="D105">IF(A105="","",IFERROR(INDEX('Location Master'!$A$2:$A$202,MATCH(A105,'Location Master'!$E$2:$E$202,0)),""))</f>
        <v/>
      </c>
      <c r="E105" s="82" t="str">
        <f t="array" ref="E105">IF(A105="","",IFERROR(INDEX('Location Master'!$B$2:$B$202,MATCH(A105,'Location Master'!$E$2:$E$202,0)),""))</f>
        <v/>
      </c>
      <c r="F105" s="82" t="str">
        <f t="array" ref="F105">IF(A105="","",IFERROR(INDEX('Location Master'!$C$2:$C$202,MATCH(A105,'Location Master'!$E$2:$E$202,0)),""))</f>
        <v/>
      </c>
      <c r="G105" s="82" t="str">
        <f t="array" ref="G105">IF(A105="","",IFERROR(INDEX('Location Master'!$D$2:$D$202,MATCH(A105,'Location Master'!$E$2:$E$202,0)),""))</f>
        <v/>
      </c>
      <c r="H105" s="82"/>
    </row>
    <row r="106" ht="24.0" customHeight="1">
      <c r="A106" s="135" t="str">
        <f>IF('Location Master'!E107="","",'Location Master'!E107)</f>
        <v/>
      </c>
      <c r="B106" s="133" t="str">
        <f t="array" ref="B106">IF(A106="","",IFERROR(INDEX(Inventory!$B$2:$B$201,MATCH(A106,Inventory!$D$2:$D$201,0)),""))</f>
        <v/>
      </c>
      <c r="C106" s="88" t="str">
        <f t="array" ref="C106">IF(A106="","",IFERROR(INDEX(Inventory!$C$2:$C$201,MATCH(A106,Inventory!$D$2:$D$201,0)),""))</f>
        <v/>
      </c>
      <c r="D106" s="88" t="str">
        <f t="array" ref="D106">IF(A106="","",IFERROR(INDEX('Location Master'!$A$2:$A$202,MATCH(A106,'Location Master'!$E$2:$E$202,0)),""))</f>
        <v/>
      </c>
      <c r="E106" s="88" t="str">
        <f t="array" ref="E106">IF(A106="","",IFERROR(INDEX('Location Master'!$B$2:$B$202,MATCH(A106,'Location Master'!$E$2:$E$202,0)),""))</f>
        <v/>
      </c>
      <c r="F106" s="88" t="str">
        <f t="array" ref="F106">IF(A106="","",IFERROR(INDEX('Location Master'!$C$2:$C$202,MATCH(A106,'Location Master'!$E$2:$E$202,0)),""))</f>
        <v/>
      </c>
      <c r="G106" s="88" t="str">
        <f t="array" ref="G106">IF(A106="","",IFERROR(INDEX('Location Master'!$D$2:$D$202,MATCH(A106,'Location Master'!$E$2:$E$202,0)),""))</f>
        <v/>
      </c>
      <c r="H106" s="88"/>
    </row>
    <row r="107" ht="24.0" customHeight="1">
      <c r="A107" s="132" t="str">
        <f>IF('Location Master'!E108="","",'Location Master'!E108)</f>
        <v/>
      </c>
      <c r="B107" s="130" t="str">
        <f t="array" ref="B107">IF(A107="","",IFERROR(INDEX(Inventory!$B$2:$B$201,MATCH(A107,Inventory!$D$2:$D$201,0)),""))</f>
        <v/>
      </c>
      <c r="C107" s="82" t="str">
        <f t="array" ref="C107">IF(A107="","",IFERROR(INDEX(Inventory!$C$2:$C$201,MATCH(A107,Inventory!$D$2:$D$201,0)),""))</f>
        <v/>
      </c>
      <c r="D107" s="82" t="str">
        <f t="array" ref="D107">IF(A107="","",IFERROR(INDEX('Location Master'!$A$2:$A$202,MATCH(A107,'Location Master'!$E$2:$E$202,0)),""))</f>
        <v/>
      </c>
      <c r="E107" s="82" t="str">
        <f t="array" ref="E107">IF(A107="","",IFERROR(INDEX('Location Master'!$B$2:$B$202,MATCH(A107,'Location Master'!$E$2:$E$202,0)),""))</f>
        <v/>
      </c>
      <c r="F107" s="82" t="str">
        <f t="array" ref="F107">IF(A107="","",IFERROR(INDEX('Location Master'!$C$2:$C$202,MATCH(A107,'Location Master'!$E$2:$E$202,0)),""))</f>
        <v/>
      </c>
      <c r="G107" s="82" t="str">
        <f t="array" ref="G107">IF(A107="","",IFERROR(INDEX('Location Master'!$D$2:$D$202,MATCH(A107,'Location Master'!$E$2:$E$202,0)),""))</f>
        <v/>
      </c>
      <c r="H107" s="82"/>
    </row>
    <row r="108" ht="24.0" customHeight="1">
      <c r="A108" s="135" t="str">
        <f>IF('Location Master'!E109="","",'Location Master'!E109)</f>
        <v/>
      </c>
      <c r="B108" s="133" t="str">
        <f t="array" ref="B108">IF(A108="","",IFERROR(INDEX(Inventory!$B$2:$B$201,MATCH(A108,Inventory!$D$2:$D$201,0)),""))</f>
        <v/>
      </c>
      <c r="C108" s="88" t="str">
        <f t="array" ref="C108">IF(A108="","",IFERROR(INDEX(Inventory!$C$2:$C$201,MATCH(A108,Inventory!$D$2:$D$201,0)),""))</f>
        <v/>
      </c>
      <c r="D108" s="88" t="str">
        <f t="array" ref="D108">IF(A108="","",IFERROR(INDEX('Location Master'!$A$2:$A$202,MATCH(A108,'Location Master'!$E$2:$E$202,0)),""))</f>
        <v/>
      </c>
      <c r="E108" s="88" t="str">
        <f t="array" ref="E108">IF(A108="","",IFERROR(INDEX('Location Master'!$B$2:$B$202,MATCH(A108,'Location Master'!$E$2:$E$202,0)),""))</f>
        <v/>
      </c>
      <c r="F108" s="88" t="str">
        <f t="array" ref="F108">IF(A108="","",IFERROR(INDEX('Location Master'!$C$2:$C$202,MATCH(A108,'Location Master'!$E$2:$E$202,0)),""))</f>
        <v/>
      </c>
      <c r="G108" s="88" t="str">
        <f t="array" ref="G108">IF(A108="","",IFERROR(INDEX('Location Master'!$D$2:$D$202,MATCH(A108,'Location Master'!$E$2:$E$202,0)),""))</f>
        <v/>
      </c>
      <c r="H108" s="88"/>
    </row>
    <row r="109" ht="24.0" customHeight="1">
      <c r="A109" s="132" t="str">
        <f>IF('Location Master'!E110="","",'Location Master'!E110)</f>
        <v/>
      </c>
      <c r="B109" s="130" t="str">
        <f t="array" ref="B109">IF(A109="","",IFERROR(INDEX(Inventory!$B$2:$B$201,MATCH(A109,Inventory!$D$2:$D$201,0)),""))</f>
        <v/>
      </c>
      <c r="C109" s="82" t="str">
        <f t="array" ref="C109">IF(A109="","",IFERROR(INDEX(Inventory!$C$2:$C$201,MATCH(A109,Inventory!$D$2:$D$201,0)),""))</f>
        <v/>
      </c>
      <c r="D109" s="82" t="str">
        <f t="array" ref="D109">IF(A109="","",IFERROR(INDEX('Location Master'!$A$2:$A$202,MATCH(A109,'Location Master'!$E$2:$E$202,0)),""))</f>
        <v/>
      </c>
      <c r="E109" s="82" t="str">
        <f t="array" ref="E109">IF(A109="","",IFERROR(INDEX('Location Master'!$B$2:$B$202,MATCH(A109,'Location Master'!$E$2:$E$202,0)),""))</f>
        <v/>
      </c>
      <c r="F109" s="82" t="str">
        <f t="array" ref="F109">IF(A109="","",IFERROR(INDEX('Location Master'!$C$2:$C$202,MATCH(A109,'Location Master'!$E$2:$E$202,0)),""))</f>
        <v/>
      </c>
      <c r="G109" s="82" t="str">
        <f t="array" ref="G109">IF(A109="","",IFERROR(INDEX('Location Master'!$D$2:$D$202,MATCH(A109,'Location Master'!$E$2:$E$202,0)),""))</f>
        <v/>
      </c>
      <c r="H109" s="82"/>
    </row>
    <row r="110" ht="24.0" customHeight="1">
      <c r="A110" s="135" t="str">
        <f>IF('Location Master'!E111="","",'Location Master'!E111)</f>
        <v/>
      </c>
      <c r="B110" s="133" t="str">
        <f t="array" ref="B110">IF(A110="","",IFERROR(INDEX(Inventory!$B$2:$B$201,MATCH(A110,Inventory!$D$2:$D$201,0)),""))</f>
        <v/>
      </c>
      <c r="C110" s="88" t="str">
        <f t="array" ref="C110">IF(A110="","",IFERROR(INDEX(Inventory!$C$2:$C$201,MATCH(A110,Inventory!$D$2:$D$201,0)),""))</f>
        <v/>
      </c>
      <c r="D110" s="88" t="str">
        <f t="array" ref="D110">IF(A110="","",IFERROR(INDEX('Location Master'!$A$2:$A$202,MATCH(A110,'Location Master'!$E$2:$E$202,0)),""))</f>
        <v/>
      </c>
      <c r="E110" s="88" t="str">
        <f t="array" ref="E110">IF(A110="","",IFERROR(INDEX('Location Master'!$B$2:$B$202,MATCH(A110,'Location Master'!$E$2:$E$202,0)),""))</f>
        <v/>
      </c>
      <c r="F110" s="88" t="str">
        <f t="array" ref="F110">IF(A110="","",IFERROR(INDEX('Location Master'!$C$2:$C$202,MATCH(A110,'Location Master'!$E$2:$E$202,0)),""))</f>
        <v/>
      </c>
      <c r="G110" s="88" t="str">
        <f t="array" ref="G110">IF(A110="","",IFERROR(INDEX('Location Master'!$D$2:$D$202,MATCH(A110,'Location Master'!$E$2:$E$202,0)),""))</f>
        <v/>
      </c>
      <c r="H110" s="88"/>
    </row>
    <row r="111" ht="24.0" customHeight="1">
      <c r="A111" s="132" t="str">
        <f>IF('Location Master'!E112="","",'Location Master'!E112)</f>
        <v/>
      </c>
      <c r="B111" s="130" t="str">
        <f t="array" ref="B111">IF(A111="","",IFERROR(INDEX(Inventory!$B$2:$B$201,MATCH(A111,Inventory!$D$2:$D$201,0)),""))</f>
        <v/>
      </c>
      <c r="C111" s="82" t="str">
        <f t="array" ref="C111">IF(A111="","",IFERROR(INDEX(Inventory!$C$2:$C$201,MATCH(A111,Inventory!$D$2:$D$201,0)),""))</f>
        <v/>
      </c>
      <c r="D111" s="82" t="str">
        <f t="array" ref="D111">IF(A111="","",IFERROR(INDEX('Location Master'!$A$2:$A$202,MATCH(A111,'Location Master'!$E$2:$E$202,0)),""))</f>
        <v/>
      </c>
      <c r="E111" s="82" t="str">
        <f t="array" ref="E111">IF(A111="","",IFERROR(INDEX('Location Master'!$B$2:$B$202,MATCH(A111,'Location Master'!$E$2:$E$202,0)),""))</f>
        <v/>
      </c>
      <c r="F111" s="82" t="str">
        <f t="array" ref="F111">IF(A111="","",IFERROR(INDEX('Location Master'!$C$2:$C$202,MATCH(A111,'Location Master'!$E$2:$E$202,0)),""))</f>
        <v/>
      </c>
      <c r="G111" s="82" t="str">
        <f t="array" ref="G111">IF(A111="","",IFERROR(INDEX('Location Master'!$D$2:$D$202,MATCH(A111,'Location Master'!$E$2:$E$202,0)),""))</f>
        <v/>
      </c>
      <c r="H111" s="82"/>
    </row>
    <row r="112" ht="24.0" customHeight="1">
      <c r="A112" s="135" t="str">
        <f>IF('Location Master'!E113="","",'Location Master'!E113)</f>
        <v/>
      </c>
      <c r="B112" s="133" t="str">
        <f t="array" ref="B112">IF(A112="","",IFERROR(INDEX(Inventory!$B$2:$B$201,MATCH(A112,Inventory!$D$2:$D$201,0)),""))</f>
        <v/>
      </c>
      <c r="C112" s="88" t="str">
        <f t="array" ref="C112">IF(A112="","",IFERROR(INDEX(Inventory!$C$2:$C$201,MATCH(A112,Inventory!$D$2:$D$201,0)),""))</f>
        <v/>
      </c>
      <c r="D112" s="88" t="str">
        <f t="array" ref="D112">IF(A112="","",IFERROR(INDEX('Location Master'!$A$2:$A$202,MATCH(A112,'Location Master'!$E$2:$E$202,0)),""))</f>
        <v/>
      </c>
      <c r="E112" s="88" t="str">
        <f t="array" ref="E112">IF(A112="","",IFERROR(INDEX('Location Master'!$B$2:$B$202,MATCH(A112,'Location Master'!$E$2:$E$202,0)),""))</f>
        <v/>
      </c>
      <c r="F112" s="88" t="str">
        <f t="array" ref="F112">IF(A112="","",IFERROR(INDEX('Location Master'!$C$2:$C$202,MATCH(A112,'Location Master'!$E$2:$E$202,0)),""))</f>
        <v/>
      </c>
      <c r="G112" s="88" t="str">
        <f t="array" ref="G112">IF(A112="","",IFERROR(INDEX('Location Master'!$D$2:$D$202,MATCH(A112,'Location Master'!$E$2:$E$202,0)),""))</f>
        <v/>
      </c>
      <c r="H112" s="88"/>
    </row>
    <row r="113" ht="24.0" customHeight="1">
      <c r="A113" s="132" t="str">
        <f>IF('Location Master'!E114="","",'Location Master'!E114)</f>
        <v/>
      </c>
      <c r="B113" s="130" t="str">
        <f t="array" ref="B113">IF(A113="","",IFERROR(INDEX(Inventory!$B$2:$B$201,MATCH(A113,Inventory!$D$2:$D$201,0)),""))</f>
        <v/>
      </c>
      <c r="C113" s="82" t="str">
        <f t="array" ref="C113">IF(A113="","",IFERROR(INDEX(Inventory!$C$2:$C$201,MATCH(A113,Inventory!$D$2:$D$201,0)),""))</f>
        <v/>
      </c>
      <c r="D113" s="82" t="str">
        <f t="array" ref="D113">IF(A113="","",IFERROR(INDEX('Location Master'!$A$2:$A$202,MATCH(A113,'Location Master'!$E$2:$E$202,0)),""))</f>
        <v/>
      </c>
      <c r="E113" s="82" t="str">
        <f t="array" ref="E113">IF(A113="","",IFERROR(INDEX('Location Master'!$B$2:$B$202,MATCH(A113,'Location Master'!$E$2:$E$202,0)),""))</f>
        <v/>
      </c>
      <c r="F113" s="82" t="str">
        <f t="array" ref="F113">IF(A113="","",IFERROR(INDEX('Location Master'!$C$2:$C$202,MATCH(A113,'Location Master'!$E$2:$E$202,0)),""))</f>
        <v/>
      </c>
      <c r="G113" s="82" t="str">
        <f t="array" ref="G113">IF(A113="","",IFERROR(INDEX('Location Master'!$D$2:$D$202,MATCH(A113,'Location Master'!$E$2:$E$202,0)),""))</f>
        <v/>
      </c>
      <c r="H113" s="82"/>
    </row>
    <row r="114" ht="24.0" customHeight="1">
      <c r="A114" s="135" t="str">
        <f>IF('Location Master'!E115="","",'Location Master'!E115)</f>
        <v/>
      </c>
      <c r="B114" s="133" t="str">
        <f t="array" ref="B114">IF(A114="","",IFERROR(INDEX(Inventory!$B$2:$B$201,MATCH(A114,Inventory!$D$2:$D$201,0)),""))</f>
        <v/>
      </c>
      <c r="C114" s="88" t="str">
        <f t="array" ref="C114">IF(A114="","",IFERROR(INDEX(Inventory!$C$2:$C$201,MATCH(A114,Inventory!$D$2:$D$201,0)),""))</f>
        <v/>
      </c>
      <c r="D114" s="88" t="str">
        <f t="array" ref="D114">IF(A114="","",IFERROR(INDEX('Location Master'!$A$2:$A$202,MATCH(A114,'Location Master'!$E$2:$E$202,0)),""))</f>
        <v/>
      </c>
      <c r="E114" s="88" t="str">
        <f t="array" ref="E114">IF(A114="","",IFERROR(INDEX('Location Master'!$B$2:$B$202,MATCH(A114,'Location Master'!$E$2:$E$202,0)),""))</f>
        <v/>
      </c>
      <c r="F114" s="88" t="str">
        <f t="array" ref="F114">IF(A114="","",IFERROR(INDEX('Location Master'!$C$2:$C$202,MATCH(A114,'Location Master'!$E$2:$E$202,0)),""))</f>
        <v/>
      </c>
      <c r="G114" s="88" t="str">
        <f t="array" ref="G114">IF(A114="","",IFERROR(INDEX('Location Master'!$D$2:$D$202,MATCH(A114,'Location Master'!$E$2:$E$202,0)),""))</f>
        <v/>
      </c>
      <c r="H114" s="88"/>
    </row>
    <row r="115" ht="24.0" customHeight="1">
      <c r="A115" s="132" t="str">
        <f>IF('Location Master'!E116="","",'Location Master'!E116)</f>
        <v/>
      </c>
      <c r="B115" s="130" t="str">
        <f t="array" ref="B115">IF(A115="","",IFERROR(INDEX(Inventory!$B$2:$B$201,MATCH(A115,Inventory!$D$2:$D$201,0)),""))</f>
        <v/>
      </c>
      <c r="C115" s="82" t="str">
        <f t="array" ref="C115">IF(A115="","",IFERROR(INDEX(Inventory!$C$2:$C$201,MATCH(A115,Inventory!$D$2:$D$201,0)),""))</f>
        <v/>
      </c>
      <c r="D115" s="82" t="str">
        <f t="array" ref="D115">IF(A115="","",IFERROR(INDEX('Location Master'!$A$2:$A$202,MATCH(A115,'Location Master'!$E$2:$E$202,0)),""))</f>
        <v/>
      </c>
      <c r="E115" s="82" t="str">
        <f t="array" ref="E115">IF(A115="","",IFERROR(INDEX('Location Master'!$B$2:$B$202,MATCH(A115,'Location Master'!$E$2:$E$202,0)),""))</f>
        <v/>
      </c>
      <c r="F115" s="82" t="str">
        <f t="array" ref="F115">IF(A115="","",IFERROR(INDEX('Location Master'!$C$2:$C$202,MATCH(A115,'Location Master'!$E$2:$E$202,0)),""))</f>
        <v/>
      </c>
      <c r="G115" s="82" t="str">
        <f t="array" ref="G115">IF(A115="","",IFERROR(INDEX('Location Master'!$D$2:$D$202,MATCH(A115,'Location Master'!$E$2:$E$202,0)),""))</f>
        <v/>
      </c>
      <c r="H115" s="82"/>
    </row>
    <row r="116" ht="24.0" customHeight="1">
      <c r="A116" s="135" t="str">
        <f>IF('Location Master'!E117="","",'Location Master'!E117)</f>
        <v/>
      </c>
      <c r="B116" s="133" t="str">
        <f t="array" ref="B116">IF(A116="","",IFERROR(INDEX(Inventory!$B$2:$B$201,MATCH(A116,Inventory!$D$2:$D$201,0)),""))</f>
        <v/>
      </c>
      <c r="C116" s="88" t="str">
        <f t="array" ref="C116">IF(A116="","",IFERROR(INDEX(Inventory!$C$2:$C$201,MATCH(A116,Inventory!$D$2:$D$201,0)),""))</f>
        <v/>
      </c>
      <c r="D116" s="88" t="str">
        <f t="array" ref="D116">IF(A116="","",IFERROR(INDEX('Location Master'!$A$2:$A$202,MATCH(A116,'Location Master'!$E$2:$E$202,0)),""))</f>
        <v/>
      </c>
      <c r="E116" s="88" t="str">
        <f t="array" ref="E116">IF(A116="","",IFERROR(INDEX('Location Master'!$B$2:$B$202,MATCH(A116,'Location Master'!$E$2:$E$202,0)),""))</f>
        <v/>
      </c>
      <c r="F116" s="88" t="str">
        <f t="array" ref="F116">IF(A116="","",IFERROR(INDEX('Location Master'!$C$2:$C$202,MATCH(A116,'Location Master'!$E$2:$E$202,0)),""))</f>
        <v/>
      </c>
      <c r="G116" s="88" t="str">
        <f t="array" ref="G116">IF(A116="","",IFERROR(INDEX('Location Master'!$D$2:$D$202,MATCH(A116,'Location Master'!$E$2:$E$202,0)),""))</f>
        <v/>
      </c>
      <c r="H116" s="88"/>
    </row>
    <row r="117" ht="24.0" customHeight="1">
      <c r="A117" s="132" t="str">
        <f>IF('Location Master'!E118="","",'Location Master'!E118)</f>
        <v/>
      </c>
      <c r="B117" s="130" t="str">
        <f t="array" ref="B117">IF(A117="","",IFERROR(INDEX(Inventory!$B$2:$B$201,MATCH(A117,Inventory!$D$2:$D$201,0)),""))</f>
        <v/>
      </c>
      <c r="C117" s="82" t="str">
        <f t="array" ref="C117">IF(A117="","",IFERROR(INDEX(Inventory!$C$2:$C$201,MATCH(A117,Inventory!$D$2:$D$201,0)),""))</f>
        <v/>
      </c>
      <c r="D117" s="82" t="str">
        <f t="array" ref="D117">IF(A117="","",IFERROR(INDEX('Location Master'!$A$2:$A$202,MATCH(A117,'Location Master'!$E$2:$E$202,0)),""))</f>
        <v/>
      </c>
      <c r="E117" s="82" t="str">
        <f t="array" ref="E117">IF(A117="","",IFERROR(INDEX('Location Master'!$B$2:$B$202,MATCH(A117,'Location Master'!$E$2:$E$202,0)),""))</f>
        <v/>
      </c>
      <c r="F117" s="82" t="str">
        <f t="array" ref="F117">IF(A117="","",IFERROR(INDEX('Location Master'!$C$2:$C$202,MATCH(A117,'Location Master'!$E$2:$E$202,0)),""))</f>
        <v/>
      </c>
      <c r="G117" s="82" t="str">
        <f t="array" ref="G117">IF(A117="","",IFERROR(INDEX('Location Master'!$D$2:$D$202,MATCH(A117,'Location Master'!$E$2:$E$202,0)),""))</f>
        <v/>
      </c>
      <c r="H117" s="82"/>
    </row>
    <row r="118" ht="24.0" customHeight="1">
      <c r="A118" s="135" t="str">
        <f>IF('Location Master'!E119="","",'Location Master'!E119)</f>
        <v/>
      </c>
      <c r="B118" s="133" t="str">
        <f t="array" ref="B118">IF(A118="","",IFERROR(INDEX(Inventory!$B$2:$B$201,MATCH(A118,Inventory!$D$2:$D$201,0)),""))</f>
        <v/>
      </c>
      <c r="C118" s="88" t="str">
        <f t="array" ref="C118">IF(A118="","",IFERROR(INDEX(Inventory!$C$2:$C$201,MATCH(A118,Inventory!$D$2:$D$201,0)),""))</f>
        <v/>
      </c>
      <c r="D118" s="88" t="str">
        <f t="array" ref="D118">IF(A118="","",IFERROR(INDEX('Location Master'!$A$2:$A$202,MATCH(A118,'Location Master'!$E$2:$E$202,0)),""))</f>
        <v/>
      </c>
      <c r="E118" s="88" t="str">
        <f t="array" ref="E118">IF(A118="","",IFERROR(INDEX('Location Master'!$B$2:$B$202,MATCH(A118,'Location Master'!$E$2:$E$202,0)),""))</f>
        <v/>
      </c>
      <c r="F118" s="88" t="str">
        <f t="array" ref="F118">IF(A118="","",IFERROR(INDEX('Location Master'!$C$2:$C$202,MATCH(A118,'Location Master'!$E$2:$E$202,0)),""))</f>
        <v/>
      </c>
      <c r="G118" s="88" t="str">
        <f t="array" ref="G118">IF(A118="","",IFERROR(INDEX('Location Master'!$D$2:$D$202,MATCH(A118,'Location Master'!$E$2:$E$202,0)),""))</f>
        <v/>
      </c>
      <c r="H118" s="88"/>
    </row>
    <row r="119" ht="24.0" customHeight="1">
      <c r="A119" s="132" t="str">
        <f>IF('Location Master'!E120="","",'Location Master'!E120)</f>
        <v/>
      </c>
      <c r="B119" s="130" t="str">
        <f t="array" ref="B119">IF(A119="","",IFERROR(INDEX(Inventory!$B$2:$B$201,MATCH(A119,Inventory!$D$2:$D$201,0)),""))</f>
        <v/>
      </c>
      <c r="C119" s="82" t="str">
        <f t="array" ref="C119">IF(A119="","",IFERROR(INDEX(Inventory!$C$2:$C$201,MATCH(A119,Inventory!$D$2:$D$201,0)),""))</f>
        <v/>
      </c>
      <c r="D119" s="82" t="str">
        <f t="array" ref="D119">IF(A119="","",IFERROR(INDEX('Location Master'!$A$2:$A$202,MATCH(A119,'Location Master'!$E$2:$E$202,0)),""))</f>
        <v/>
      </c>
      <c r="E119" s="82" t="str">
        <f t="array" ref="E119">IF(A119="","",IFERROR(INDEX('Location Master'!$B$2:$B$202,MATCH(A119,'Location Master'!$E$2:$E$202,0)),""))</f>
        <v/>
      </c>
      <c r="F119" s="82" t="str">
        <f t="array" ref="F119">IF(A119="","",IFERROR(INDEX('Location Master'!$C$2:$C$202,MATCH(A119,'Location Master'!$E$2:$E$202,0)),""))</f>
        <v/>
      </c>
      <c r="G119" s="82" t="str">
        <f t="array" ref="G119">IF(A119="","",IFERROR(INDEX('Location Master'!$D$2:$D$202,MATCH(A119,'Location Master'!$E$2:$E$202,0)),""))</f>
        <v/>
      </c>
      <c r="H119" s="82"/>
    </row>
    <row r="120" ht="24.0" customHeight="1">
      <c r="A120" s="135" t="str">
        <f>IF('Location Master'!E121="","",'Location Master'!E121)</f>
        <v/>
      </c>
      <c r="B120" s="133" t="str">
        <f t="array" ref="B120">IF(A120="","",IFERROR(INDEX(Inventory!$B$2:$B$201,MATCH(A120,Inventory!$D$2:$D$201,0)),""))</f>
        <v/>
      </c>
      <c r="C120" s="88" t="str">
        <f t="array" ref="C120">IF(A120="","",IFERROR(INDEX(Inventory!$C$2:$C$201,MATCH(A120,Inventory!$D$2:$D$201,0)),""))</f>
        <v/>
      </c>
      <c r="D120" s="88" t="str">
        <f t="array" ref="D120">IF(A120="","",IFERROR(INDEX('Location Master'!$A$2:$A$202,MATCH(A120,'Location Master'!$E$2:$E$202,0)),""))</f>
        <v/>
      </c>
      <c r="E120" s="88" t="str">
        <f t="array" ref="E120">IF(A120="","",IFERROR(INDEX('Location Master'!$B$2:$B$202,MATCH(A120,'Location Master'!$E$2:$E$202,0)),""))</f>
        <v/>
      </c>
      <c r="F120" s="88" t="str">
        <f t="array" ref="F120">IF(A120="","",IFERROR(INDEX('Location Master'!$C$2:$C$202,MATCH(A120,'Location Master'!$E$2:$E$202,0)),""))</f>
        <v/>
      </c>
      <c r="G120" s="88" t="str">
        <f t="array" ref="G120">IF(A120="","",IFERROR(INDEX('Location Master'!$D$2:$D$202,MATCH(A120,'Location Master'!$E$2:$E$202,0)),""))</f>
        <v/>
      </c>
      <c r="H120" s="88"/>
    </row>
    <row r="121" ht="24.0" customHeight="1">
      <c r="A121" s="132" t="str">
        <f>IF('Location Master'!E122="","",'Location Master'!E122)</f>
        <v/>
      </c>
      <c r="B121" s="130" t="str">
        <f t="array" ref="B121">IF(A121="","",IFERROR(INDEX(Inventory!$B$2:$B$201,MATCH(A121,Inventory!$D$2:$D$201,0)),""))</f>
        <v/>
      </c>
      <c r="C121" s="82" t="str">
        <f t="array" ref="C121">IF(A121="","",IFERROR(INDEX(Inventory!$C$2:$C$201,MATCH(A121,Inventory!$D$2:$D$201,0)),""))</f>
        <v/>
      </c>
      <c r="D121" s="82" t="str">
        <f t="array" ref="D121">IF(A121="","",IFERROR(INDEX('Location Master'!$A$2:$A$202,MATCH(A121,'Location Master'!$E$2:$E$202,0)),""))</f>
        <v/>
      </c>
      <c r="E121" s="82" t="str">
        <f t="array" ref="E121">IF(A121="","",IFERROR(INDEX('Location Master'!$B$2:$B$202,MATCH(A121,'Location Master'!$E$2:$E$202,0)),""))</f>
        <v/>
      </c>
      <c r="F121" s="82" t="str">
        <f t="array" ref="F121">IF(A121="","",IFERROR(INDEX('Location Master'!$C$2:$C$202,MATCH(A121,'Location Master'!$E$2:$E$202,0)),""))</f>
        <v/>
      </c>
      <c r="G121" s="82" t="str">
        <f t="array" ref="G121">IF(A121="","",IFERROR(INDEX('Location Master'!$D$2:$D$202,MATCH(A121,'Location Master'!$E$2:$E$202,0)),""))</f>
        <v/>
      </c>
      <c r="H121" s="82"/>
    </row>
    <row r="122" ht="24.0" customHeight="1">
      <c r="A122" s="135" t="str">
        <f>IF('Location Master'!E123="","",'Location Master'!E123)</f>
        <v/>
      </c>
      <c r="B122" s="133" t="str">
        <f t="array" ref="B122">IF(A122="","",IFERROR(INDEX(Inventory!$B$2:$B$201,MATCH(A122,Inventory!$D$2:$D$201,0)),""))</f>
        <v/>
      </c>
      <c r="C122" s="88" t="str">
        <f t="array" ref="C122">IF(A122="","",IFERROR(INDEX(Inventory!$C$2:$C$201,MATCH(A122,Inventory!$D$2:$D$201,0)),""))</f>
        <v/>
      </c>
      <c r="D122" s="88" t="str">
        <f t="array" ref="D122">IF(A122="","",IFERROR(INDEX('Location Master'!$A$2:$A$202,MATCH(A122,'Location Master'!$E$2:$E$202,0)),""))</f>
        <v/>
      </c>
      <c r="E122" s="88" t="str">
        <f t="array" ref="E122">IF(A122="","",IFERROR(INDEX('Location Master'!$B$2:$B$202,MATCH(A122,'Location Master'!$E$2:$E$202,0)),""))</f>
        <v/>
      </c>
      <c r="F122" s="88" t="str">
        <f t="array" ref="F122">IF(A122="","",IFERROR(INDEX('Location Master'!$C$2:$C$202,MATCH(A122,'Location Master'!$E$2:$E$202,0)),""))</f>
        <v/>
      </c>
      <c r="G122" s="88" t="str">
        <f t="array" ref="G122">IF(A122="","",IFERROR(INDEX('Location Master'!$D$2:$D$202,MATCH(A122,'Location Master'!$E$2:$E$202,0)),""))</f>
        <v/>
      </c>
      <c r="H122" s="88"/>
    </row>
    <row r="123" ht="24.0" customHeight="1">
      <c r="A123" s="132" t="str">
        <f>IF('Location Master'!E124="","",'Location Master'!E124)</f>
        <v/>
      </c>
      <c r="B123" s="130" t="str">
        <f t="array" ref="B123">IF(A123="","",IFERROR(INDEX(Inventory!$B$2:$B$201,MATCH(A123,Inventory!$D$2:$D$201,0)),""))</f>
        <v/>
      </c>
      <c r="C123" s="82" t="str">
        <f t="array" ref="C123">IF(A123="","",IFERROR(INDEX(Inventory!$C$2:$C$201,MATCH(A123,Inventory!$D$2:$D$201,0)),""))</f>
        <v/>
      </c>
      <c r="D123" s="82" t="str">
        <f t="array" ref="D123">IF(A123="","",IFERROR(INDEX('Location Master'!$A$2:$A$202,MATCH(A123,'Location Master'!$E$2:$E$202,0)),""))</f>
        <v/>
      </c>
      <c r="E123" s="82" t="str">
        <f t="array" ref="E123">IF(A123="","",IFERROR(INDEX('Location Master'!$B$2:$B$202,MATCH(A123,'Location Master'!$E$2:$E$202,0)),""))</f>
        <v/>
      </c>
      <c r="F123" s="82" t="str">
        <f t="array" ref="F123">IF(A123="","",IFERROR(INDEX('Location Master'!$C$2:$C$202,MATCH(A123,'Location Master'!$E$2:$E$202,0)),""))</f>
        <v/>
      </c>
      <c r="G123" s="82" t="str">
        <f t="array" ref="G123">IF(A123="","",IFERROR(INDEX('Location Master'!$D$2:$D$202,MATCH(A123,'Location Master'!$E$2:$E$202,0)),""))</f>
        <v/>
      </c>
      <c r="H123" s="82"/>
    </row>
    <row r="124" ht="24.0" customHeight="1">
      <c r="A124" s="135" t="str">
        <f>IF('Location Master'!E125="","",'Location Master'!E125)</f>
        <v/>
      </c>
      <c r="B124" s="133" t="str">
        <f t="array" ref="B124">IF(A124="","",IFERROR(INDEX(Inventory!$B$2:$B$201,MATCH(A124,Inventory!$D$2:$D$201,0)),""))</f>
        <v/>
      </c>
      <c r="C124" s="88" t="str">
        <f t="array" ref="C124">IF(A124="","",IFERROR(INDEX(Inventory!$C$2:$C$201,MATCH(A124,Inventory!$D$2:$D$201,0)),""))</f>
        <v/>
      </c>
      <c r="D124" s="88" t="str">
        <f t="array" ref="D124">IF(A124="","",IFERROR(INDEX('Location Master'!$A$2:$A$202,MATCH(A124,'Location Master'!$E$2:$E$202,0)),""))</f>
        <v/>
      </c>
      <c r="E124" s="88" t="str">
        <f t="array" ref="E124">IF(A124="","",IFERROR(INDEX('Location Master'!$B$2:$B$202,MATCH(A124,'Location Master'!$E$2:$E$202,0)),""))</f>
        <v/>
      </c>
      <c r="F124" s="88" t="str">
        <f t="array" ref="F124">IF(A124="","",IFERROR(INDEX('Location Master'!$C$2:$C$202,MATCH(A124,'Location Master'!$E$2:$E$202,0)),""))</f>
        <v/>
      </c>
      <c r="G124" s="88" t="str">
        <f t="array" ref="G124">IF(A124="","",IFERROR(INDEX('Location Master'!$D$2:$D$202,MATCH(A124,'Location Master'!$E$2:$E$202,0)),""))</f>
        <v/>
      </c>
      <c r="H124" s="88"/>
    </row>
    <row r="125" ht="24.0" customHeight="1">
      <c r="A125" s="132" t="str">
        <f>IF('Location Master'!E126="","",'Location Master'!E126)</f>
        <v/>
      </c>
      <c r="B125" s="130" t="str">
        <f t="array" ref="B125">IF(A125="","",IFERROR(INDEX(Inventory!$B$2:$B$201,MATCH(A125,Inventory!$D$2:$D$201,0)),""))</f>
        <v/>
      </c>
      <c r="C125" s="82" t="str">
        <f t="array" ref="C125">IF(A125="","",IFERROR(INDEX(Inventory!$C$2:$C$201,MATCH(A125,Inventory!$D$2:$D$201,0)),""))</f>
        <v/>
      </c>
      <c r="D125" s="82" t="str">
        <f t="array" ref="D125">IF(A125="","",IFERROR(INDEX('Location Master'!$A$2:$A$202,MATCH(A125,'Location Master'!$E$2:$E$202,0)),""))</f>
        <v/>
      </c>
      <c r="E125" s="82" t="str">
        <f t="array" ref="E125">IF(A125="","",IFERROR(INDEX('Location Master'!$B$2:$B$202,MATCH(A125,'Location Master'!$E$2:$E$202,0)),""))</f>
        <v/>
      </c>
      <c r="F125" s="82" t="str">
        <f t="array" ref="F125">IF(A125="","",IFERROR(INDEX('Location Master'!$C$2:$C$202,MATCH(A125,'Location Master'!$E$2:$E$202,0)),""))</f>
        <v/>
      </c>
      <c r="G125" s="82" t="str">
        <f t="array" ref="G125">IF(A125="","",IFERROR(INDEX('Location Master'!$D$2:$D$202,MATCH(A125,'Location Master'!$E$2:$E$202,0)),""))</f>
        <v/>
      </c>
      <c r="H125" s="82"/>
    </row>
    <row r="126" ht="24.0" customHeight="1">
      <c r="A126" s="135" t="str">
        <f>IF('Location Master'!E127="","",'Location Master'!E127)</f>
        <v/>
      </c>
      <c r="B126" s="133" t="str">
        <f t="array" ref="B126">IF(A126="","",IFERROR(INDEX(Inventory!$B$2:$B$201,MATCH(A126,Inventory!$D$2:$D$201,0)),""))</f>
        <v/>
      </c>
      <c r="C126" s="88" t="str">
        <f t="array" ref="C126">IF(A126="","",IFERROR(INDEX(Inventory!$C$2:$C$201,MATCH(A126,Inventory!$D$2:$D$201,0)),""))</f>
        <v/>
      </c>
      <c r="D126" s="88" t="str">
        <f t="array" ref="D126">IF(A126="","",IFERROR(INDEX('Location Master'!$A$2:$A$202,MATCH(A126,'Location Master'!$E$2:$E$202,0)),""))</f>
        <v/>
      </c>
      <c r="E126" s="88" t="str">
        <f t="array" ref="E126">IF(A126="","",IFERROR(INDEX('Location Master'!$B$2:$B$202,MATCH(A126,'Location Master'!$E$2:$E$202,0)),""))</f>
        <v/>
      </c>
      <c r="F126" s="88" t="str">
        <f t="array" ref="F126">IF(A126="","",IFERROR(INDEX('Location Master'!$C$2:$C$202,MATCH(A126,'Location Master'!$E$2:$E$202,0)),""))</f>
        <v/>
      </c>
      <c r="G126" s="88" t="str">
        <f t="array" ref="G126">IF(A126="","",IFERROR(INDEX('Location Master'!$D$2:$D$202,MATCH(A126,'Location Master'!$E$2:$E$202,0)),""))</f>
        <v/>
      </c>
      <c r="H126" s="88"/>
    </row>
    <row r="127" ht="24.0" customHeight="1">
      <c r="A127" s="132" t="str">
        <f>IF('Location Master'!E128="","",'Location Master'!E128)</f>
        <v/>
      </c>
      <c r="B127" s="130" t="str">
        <f t="array" ref="B127">IF(A127="","",IFERROR(INDEX(Inventory!$B$2:$B$201,MATCH(A127,Inventory!$D$2:$D$201,0)),""))</f>
        <v/>
      </c>
      <c r="C127" s="82" t="str">
        <f t="array" ref="C127">IF(A127="","",IFERROR(INDEX(Inventory!$C$2:$C$201,MATCH(A127,Inventory!$D$2:$D$201,0)),""))</f>
        <v/>
      </c>
      <c r="D127" s="82" t="str">
        <f t="array" ref="D127">IF(A127="","",IFERROR(INDEX('Location Master'!$A$2:$A$202,MATCH(A127,'Location Master'!$E$2:$E$202,0)),""))</f>
        <v/>
      </c>
      <c r="E127" s="82" t="str">
        <f t="array" ref="E127">IF(A127="","",IFERROR(INDEX('Location Master'!$B$2:$B$202,MATCH(A127,'Location Master'!$E$2:$E$202,0)),""))</f>
        <v/>
      </c>
      <c r="F127" s="82" t="str">
        <f t="array" ref="F127">IF(A127="","",IFERROR(INDEX('Location Master'!$C$2:$C$202,MATCH(A127,'Location Master'!$E$2:$E$202,0)),""))</f>
        <v/>
      </c>
      <c r="G127" s="82" t="str">
        <f t="array" ref="G127">IF(A127="","",IFERROR(INDEX('Location Master'!$D$2:$D$202,MATCH(A127,'Location Master'!$E$2:$E$202,0)),""))</f>
        <v/>
      </c>
      <c r="H127" s="82"/>
    </row>
    <row r="128" ht="24.0" customHeight="1">
      <c r="A128" s="135" t="str">
        <f>IF('Location Master'!E129="","",'Location Master'!E129)</f>
        <v/>
      </c>
      <c r="B128" s="133" t="str">
        <f t="array" ref="B128">IF(A128="","",IFERROR(INDEX(Inventory!$B$2:$B$201,MATCH(A128,Inventory!$D$2:$D$201,0)),""))</f>
        <v/>
      </c>
      <c r="C128" s="88" t="str">
        <f t="array" ref="C128">IF(A128="","",IFERROR(INDEX(Inventory!$C$2:$C$201,MATCH(A128,Inventory!$D$2:$D$201,0)),""))</f>
        <v/>
      </c>
      <c r="D128" s="88" t="str">
        <f t="array" ref="D128">IF(A128="","",IFERROR(INDEX('Location Master'!$A$2:$A$202,MATCH(A128,'Location Master'!$E$2:$E$202,0)),""))</f>
        <v/>
      </c>
      <c r="E128" s="88" t="str">
        <f t="array" ref="E128">IF(A128="","",IFERROR(INDEX('Location Master'!$B$2:$B$202,MATCH(A128,'Location Master'!$E$2:$E$202,0)),""))</f>
        <v/>
      </c>
      <c r="F128" s="88" t="str">
        <f t="array" ref="F128">IF(A128="","",IFERROR(INDEX('Location Master'!$C$2:$C$202,MATCH(A128,'Location Master'!$E$2:$E$202,0)),""))</f>
        <v/>
      </c>
      <c r="G128" s="88" t="str">
        <f t="array" ref="G128">IF(A128="","",IFERROR(INDEX('Location Master'!$D$2:$D$202,MATCH(A128,'Location Master'!$E$2:$E$202,0)),""))</f>
        <v/>
      </c>
      <c r="H128" s="88"/>
    </row>
    <row r="129" ht="24.0" customHeight="1">
      <c r="A129" s="132" t="str">
        <f>IF('Location Master'!E130="","",'Location Master'!E130)</f>
        <v/>
      </c>
      <c r="B129" s="130" t="str">
        <f t="array" ref="B129">IF(A129="","",IFERROR(INDEX(Inventory!$B$2:$B$201,MATCH(A129,Inventory!$D$2:$D$201,0)),""))</f>
        <v/>
      </c>
      <c r="C129" s="82" t="str">
        <f t="array" ref="C129">IF(A129="","",IFERROR(INDEX(Inventory!$C$2:$C$201,MATCH(A129,Inventory!$D$2:$D$201,0)),""))</f>
        <v/>
      </c>
      <c r="D129" s="82" t="str">
        <f t="array" ref="D129">IF(A129="","",IFERROR(INDEX('Location Master'!$A$2:$A$202,MATCH(A129,'Location Master'!$E$2:$E$202,0)),""))</f>
        <v/>
      </c>
      <c r="E129" s="82" t="str">
        <f t="array" ref="E129">IF(A129="","",IFERROR(INDEX('Location Master'!$B$2:$B$202,MATCH(A129,'Location Master'!$E$2:$E$202,0)),""))</f>
        <v/>
      </c>
      <c r="F129" s="82" t="str">
        <f t="array" ref="F129">IF(A129="","",IFERROR(INDEX('Location Master'!$C$2:$C$202,MATCH(A129,'Location Master'!$E$2:$E$202,0)),""))</f>
        <v/>
      </c>
      <c r="G129" s="82" t="str">
        <f t="array" ref="G129">IF(A129="","",IFERROR(INDEX('Location Master'!$D$2:$D$202,MATCH(A129,'Location Master'!$E$2:$E$202,0)),""))</f>
        <v/>
      </c>
      <c r="H129" s="82"/>
    </row>
    <row r="130" ht="24.0" customHeight="1">
      <c r="A130" s="135" t="str">
        <f>IF('Location Master'!E131="","",'Location Master'!E131)</f>
        <v/>
      </c>
      <c r="B130" s="133" t="str">
        <f t="array" ref="B130">IF(A130="","",IFERROR(INDEX(Inventory!$B$2:$B$201,MATCH(A130,Inventory!$D$2:$D$201,0)),""))</f>
        <v/>
      </c>
      <c r="C130" s="88" t="str">
        <f t="array" ref="C130">IF(A130="","",IFERROR(INDEX(Inventory!$C$2:$C$201,MATCH(A130,Inventory!$D$2:$D$201,0)),""))</f>
        <v/>
      </c>
      <c r="D130" s="88" t="str">
        <f t="array" ref="D130">IF(A130="","",IFERROR(INDEX('Location Master'!$A$2:$A$202,MATCH(A130,'Location Master'!$E$2:$E$202,0)),""))</f>
        <v/>
      </c>
      <c r="E130" s="88" t="str">
        <f t="array" ref="E130">IF(A130="","",IFERROR(INDEX('Location Master'!$B$2:$B$202,MATCH(A130,'Location Master'!$E$2:$E$202,0)),""))</f>
        <v/>
      </c>
      <c r="F130" s="88" t="str">
        <f t="array" ref="F130">IF(A130="","",IFERROR(INDEX('Location Master'!$C$2:$C$202,MATCH(A130,'Location Master'!$E$2:$E$202,0)),""))</f>
        <v/>
      </c>
      <c r="G130" s="88" t="str">
        <f t="array" ref="G130">IF(A130="","",IFERROR(INDEX('Location Master'!$D$2:$D$202,MATCH(A130,'Location Master'!$E$2:$E$202,0)),""))</f>
        <v/>
      </c>
      <c r="H130" s="88"/>
    </row>
    <row r="131" ht="24.0" customHeight="1">
      <c r="A131" s="132" t="str">
        <f>IF('Location Master'!E132="","",'Location Master'!E132)</f>
        <v/>
      </c>
      <c r="B131" s="130" t="str">
        <f t="array" ref="B131">IF(A131="","",IFERROR(INDEX(Inventory!$B$2:$B$201,MATCH(A131,Inventory!$D$2:$D$201,0)),""))</f>
        <v/>
      </c>
      <c r="C131" s="82" t="str">
        <f t="array" ref="C131">IF(A131="","",IFERROR(INDEX(Inventory!$C$2:$C$201,MATCH(A131,Inventory!$D$2:$D$201,0)),""))</f>
        <v/>
      </c>
      <c r="D131" s="82" t="str">
        <f t="array" ref="D131">IF(A131="","",IFERROR(INDEX('Location Master'!$A$2:$A$202,MATCH(A131,'Location Master'!$E$2:$E$202,0)),""))</f>
        <v/>
      </c>
      <c r="E131" s="82" t="str">
        <f t="array" ref="E131">IF(A131="","",IFERROR(INDEX('Location Master'!$B$2:$B$202,MATCH(A131,'Location Master'!$E$2:$E$202,0)),""))</f>
        <v/>
      </c>
      <c r="F131" s="82" t="str">
        <f t="array" ref="F131">IF(A131="","",IFERROR(INDEX('Location Master'!$C$2:$C$202,MATCH(A131,'Location Master'!$E$2:$E$202,0)),""))</f>
        <v/>
      </c>
      <c r="G131" s="82" t="str">
        <f t="array" ref="G131">IF(A131="","",IFERROR(INDEX('Location Master'!$D$2:$D$202,MATCH(A131,'Location Master'!$E$2:$E$202,0)),""))</f>
        <v/>
      </c>
      <c r="H131" s="82"/>
    </row>
    <row r="132" ht="24.0" customHeight="1">
      <c r="A132" s="135" t="str">
        <f>IF('Location Master'!E133="","",'Location Master'!E133)</f>
        <v/>
      </c>
      <c r="B132" s="133" t="str">
        <f t="array" ref="B132">IF(A132="","",IFERROR(INDEX(Inventory!$B$2:$B$201,MATCH(A132,Inventory!$D$2:$D$201,0)),""))</f>
        <v/>
      </c>
      <c r="C132" s="88" t="str">
        <f t="array" ref="C132">IF(A132="","",IFERROR(INDEX(Inventory!$C$2:$C$201,MATCH(A132,Inventory!$D$2:$D$201,0)),""))</f>
        <v/>
      </c>
      <c r="D132" s="88" t="str">
        <f t="array" ref="D132">IF(A132="","",IFERROR(INDEX('Location Master'!$A$2:$A$202,MATCH(A132,'Location Master'!$E$2:$E$202,0)),""))</f>
        <v/>
      </c>
      <c r="E132" s="88" t="str">
        <f t="array" ref="E132">IF(A132="","",IFERROR(INDEX('Location Master'!$B$2:$B$202,MATCH(A132,'Location Master'!$E$2:$E$202,0)),""))</f>
        <v/>
      </c>
      <c r="F132" s="88" t="str">
        <f t="array" ref="F132">IF(A132="","",IFERROR(INDEX('Location Master'!$C$2:$C$202,MATCH(A132,'Location Master'!$E$2:$E$202,0)),""))</f>
        <v/>
      </c>
      <c r="G132" s="88" t="str">
        <f t="array" ref="G132">IF(A132="","",IFERROR(INDEX('Location Master'!$D$2:$D$202,MATCH(A132,'Location Master'!$E$2:$E$202,0)),""))</f>
        <v/>
      </c>
      <c r="H132" s="88"/>
    </row>
    <row r="133" ht="24.0" customHeight="1">
      <c r="A133" s="132" t="str">
        <f>IF('Location Master'!E134="","",'Location Master'!E134)</f>
        <v/>
      </c>
      <c r="B133" s="130" t="str">
        <f t="array" ref="B133">IF(A133="","",IFERROR(INDEX(Inventory!$B$2:$B$201,MATCH(A133,Inventory!$D$2:$D$201,0)),""))</f>
        <v/>
      </c>
      <c r="C133" s="82" t="str">
        <f t="array" ref="C133">IF(A133="","",IFERROR(INDEX(Inventory!$C$2:$C$201,MATCH(A133,Inventory!$D$2:$D$201,0)),""))</f>
        <v/>
      </c>
      <c r="D133" s="82" t="str">
        <f t="array" ref="D133">IF(A133="","",IFERROR(INDEX('Location Master'!$A$2:$A$202,MATCH(A133,'Location Master'!$E$2:$E$202,0)),""))</f>
        <v/>
      </c>
      <c r="E133" s="82" t="str">
        <f t="array" ref="E133">IF(A133="","",IFERROR(INDEX('Location Master'!$B$2:$B$202,MATCH(A133,'Location Master'!$E$2:$E$202,0)),""))</f>
        <v/>
      </c>
      <c r="F133" s="82" t="str">
        <f t="array" ref="F133">IF(A133="","",IFERROR(INDEX('Location Master'!$C$2:$C$202,MATCH(A133,'Location Master'!$E$2:$E$202,0)),""))</f>
        <v/>
      </c>
      <c r="G133" s="82" t="str">
        <f t="array" ref="G133">IF(A133="","",IFERROR(INDEX('Location Master'!$D$2:$D$202,MATCH(A133,'Location Master'!$E$2:$E$202,0)),""))</f>
        <v/>
      </c>
      <c r="H133" s="82"/>
    </row>
    <row r="134" ht="24.0" customHeight="1">
      <c r="A134" s="135" t="str">
        <f>IF('Location Master'!E135="","",'Location Master'!E135)</f>
        <v/>
      </c>
      <c r="B134" s="133" t="str">
        <f t="array" ref="B134">IF(A134="","",IFERROR(INDEX(Inventory!$B$2:$B$201,MATCH(A134,Inventory!$D$2:$D$201,0)),""))</f>
        <v/>
      </c>
      <c r="C134" s="88" t="str">
        <f t="array" ref="C134">IF(A134="","",IFERROR(INDEX(Inventory!$C$2:$C$201,MATCH(A134,Inventory!$D$2:$D$201,0)),""))</f>
        <v/>
      </c>
      <c r="D134" s="88" t="str">
        <f t="array" ref="D134">IF(A134="","",IFERROR(INDEX('Location Master'!$A$2:$A$202,MATCH(A134,'Location Master'!$E$2:$E$202,0)),""))</f>
        <v/>
      </c>
      <c r="E134" s="88" t="str">
        <f t="array" ref="E134">IF(A134="","",IFERROR(INDEX('Location Master'!$B$2:$B$202,MATCH(A134,'Location Master'!$E$2:$E$202,0)),""))</f>
        <v/>
      </c>
      <c r="F134" s="88" t="str">
        <f t="array" ref="F134">IF(A134="","",IFERROR(INDEX('Location Master'!$C$2:$C$202,MATCH(A134,'Location Master'!$E$2:$E$202,0)),""))</f>
        <v/>
      </c>
      <c r="G134" s="88" t="str">
        <f t="array" ref="G134">IF(A134="","",IFERROR(INDEX('Location Master'!$D$2:$D$202,MATCH(A134,'Location Master'!$E$2:$E$202,0)),""))</f>
        <v/>
      </c>
      <c r="H134" s="88"/>
    </row>
    <row r="135" ht="24.0" customHeight="1">
      <c r="A135" s="132" t="str">
        <f>IF('Location Master'!E136="","",'Location Master'!E136)</f>
        <v/>
      </c>
      <c r="B135" s="130" t="str">
        <f t="array" ref="B135">IF(A135="","",IFERROR(INDEX(Inventory!$B$2:$B$201,MATCH(A135,Inventory!$D$2:$D$201,0)),""))</f>
        <v/>
      </c>
      <c r="C135" s="82" t="str">
        <f t="array" ref="C135">IF(A135="","",IFERROR(INDEX(Inventory!$C$2:$C$201,MATCH(A135,Inventory!$D$2:$D$201,0)),""))</f>
        <v/>
      </c>
      <c r="D135" s="82" t="str">
        <f t="array" ref="D135">IF(A135="","",IFERROR(INDEX('Location Master'!$A$2:$A$202,MATCH(A135,'Location Master'!$E$2:$E$202,0)),""))</f>
        <v/>
      </c>
      <c r="E135" s="82" t="str">
        <f t="array" ref="E135">IF(A135="","",IFERROR(INDEX('Location Master'!$B$2:$B$202,MATCH(A135,'Location Master'!$E$2:$E$202,0)),""))</f>
        <v/>
      </c>
      <c r="F135" s="82" t="str">
        <f t="array" ref="F135">IF(A135="","",IFERROR(INDEX('Location Master'!$C$2:$C$202,MATCH(A135,'Location Master'!$E$2:$E$202,0)),""))</f>
        <v/>
      </c>
      <c r="G135" s="82" t="str">
        <f t="array" ref="G135">IF(A135="","",IFERROR(INDEX('Location Master'!$D$2:$D$202,MATCH(A135,'Location Master'!$E$2:$E$202,0)),""))</f>
        <v/>
      </c>
      <c r="H135" s="82"/>
    </row>
    <row r="136" ht="24.0" customHeight="1">
      <c r="A136" s="135" t="str">
        <f>IF('Location Master'!E137="","",'Location Master'!E137)</f>
        <v/>
      </c>
      <c r="B136" s="133" t="str">
        <f t="array" ref="B136">IF(A136="","",IFERROR(INDEX(Inventory!$B$2:$B$201,MATCH(A136,Inventory!$D$2:$D$201,0)),""))</f>
        <v/>
      </c>
      <c r="C136" s="88" t="str">
        <f t="array" ref="C136">IF(A136="","",IFERROR(INDEX(Inventory!$C$2:$C$201,MATCH(A136,Inventory!$D$2:$D$201,0)),""))</f>
        <v/>
      </c>
      <c r="D136" s="88" t="str">
        <f t="array" ref="D136">IF(A136="","",IFERROR(INDEX('Location Master'!$A$2:$A$202,MATCH(A136,'Location Master'!$E$2:$E$202,0)),""))</f>
        <v/>
      </c>
      <c r="E136" s="88" t="str">
        <f t="array" ref="E136">IF(A136="","",IFERROR(INDEX('Location Master'!$B$2:$B$202,MATCH(A136,'Location Master'!$E$2:$E$202,0)),""))</f>
        <v/>
      </c>
      <c r="F136" s="88" t="str">
        <f t="array" ref="F136">IF(A136="","",IFERROR(INDEX('Location Master'!$C$2:$C$202,MATCH(A136,'Location Master'!$E$2:$E$202,0)),""))</f>
        <v/>
      </c>
      <c r="G136" s="88" t="str">
        <f t="array" ref="G136">IF(A136="","",IFERROR(INDEX('Location Master'!$D$2:$D$202,MATCH(A136,'Location Master'!$E$2:$E$202,0)),""))</f>
        <v/>
      </c>
      <c r="H136" s="88"/>
    </row>
    <row r="137" ht="24.0" customHeight="1">
      <c r="A137" s="132" t="str">
        <f>IF('Location Master'!E138="","",'Location Master'!E138)</f>
        <v/>
      </c>
      <c r="B137" s="130" t="str">
        <f t="array" ref="B137">IF(A137="","",IFERROR(INDEX(Inventory!$B$2:$B$201,MATCH(A137,Inventory!$D$2:$D$201,0)),""))</f>
        <v/>
      </c>
      <c r="C137" s="82" t="str">
        <f t="array" ref="C137">IF(A137="","",IFERROR(INDEX(Inventory!$C$2:$C$201,MATCH(A137,Inventory!$D$2:$D$201,0)),""))</f>
        <v/>
      </c>
      <c r="D137" s="82" t="str">
        <f t="array" ref="D137">IF(A137="","",IFERROR(INDEX('Location Master'!$A$2:$A$202,MATCH(A137,'Location Master'!$E$2:$E$202,0)),""))</f>
        <v/>
      </c>
      <c r="E137" s="82" t="str">
        <f t="array" ref="E137">IF(A137="","",IFERROR(INDEX('Location Master'!$B$2:$B$202,MATCH(A137,'Location Master'!$E$2:$E$202,0)),""))</f>
        <v/>
      </c>
      <c r="F137" s="82" t="str">
        <f t="array" ref="F137">IF(A137="","",IFERROR(INDEX('Location Master'!$C$2:$C$202,MATCH(A137,'Location Master'!$E$2:$E$202,0)),""))</f>
        <v/>
      </c>
      <c r="G137" s="82" t="str">
        <f t="array" ref="G137">IF(A137="","",IFERROR(INDEX('Location Master'!$D$2:$D$202,MATCH(A137,'Location Master'!$E$2:$E$202,0)),""))</f>
        <v/>
      </c>
      <c r="H137" s="82"/>
    </row>
    <row r="138" ht="24.0" customHeight="1">
      <c r="A138" s="135" t="str">
        <f>IF('Location Master'!E139="","",'Location Master'!E139)</f>
        <v/>
      </c>
      <c r="B138" s="133" t="str">
        <f t="array" ref="B138">IF(A138="","",IFERROR(INDEX(Inventory!$B$2:$B$201,MATCH(A138,Inventory!$D$2:$D$201,0)),""))</f>
        <v/>
      </c>
      <c r="C138" s="88" t="str">
        <f t="array" ref="C138">IF(A138="","",IFERROR(INDEX(Inventory!$C$2:$C$201,MATCH(A138,Inventory!$D$2:$D$201,0)),""))</f>
        <v/>
      </c>
      <c r="D138" s="88" t="str">
        <f t="array" ref="D138">IF(A138="","",IFERROR(INDEX('Location Master'!$A$2:$A$202,MATCH(A138,'Location Master'!$E$2:$E$202,0)),""))</f>
        <v/>
      </c>
      <c r="E138" s="88" t="str">
        <f t="array" ref="E138">IF(A138="","",IFERROR(INDEX('Location Master'!$B$2:$B$202,MATCH(A138,'Location Master'!$E$2:$E$202,0)),""))</f>
        <v/>
      </c>
      <c r="F138" s="88" t="str">
        <f t="array" ref="F138">IF(A138="","",IFERROR(INDEX('Location Master'!$C$2:$C$202,MATCH(A138,'Location Master'!$E$2:$E$202,0)),""))</f>
        <v/>
      </c>
      <c r="G138" s="88" t="str">
        <f t="array" ref="G138">IF(A138="","",IFERROR(INDEX('Location Master'!$D$2:$D$202,MATCH(A138,'Location Master'!$E$2:$E$202,0)),""))</f>
        <v/>
      </c>
      <c r="H138" s="88"/>
    </row>
    <row r="139" ht="24.0" customHeight="1">
      <c r="A139" s="132" t="str">
        <f>IF('Location Master'!E140="","",'Location Master'!E140)</f>
        <v/>
      </c>
      <c r="B139" s="130" t="str">
        <f t="array" ref="B139">IF(A139="","",IFERROR(INDEX(Inventory!$B$2:$B$201,MATCH(A139,Inventory!$D$2:$D$201,0)),""))</f>
        <v/>
      </c>
      <c r="C139" s="82" t="str">
        <f t="array" ref="C139">IF(A139="","",IFERROR(INDEX(Inventory!$C$2:$C$201,MATCH(A139,Inventory!$D$2:$D$201,0)),""))</f>
        <v/>
      </c>
      <c r="D139" s="82" t="str">
        <f t="array" ref="D139">IF(A139="","",IFERROR(INDEX('Location Master'!$A$2:$A$202,MATCH(A139,'Location Master'!$E$2:$E$202,0)),""))</f>
        <v/>
      </c>
      <c r="E139" s="82" t="str">
        <f t="array" ref="E139">IF(A139="","",IFERROR(INDEX('Location Master'!$B$2:$B$202,MATCH(A139,'Location Master'!$E$2:$E$202,0)),""))</f>
        <v/>
      </c>
      <c r="F139" s="82" t="str">
        <f t="array" ref="F139">IF(A139="","",IFERROR(INDEX('Location Master'!$C$2:$C$202,MATCH(A139,'Location Master'!$E$2:$E$202,0)),""))</f>
        <v/>
      </c>
      <c r="G139" s="82" t="str">
        <f t="array" ref="G139">IF(A139="","",IFERROR(INDEX('Location Master'!$D$2:$D$202,MATCH(A139,'Location Master'!$E$2:$E$202,0)),""))</f>
        <v/>
      </c>
      <c r="H139" s="82"/>
    </row>
    <row r="140" ht="24.0" customHeight="1">
      <c r="A140" s="135" t="str">
        <f>IF('Location Master'!E141="","",'Location Master'!E141)</f>
        <v/>
      </c>
      <c r="B140" s="133" t="str">
        <f t="array" ref="B140">IF(A140="","",IFERROR(INDEX(Inventory!$B$2:$B$201,MATCH(A140,Inventory!$D$2:$D$201,0)),""))</f>
        <v/>
      </c>
      <c r="C140" s="88" t="str">
        <f t="array" ref="C140">IF(A140="","",IFERROR(INDEX(Inventory!$C$2:$C$201,MATCH(A140,Inventory!$D$2:$D$201,0)),""))</f>
        <v/>
      </c>
      <c r="D140" s="88" t="str">
        <f t="array" ref="D140">IF(A140="","",IFERROR(INDEX('Location Master'!$A$2:$A$202,MATCH(A140,'Location Master'!$E$2:$E$202,0)),""))</f>
        <v/>
      </c>
      <c r="E140" s="88" t="str">
        <f t="array" ref="E140">IF(A140="","",IFERROR(INDEX('Location Master'!$B$2:$B$202,MATCH(A140,'Location Master'!$E$2:$E$202,0)),""))</f>
        <v/>
      </c>
      <c r="F140" s="88" t="str">
        <f t="array" ref="F140">IF(A140="","",IFERROR(INDEX('Location Master'!$C$2:$C$202,MATCH(A140,'Location Master'!$E$2:$E$202,0)),""))</f>
        <v/>
      </c>
      <c r="G140" s="88" t="str">
        <f t="array" ref="G140">IF(A140="","",IFERROR(INDEX('Location Master'!$D$2:$D$202,MATCH(A140,'Location Master'!$E$2:$E$202,0)),""))</f>
        <v/>
      </c>
      <c r="H140" s="88"/>
    </row>
    <row r="141" ht="24.0" customHeight="1">
      <c r="A141" s="132" t="str">
        <f>IF('Location Master'!E142="","",'Location Master'!E142)</f>
        <v/>
      </c>
      <c r="B141" s="130" t="str">
        <f t="array" ref="B141">IF(A141="","",IFERROR(INDEX(Inventory!$B$2:$B$201,MATCH(A141,Inventory!$D$2:$D$201,0)),""))</f>
        <v/>
      </c>
      <c r="C141" s="82" t="str">
        <f t="array" ref="C141">IF(A141="","",IFERROR(INDEX(Inventory!$C$2:$C$201,MATCH(A141,Inventory!$D$2:$D$201,0)),""))</f>
        <v/>
      </c>
      <c r="D141" s="82" t="str">
        <f t="array" ref="D141">IF(A141="","",IFERROR(INDEX('Location Master'!$A$2:$A$202,MATCH(A141,'Location Master'!$E$2:$E$202,0)),""))</f>
        <v/>
      </c>
      <c r="E141" s="82" t="str">
        <f t="array" ref="E141">IF(A141="","",IFERROR(INDEX('Location Master'!$B$2:$B$202,MATCH(A141,'Location Master'!$E$2:$E$202,0)),""))</f>
        <v/>
      </c>
      <c r="F141" s="82" t="str">
        <f t="array" ref="F141">IF(A141="","",IFERROR(INDEX('Location Master'!$C$2:$C$202,MATCH(A141,'Location Master'!$E$2:$E$202,0)),""))</f>
        <v/>
      </c>
      <c r="G141" s="82" t="str">
        <f t="array" ref="G141">IF(A141="","",IFERROR(INDEX('Location Master'!$D$2:$D$202,MATCH(A141,'Location Master'!$E$2:$E$202,0)),""))</f>
        <v/>
      </c>
      <c r="H141" s="82"/>
    </row>
    <row r="142" ht="24.0" customHeight="1">
      <c r="A142" s="135" t="str">
        <f>IF('Location Master'!E143="","",'Location Master'!E143)</f>
        <v/>
      </c>
      <c r="B142" s="133" t="str">
        <f t="array" ref="B142">IF(A142="","",IFERROR(INDEX(Inventory!$B$2:$B$201,MATCH(A142,Inventory!$D$2:$D$201,0)),""))</f>
        <v/>
      </c>
      <c r="C142" s="88" t="str">
        <f t="array" ref="C142">IF(A142="","",IFERROR(INDEX(Inventory!$C$2:$C$201,MATCH(A142,Inventory!$D$2:$D$201,0)),""))</f>
        <v/>
      </c>
      <c r="D142" s="88" t="str">
        <f t="array" ref="D142">IF(A142="","",IFERROR(INDEX('Location Master'!$A$2:$A$202,MATCH(A142,'Location Master'!$E$2:$E$202,0)),""))</f>
        <v/>
      </c>
      <c r="E142" s="88" t="str">
        <f t="array" ref="E142">IF(A142="","",IFERROR(INDEX('Location Master'!$B$2:$B$202,MATCH(A142,'Location Master'!$E$2:$E$202,0)),""))</f>
        <v/>
      </c>
      <c r="F142" s="88" t="str">
        <f t="array" ref="F142">IF(A142="","",IFERROR(INDEX('Location Master'!$C$2:$C$202,MATCH(A142,'Location Master'!$E$2:$E$202,0)),""))</f>
        <v/>
      </c>
      <c r="G142" s="88" t="str">
        <f t="array" ref="G142">IF(A142="","",IFERROR(INDEX('Location Master'!$D$2:$D$202,MATCH(A142,'Location Master'!$E$2:$E$202,0)),""))</f>
        <v/>
      </c>
      <c r="H142" s="88"/>
    </row>
    <row r="143" ht="24.0" customHeight="1">
      <c r="A143" s="132" t="str">
        <f>IF('Location Master'!E144="","",'Location Master'!E144)</f>
        <v/>
      </c>
      <c r="B143" s="130" t="str">
        <f t="array" ref="B143">IF(A143="","",IFERROR(INDEX(Inventory!$B$2:$B$201,MATCH(A143,Inventory!$D$2:$D$201,0)),""))</f>
        <v/>
      </c>
      <c r="C143" s="82" t="str">
        <f t="array" ref="C143">IF(A143="","",IFERROR(INDEX(Inventory!$C$2:$C$201,MATCH(A143,Inventory!$D$2:$D$201,0)),""))</f>
        <v/>
      </c>
      <c r="D143" s="82" t="str">
        <f t="array" ref="D143">IF(A143="","",IFERROR(INDEX('Location Master'!$A$2:$A$202,MATCH(A143,'Location Master'!$E$2:$E$202,0)),""))</f>
        <v/>
      </c>
      <c r="E143" s="82" t="str">
        <f t="array" ref="E143">IF(A143="","",IFERROR(INDEX('Location Master'!$B$2:$B$202,MATCH(A143,'Location Master'!$E$2:$E$202,0)),""))</f>
        <v/>
      </c>
      <c r="F143" s="82" t="str">
        <f t="array" ref="F143">IF(A143="","",IFERROR(INDEX('Location Master'!$C$2:$C$202,MATCH(A143,'Location Master'!$E$2:$E$202,0)),""))</f>
        <v/>
      </c>
      <c r="G143" s="82" t="str">
        <f t="array" ref="G143">IF(A143="","",IFERROR(INDEX('Location Master'!$D$2:$D$202,MATCH(A143,'Location Master'!$E$2:$E$202,0)),""))</f>
        <v/>
      </c>
      <c r="H143" s="82"/>
    </row>
    <row r="144" ht="24.0" customHeight="1">
      <c r="A144" s="135" t="str">
        <f>IF('Location Master'!E145="","",'Location Master'!E145)</f>
        <v/>
      </c>
      <c r="B144" s="133" t="str">
        <f t="array" ref="B144">IF(A144="","",IFERROR(INDEX(Inventory!$B$2:$B$201,MATCH(A144,Inventory!$D$2:$D$201,0)),""))</f>
        <v/>
      </c>
      <c r="C144" s="88" t="str">
        <f t="array" ref="C144">IF(A144="","",IFERROR(INDEX(Inventory!$C$2:$C$201,MATCH(A144,Inventory!$D$2:$D$201,0)),""))</f>
        <v/>
      </c>
      <c r="D144" s="88" t="str">
        <f t="array" ref="D144">IF(A144="","",IFERROR(INDEX('Location Master'!$A$2:$A$202,MATCH(A144,'Location Master'!$E$2:$E$202,0)),""))</f>
        <v/>
      </c>
      <c r="E144" s="88" t="str">
        <f t="array" ref="E144">IF(A144="","",IFERROR(INDEX('Location Master'!$B$2:$B$202,MATCH(A144,'Location Master'!$E$2:$E$202,0)),""))</f>
        <v/>
      </c>
      <c r="F144" s="88" t="str">
        <f t="array" ref="F144">IF(A144="","",IFERROR(INDEX('Location Master'!$C$2:$C$202,MATCH(A144,'Location Master'!$E$2:$E$202,0)),""))</f>
        <v/>
      </c>
      <c r="G144" s="88" t="str">
        <f t="array" ref="G144">IF(A144="","",IFERROR(INDEX('Location Master'!$D$2:$D$202,MATCH(A144,'Location Master'!$E$2:$E$202,0)),""))</f>
        <v/>
      </c>
      <c r="H144" s="88"/>
    </row>
    <row r="145" ht="24.0" customHeight="1">
      <c r="A145" s="132" t="str">
        <f>IF('Location Master'!E146="","",'Location Master'!E146)</f>
        <v/>
      </c>
      <c r="B145" s="130" t="str">
        <f t="array" ref="B145">IF(A145="","",IFERROR(INDEX(Inventory!$B$2:$B$201,MATCH(A145,Inventory!$D$2:$D$201,0)),""))</f>
        <v/>
      </c>
      <c r="C145" s="82" t="str">
        <f t="array" ref="C145">IF(A145="","",IFERROR(INDEX(Inventory!$C$2:$C$201,MATCH(A145,Inventory!$D$2:$D$201,0)),""))</f>
        <v/>
      </c>
      <c r="D145" s="82" t="str">
        <f t="array" ref="D145">IF(A145="","",IFERROR(INDEX('Location Master'!$A$2:$A$202,MATCH(A145,'Location Master'!$E$2:$E$202,0)),""))</f>
        <v/>
      </c>
      <c r="E145" s="82" t="str">
        <f t="array" ref="E145">IF(A145="","",IFERROR(INDEX('Location Master'!$B$2:$B$202,MATCH(A145,'Location Master'!$E$2:$E$202,0)),""))</f>
        <v/>
      </c>
      <c r="F145" s="82" t="str">
        <f t="array" ref="F145">IF(A145="","",IFERROR(INDEX('Location Master'!$C$2:$C$202,MATCH(A145,'Location Master'!$E$2:$E$202,0)),""))</f>
        <v/>
      </c>
      <c r="G145" s="82" t="str">
        <f t="array" ref="G145">IF(A145="","",IFERROR(INDEX('Location Master'!$D$2:$D$202,MATCH(A145,'Location Master'!$E$2:$E$202,0)),""))</f>
        <v/>
      </c>
      <c r="H145" s="82"/>
    </row>
    <row r="146" ht="24.0" customHeight="1">
      <c r="A146" s="135" t="str">
        <f>IF('Location Master'!E147="","",'Location Master'!E147)</f>
        <v/>
      </c>
      <c r="B146" s="133" t="str">
        <f t="array" ref="B146">IF(A146="","",IFERROR(INDEX(Inventory!$B$2:$B$201,MATCH(A146,Inventory!$D$2:$D$201,0)),""))</f>
        <v/>
      </c>
      <c r="C146" s="88" t="str">
        <f t="array" ref="C146">IF(A146="","",IFERROR(INDEX(Inventory!$C$2:$C$201,MATCH(A146,Inventory!$D$2:$D$201,0)),""))</f>
        <v/>
      </c>
      <c r="D146" s="88" t="str">
        <f t="array" ref="D146">IF(A146="","",IFERROR(INDEX('Location Master'!$A$2:$A$202,MATCH(A146,'Location Master'!$E$2:$E$202,0)),""))</f>
        <v/>
      </c>
      <c r="E146" s="88" t="str">
        <f t="array" ref="E146">IF(A146="","",IFERROR(INDEX('Location Master'!$B$2:$B$202,MATCH(A146,'Location Master'!$E$2:$E$202,0)),""))</f>
        <v/>
      </c>
      <c r="F146" s="88" t="str">
        <f t="array" ref="F146">IF(A146="","",IFERROR(INDEX('Location Master'!$C$2:$C$202,MATCH(A146,'Location Master'!$E$2:$E$202,0)),""))</f>
        <v/>
      </c>
      <c r="G146" s="88" t="str">
        <f t="array" ref="G146">IF(A146="","",IFERROR(INDEX('Location Master'!$D$2:$D$202,MATCH(A146,'Location Master'!$E$2:$E$202,0)),""))</f>
        <v/>
      </c>
      <c r="H146" s="88"/>
    </row>
    <row r="147" ht="24.0" customHeight="1">
      <c r="A147" s="132" t="str">
        <f>IF('Location Master'!E148="","",'Location Master'!E148)</f>
        <v/>
      </c>
      <c r="B147" s="130" t="str">
        <f t="array" ref="B147">IF(A147="","",IFERROR(INDEX(Inventory!$B$2:$B$201,MATCH(A147,Inventory!$D$2:$D$201,0)),""))</f>
        <v/>
      </c>
      <c r="C147" s="82" t="str">
        <f t="array" ref="C147">IF(A147="","",IFERROR(INDEX(Inventory!$C$2:$C$201,MATCH(A147,Inventory!$D$2:$D$201,0)),""))</f>
        <v/>
      </c>
      <c r="D147" s="82" t="str">
        <f t="array" ref="D147">IF(A147="","",IFERROR(INDEX('Location Master'!$A$2:$A$202,MATCH(A147,'Location Master'!$E$2:$E$202,0)),""))</f>
        <v/>
      </c>
      <c r="E147" s="82" t="str">
        <f t="array" ref="E147">IF(A147="","",IFERROR(INDEX('Location Master'!$B$2:$B$202,MATCH(A147,'Location Master'!$E$2:$E$202,0)),""))</f>
        <v/>
      </c>
      <c r="F147" s="82" t="str">
        <f t="array" ref="F147">IF(A147="","",IFERROR(INDEX('Location Master'!$C$2:$C$202,MATCH(A147,'Location Master'!$E$2:$E$202,0)),""))</f>
        <v/>
      </c>
      <c r="G147" s="82" t="str">
        <f t="array" ref="G147">IF(A147="","",IFERROR(INDEX('Location Master'!$D$2:$D$202,MATCH(A147,'Location Master'!$E$2:$E$202,0)),""))</f>
        <v/>
      </c>
      <c r="H147" s="82"/>
    </row>
    <row r="148" ht="24.0" customHeight="1">
      <c r="A148" s="135" t="str">
        <f>IF('Location Master'!E149="","",'Location Master'!E149)</f>
        <v/>
      </c>
      <c r="B148" s="133" t="str">
        <f t="array" ref="B148">IF(A148="","",IFERROR(INDEX(Inventory!$B$2:$B$201,MATCH(A148,Inventory!$D$2:$D$201,0)),""))</f>
        <v/>
      </c>
      <c r="C148" s="88" t="str">
        <f t="array" ref="C148">IF(A148="","",IFERROR(INDEX(Inventory!$C$2:$C$201,MATCH(A148,Inventory!$D$2:$D$201,0)),""))</f>
        <v/>
      </c>
      <c r="D148" s="88" t="str">
        <f t="array" ref="D148">IF(A148="","",IFERROR(INDEX('Location Master'!$A$2:$A$202,MATCH(A148,'Location Master'!$E$2:$E$202,0)),""))</f>
        <v/>
      </c>
      <c r="E148" s="88" t="str">
        <f t="array" ref="E148">IF(A148="","",IFERROR(INDEX('Location Master'!$B$2:$B$202,MATCH(A148,'Location Master'!$E$2:$E$202,0)),""))</f>
        <v/>
      </c>
      <c r="F148" s="88" t="str">
        <f t="array" ref="F148">IF(A148="","",IFERROR(INDEX('Location Master'!$C$2:$C$202,MATCH(A148,'Location Master'!$E$2:$E$202,0)),""))</f>
        <v/>
      </c>
      <c r="G148" s="88" t="str">
        <f t="array" ref="G148">IF(A148="","",IFERROR(INDEX('Location Master'!$D$2:$D$202,MATCH(A148,'Location Master'!$E$2:$E$202,0)),""))</f>
        <v/>
      </c>
      <c r="H148" s="88"/>
    </row>
    <row r="149" ht="24.0" customHeight="1">
      <c r="A149" s="132" t="str">
        <f>IF('Location Master'!E150="","",'Location Master'!E150)</f>
        <v/>
      </c>
      <c r="B149" s="130" t="str">
        <f t="array" ref="B149">IF(A149="","",IFERROR(INDEX(Inventory!$B$2:$B$201,MATCH(A149,Inventory!$D$2:$D$201,0)),""))</f>
        <v/>
      </c>
      <c r="C149" s="82" t="str">
        <f t="array" ref="C149">IF(A149="","",IFERROR(INDEX(Inventory!$C$2:$C$201,MATCH(A149,Inventory!$D$2:$D$201,0)),""))</f>
        <v/>
      </c>
      <c r="D149" s="82" t="str">
        <f t="array" ref="D149">IF(A149="","",IFERROR(INDEX('Location Master'!$A$2:$A$202,MATCH(A149,'Location Master'!$E$2:$E$202,0)),""))</f>
        <v/>
      </c>
      <c r="E149" s="82" t="str">
        <f t="array" ref="E149">IF(A149="","",IFERROR(INDEX('Location Master'!$B$2:$B$202,MATCH(A149,'Location Master'!$E$2:$E$202,0)),""))</f>
        <v/>
      </c>
      <c r="F149" s="82" t="str">
        <f t="array" ref="F149">IF(A149="","",IFERROR(INDEX('Location Master'!$C$2:$C$202,MATCH(A149,'Location Master'!$E$2:$E$202,0)),""))</f>
        <v/>
      </c>
      <c r="G149" s="82" t="str">
        <f t="array" ref="G149">IF(A149="","",IFERROR(INDEX('Location Master'!$D$2:$D$202,MATCH(A149,'Location Master'!$E$2:$E$202,0)),""))</f>
        <v/>
      </c>
      <c r="H149" s="82"/>
    </row>
    <row r="150" ht="24.0" customHeight="1">
      <c r="A150" s="135" t="str">
        <f>IF('Location Master'!E151="","",'Location Master'!E151)</f>
        <v/>
      </c>
      <c r="B150" s="133" t="str">
        <f t="array" ref="B150">IF(A150="","",IFERROR(INDEX(Inventory!$B$2:$B$201,MATCH(A150,Inventory!$D$2:$D$201,0)),""))</f>
        <v/>
      </c>
      <c r="C150" s="88" t="str">
        <f t="array" ref="C150">IF(A150="","",IFERROR(INDEX(Inventory!$C$2:$C$201,MATCH(A150,Inventory!$D$2:$D$201,0)),""))</f>
        <v/>
      </c>
      <c r="D150" s="88" t="str">
        <f t="array" ref="D150">IF(A150="","",IFERROR(INDEX('Location Master'!$A$2:$A$202,MATCH(A150,'Location Master'!$E$2:$E$202,0)),""))</f>
        <v/>
      </c>
      <c r="E150" s="88" t="str">
        <f t="array" ref="E150">IF(A150="","",IFERROR(INDEX('Location Master'!$B$2:$B$202,MATCH(A150,'Location Master'!$E$2:$E$202,0)),""))</f>
        <v/>
      </c>
      <c r="F150" s="88" t="str">
        <f t="array" ref="F150">IF(A150="","",IFERROR(INDEX('Location Master'!$C$2:$C$202,MATCH(A150,'Location Master'!$E$2:$E$202,0)),""))</f>
        <v/>
      </c>
      <c r="G150" s="88" t="str">
        <f t="array" ref="G150">IF(A150="","",IFERROR(INDEX('Location Master'!$D$2:$D$202,MATCH(A150,'Location Master'!$E$2:$E$202,0)),""))</f>
        <v/>
      </c>
      <c r="H150" s="88"/>
    </row>
    <row r="151" ht="24.0" customHeight="1">
      <c r="A151" s="132" t="str">
        <f>IF('Location Master'!E152="","",'Location Master'!E152)</f>
        <v/>
      </c>
      <c r="B151" s="130" t="str">
        <f t="array" ref="B151">IF(A151="","",IFERROR(INDEX(Inventory!$B$2:$B$201,MATCH(A151,Inventory!$D$2:$D$201,0)),""))</f>
        <v/>
      </c>
      <c r="C151" s="82" t="str">
        <f t="array" ref="C151">IF(A151="","",IFERROR(INDEX(Inventory!$C$2:$C$201,MATCH(A151,Inventory!$D$2:$D$201,0)),""))</f>
        <v/>
      </c>
      <c r="D151" s="82" t="str">
        <f t="array" ref="D151">IF(A151="","",IFERROR(INDEX('Location Master'!$A$2:$A$202,MATCH(A151,'Location Master'!$E$2:$E$202,0)),""))</f>
        <v/>
      </c>
      <c r="E151" s="82" t="str">
        <f t="array" ref="E151">IF(A151="","",IFERROR(INDEX('Location Master'!$B$2:$B$202,MATCH(A151,'Location Master'!$E$2:$E$202,0)),""))</f>
        <v/>
      </c>
      <c r="F151" s="82" t="str">
        <f t="array" ref="F151">IF(A151="","",IFERROR(INDEX('Location Master'!$C$2:$C$202,MATCH(A151,'Location Master'!$E$2:$E$202,0)),""))</f>
        <v/>
      </c>
      <c r="G151" s="82" t="str">
        <f t="array" ref="G151">IF(A151="","",IFERROR(INDEX('Location Master'!$D$2:$D$202,MATCH(A151,'Location Master'!$E$2:$E$202,0)),""))</f>
        <v/>
      </c>
      <c r="H151" s="82"/>
    </row>
    <row r="152" ht="24.0" customHeight="1">
      <c r="A152" s="135" t="str">
        <f>IF('Location Master'!E153="","",'Location Master'!E153)</f>
        <v/>
      </c>
      <c r="B152" s="133" t="str">
        <f t="array" ref="B152">IF(A152="","",IFERROR(INDEX(Inventory!$B$2:$B$201,MATCH(A152,Inventory!$D$2:$D$201,0)),""))</f>
        <v/>
      </c>
      <c r="C152" s="88" t="str">
        <f t="array" ref="C152">IF(A152="","",IFERROR(INDEX(Inventory!$C$2:$C$201,MATCH(A152,Inventory!$D$2:$D$201,0)),""))</f>
        <v/>
      </c>
      <c r="D152" s="88" t="str">
        <f t="array" ref="D152">IF(A152="","",IFERROR(INDEX('Location Master'!$A$2:$A$202,MATCH(A152,'Location Master'!$E$2:$E$202,0)),""))</f>
        <v/>
      </c>
      <c r="E152" s="88" t="str">
        <f t="array" ref="E152">IF(A152="","",IFERROR(INDEX('Location Master'!$B$2:$B$202,MATCH(A152,'Location Master'!$E$2:$E$202,0)),""))</f>
        <v/>
      </c>
      <c r="F152" s="88" t="str">
        <f t="array" ref="F152">IF(A152="","",IFERROR(INDEX('Location Master'!$C$2:$C$202,MATCH(A152,'Location Master'!$E$2:$E$202,0)),""))</f>
        <v/>
      </c>
      <c r="G152" s="88" t="str">
        <f t="array" ref="G152">IF(A152="","",IFERROR(INDEX('Location Master'!$D$2:$D$202,MATCH(A152,'Location Master'!$E$2:$E$202,0)),""))</f>
        <v/>
      </c>
      <c r="H152" s="88"/>
    </row>
    <row r="153" ht="24.0" customHeight="1">
      <c r="A153" s="132" t="str">
        <f>IF('Location Master'!E154="","",'Location Master'!E154)</f>
        <v/>
      </c>
      <c r="B153" s="130" t="str">
        <f t="array" ref="B153">IF(A153="","",IFERROR(INDEX(Inventory!$B$2:$B$201,MATCH(A153,Inventory!$D$2:$D$201,0)),""))</f>
        <v/>
      </c>
      <c r="C153" s="82" t="str">
        <f t="array" ref="C153">IF(A153="","",IFERROR(INDEX(Inventory!$C$2:$C$201,MATCH(A153,Inventory!$D$2:$D$201,0)),""))</f>
        <v/>
      </c>
      <c r="D153" s="82" t="str">
        <f t="array" ref="D153">IF(A153="","",IFERROR(INDEX('Location Master'!$A$2:$A$202,MATCH(A153,'Location Master'!$E$2:$E$202,0)),""))</f>
        <v/>
      </c>
      <c r="E153" s="82" t="str">
        <f t="array" ref="E153">IF(A153="","",IFERROR(INDEX('Location Master'!$B$2:$B$202,MATCH(A153,'Location Master'!$E$2:$E$202,0)),""))</f>
        <v/>
      </c>
      <c r="F153" s="82" t="str">
        <f t="array" ref="F153">IF(A153="","",IFERROR(INDEX('Location Master'!$C$2:$C$202,MATCH(A153,'Location Master'!$E$2:$E$202,0)),""))</f>
        <v/>
      </c>
      <c r="G153" s="82" t="str">
        <f t="array" ref="G153">IF(A153="","",IFERROR(INDEX('Location Master'!$D$2:$D$202,MATCH(A153,'Location Master'!$E$2:$E$202,0)),""))</f>
        <v/>
      </c>
      <c r="H153" s="82"/>
    </row>
    <row r="154" ht="24.0" customHeight="1">
      <c r="A154" s="135" t="str">
        <f>IF('Location Master'!E155="","",'Location Master'!E155)</f>
        <v/>
      </c>
      <c r="B154" s="133" t="str">
        <f t="array" ref="B154">IF(A154="","",IFERROR(INDEX(Inventory!$B$2:$B$201,MATCH(A154,Inventory!$D$2:$D$201,0)),""))</f>
        <v/>
      </c>
      <c r="C154" s="88" t="str">
        <f t="array" ref="C154">IF(A154="","",IFERROR(INDEX(Inventory!$C$2:$C$201,MATCH(A154,Inventory!$D$2:$D$201,0)),""))</f>
        <v/>
      </c>
      <c r="D154" s="88" t="str">
        <f t="array" ref="D154">IF(A154="","",IFERROR(INDEX('Location Master'!$A$2:$A$202,MATCH(A154,'Location Master'!$E$2:$E$202,0)),""))</f>
        <v/>
      </c>
      <c r="E154" s="88" t="str">
        <f t="array" ref="E154">IF(A154="","",IFERROR(INDEX('Location Master'!$B$2:$B$202,MATCH(A154,'Location Master'!$E$2:$E$202,0)),""))</f>
        <v/>
      </c>
      <c r="F154" s="88" t="str">
        <f t="array" ref="F154">IF(A154="","",IFERROR(INDEX('Location Master'!$C$2:$C$202,MATCH(A154,'Location Master'!$E$2:$E$202,0)),""))</f>
        <v/>
      </c>
      <c r="G154" s="88" t="str">
        <f t="array" ref="G154">IF(A154="","",IFERROR(INDEX('Location Master'!$D$2:$D$202,MATCH(A154,'Location Master'!$E$2:$E$202,0)),""))</f>
        <v/>
      </c>
      <c r="H154" s="88"/>
    </row>
    <row r="155" ht="24.0" customHeight="1">
      <c r="A155" s="132" t="str">
        <f>IF('Location Master'!E156="","",'Location Master'!E156)</f>
        <v/>
      </c>
      <c r="B155" s="130" t="str">
        <f t="array" ref="B155">IF(A155="","",IFERROR(INDEX(Inventory!$B$2:$B$201,MATCH(A155,Inventory!$D$2:$D$201,0)),""))</f>
        <v/>
      </c>
      <c r="C155" s="82" t="str">
        <f t="array" ref="C155">IF(A155="","",IFERROR(INDEX(Inventory!$C$2:$C$201,MATCH(A155,Inventory!$D$2:$D$201,0)),""))</f>
        <v/>
      </c>
      <c r="D155" s="82" t="str">
        <f t="array" ref="D155">IF(A155="","",IFERROR(INDEX('Location Master'!$A$2:$A$202,MATCH(A155,'Location Master'!$E$2:$E$202,0)),""))</f>
        <v/>
      </c>
      <c r="E155" s="82" t="str">
        <f t="array" ref="E155">IF(A155="","",IFERROR(INDEX('Location Master'!$B$2:$B$202,MATCH(A155,'Location Master'!$E$2:$E$202,0)),""))</f>
        <v/>
      </c>
      <c r="F155" s="82" t="str">
        <f t="array" ref="F155">IF(A155="","",IFERROR(INDEX('Location Master'!$C$2:$C$202,MATCH(A155,'Location Master'!$E$2:$E$202,0)),""))</f>
        <v/>
      </c>
      <c r="G155" s="82" t="str">
        <f t="array" ref="G155">IF(A155="","",IFERROR(INDEX('Location Master'!$D$2:$D$202,MATCH(A155,'Location Master'!$E$2:$E$202,0)),""))</f>
        <v/>
      </c>
      <c r="H155" s="82"/>
    </row>
    <row r="156" ht="24.0" customHeight="1">
      <c r="A156" s="135" t="str">
        <f>IF('Location Master'!E157="","",'Location Master'!E157)</f>
        <v/>
      </c>
      <c r="B156" s="133" t="str">
        <f t="array" ref="B156">IF(A156="","",IFERROR(INDEX(Inventory!$B$2:$B$201,MATCH(A156,Inventory!$D$2:$D$201,0)),""))</f>
        <v/>
      </c>
      <c r="C156" s="88" t="str">
        <f t="array" ref="C156">IF(A156="","",IFERROR(INDEX(Inventory!$C$2:$C$201,MATCH(A156,Inventory!$D$2:$D$201,0)),""))</f>
        <v/>
      </c>
      <c r="D156" s="88" t="str">
        <f t="array" ref="D156">IF(A156="","",IFERROR(INDEX('Location Master'!$A$2:$A$202,MATCH(A156,'Location Master'!$E$2:$E$202,0)),""))</f>
        <v/>
      </c>
      <c r="E156" s="88" t="str">
        <f t="array" ref="E156">IF(A156="","",IFERROR(INDEX('Location Master'!$B$2:$B$202,MATCH(A156,'Location Master'!$E$2:$E$202,0)),""))</f>
        <v/>
      </c>
      <c r="F156" s="88" t="str">
        <f t="array" ref="F156">IF(A156="","",IFERROR(INDEX('Location Master'!$C$2:$C$202,MATCH(A156,'Location Master'!$E$2:$E$202,0)),""))</f>
        <v/>
      </c>
      <c r="G156" s="88" t="str">
        <f t="array" ref="G156">IF(A156="","",IFERROR(INDEX('Location Master'!$D$2:$D$202,MATCH(A156,'Location Master'!$E$2:$E$202,0)),""))</f>
        <v/>
      </c>
      <c r="H156" s="88"/>
    </row>
    <row r="157" ht="24.0" customHeight="1">
      <c r="A157" s="132" t="str">
        <f>IF('Location Master'!E158="","",'Location Master'!E158)</f>
        <v/>
      </c>
      <c r="B157" s="130" t="str">
        <f t="array" ref="B157">IF(A157="","",IFERROR(INDEX(Inventory!$B$2:$B$201,MATCH(A157,Inventory!$D$2:$D$201,0)),""))</f>
        <v/>
      </c>
      <c r="C157" s="82" t="str">
        <f t="array" ref="C157">IF(A157="","",IFERROR(INDEX(Inventory!$C$2:$C$201,MATCH(A157,Inventory!$D$2:$D$201,0)),""))</f>
        <v/>
      </c>
      <c r="D157" s="82" t="str">
        <f t="array" ref="D157">IF(A157="","",IFERROR(INDEX('Location Master'!$A$2:$A$202,MATCH(A157,'Location Master'!$E$2:$E$202,0)),""))</f>
        <v/>
      </c>
      <c r="E157" s="82" t="str">
        <f t="array" ref="E157">IF(A157="","",IFERROR(INDEX('Location Master'!$B$2:$B$202,MATCH(A157,'Location Master'!$E$2:$E$202,0)),""))</f>
        <v/>
      </c>
      <c r="F157" s="82" t="str">
        <f t="array" ref="F157">IF(A157="","",IFERROR(INDEX('Location Master'!$C$2:$C$202,MATCH(A157,'Location Master'!$E$2:$E$202,0)),""))</f>
        <v/>
      </c>
      <c r="G157" s="82" t="str">
        <f t="array" ref="G157">IF(A157="","",IFERROR(INDEX('Location Master'!$D$2:$D$202,MATCH(A157,'Location Master'!$E$2:$E$202,0)),""))</f>
        <v/>
      </c>
      <c r="H157" s="82"/>
    </row>
    <row r="158" ht="24.0" customHeight="1">
      <c r="A158" s="135" t="str">
        <f>IF('Location Master'!E159="","",'Location Master'!E159)</f>
        <v/>
      </c>
      <c r="B158" s="133" t="str">
        <f t="array" ref="B158">IF(A158="","",IFERROR(INDEX(Inventory!$B$2:$B$201,MATCH(A158,Inventory!$D$2:$D$201,0)),""))</f>
        <v/>
      </c>
      <c r="C158" s="88" t="str">
        <f t="array" ref="C158">IF(A158="","",IFERROR(INDEX(Inventory!$C$2:$C$201,MATCH(A158,Inventory!$D$2:$D$201,0)),""))</f>
        <v/>
      </c>
      <c r="D158" s="88" t="str">
        <f t="array" ref="D158">IF(A158="","",IFERROR(INDEX('Location Master'!$A$2:$A$202,MATCH(A158,'Location Master'!$E$2:$E$202,0)),""))</f>
        <v/>
      </c>
      <c r="E158" s="88" t="str">
        <f t="array" ref="E158">IF(A158="","",IFERROR(INDEX('Location Master'!$B$2:$B$202,MATCH(A158,'Location Master'!$E$2:$E$202,0)),""))</f>
        <v/>
      </c>
      <c r="F158" s="88" t="str">
        <f t="array" ref="F158">IF(A158="","",IFERROR(INDEX('Location Master'!$C$2:$C$202,MATCH(A158,'Location Master'!$E$2:$E$202,0)),""))</f>
        <v/>
      </c>
      <c r="G158" s="88" t="str">
        <f t="array" ref="G158">IF(A158="","",IFERROR(INDEX('Location Master'!$D$2:$D$202,MATCH(A158,'Location Master'!$E$2:$E$202,0)),""))</f>
        <v/>
      </c>
      <c r="H158" s="88"/>
    </row>
    <row r="159" ht="24.0" customHeight="1">
      <c r="A159" s="132" t="str">
        <f>IF('Location Master'!E160="","",'Location Master'!E160)</f>
        <v/>
      </c>
      <c r="B159" s="130" t="str">
        <f t="array" ref="B159">IF(A159="","",IFERROR(INDEX(Inventory!$B$2:$B$201,MATCH(A159,Inventory!$D$2:$D$201,0)),""))</f>
        <v/>
      </c>
      <c r="C159" s="82" t="str">
        <f t="array" ref="C159">IF(A159="","",IFERROR(INDEX(Inventory!$C$2:$C$201,MATCH(A159,Inventory!$D$2:$D$201,0)),""))</f>
        <v/>
      </c>
      <c r="D159" s="82" t="str">
        <f t="array" ref="D159">IF(A159="","",IFERROR(INDEX('Location Master'!$A$2:$A$202,MATCH(A159,'Location Master'!$E$2:$E$202,0)),""))</f>
        <v/>
      </c>
      <c r="E159" s="82" t="str">
        <f t="array" ref="E159">IF(A159="","",IFERROR(INDEX('Location Master'!$B$2:$B$202,MATCH(A159,'Location Master'!$E$2:$E$202,0)),""))</f>
        <v/>
      </c>
      <c r="F159" s="82" t="str">
        <f t="array" ref="F159">IF(A159="","",IFERROR(INDEX('Location Master'!$C$2:$C$202,MATCH(A159,'Location Master'!$E$2:$E$202,0)),""))</f>
        <v/>
      </c>
      <c r="G159" s="82" t="str">
        <f t="array" ref="G159">IF(A159="","",IFERROR(INDEX('Location Master'!$D$2:$D$202,MATCH(A159,'Location Master'!$E$2:$E$202,0)),""))</f>
        <v/>
      </c>
      <c r="H159" s="82"/>
    </row>
    <row r="160" ht="24.0" customHeight="1">
      <c r="A160" s="135" t="str">
        <f>IF('Location Master'!E161="","",'Location Master'!E161)</f>
        <v/>
      </c>
      <c r="B160" s="133" t="str">
        <f t="array" ref="B160">IF(A160="","",IFERROR(INDEX(Inventory!$B$2:$B$201,MATCH(A160,Inventory!$D$2:$D$201,0)),""))</f>
        <v/>
      </c>
      <c r="C160" s="88" t="str">
        <f t="array" ref="C160">IF(A160="","",IFERROR(INDEX(Inventory!$C$2:$C$201,MATCH(A160,Inventory!$D$2:$D$201,0)),""))</f>
        <v/>
      </c>
      <c r="D160" s="88" t="str">
        <f t="array" ref="D160">IF(A160="","",IFERROR(INDEX('Location Master'!$A$2:$A$202,MATCH(A160,'Location Master'!$E$2:$E$202,0)),""))</f>
        <v/>
      </c>
      <c r="E160" s="88" t="str">
        <f t="array" ref="E160">IF(A160="","",IFERROR(INDEX('Location Master'!$B$2:$B$202,MATCH(A160,'Location Master'!$E$2:$E$202,0)),""))</f>
        <v/>
      </c>
      <c r="F160" s="88" t="str">
        <f t="array" ref="F160">IF(A160="","",IFERROR(INDEX('Location Master'!$C$2:$C$202,MATCH(A160,'Location Master'!$E$2:$E$202,0)),""))</f>
        <v/>
      </c>
      <c r="G160" s="88" t="str">
        <f t="array" ref="G160">IF(A160="","",IFERROR(INDEX('Location Master'!$D$2:$D$202,MATCH(A160,'Location Master'!$E$2:$E$202,0)),""))</f>
        <v/>
      </c>
      <c r="H160" s="88"/>
    </row>
    <row r="161" ht="24.0" customHeight="1">
      <c r="A161" s="132" t="str">
        <f>IF('Location Master'!E162="","",'Location Master'!E162)</f>
        <v/>
      </c>
      <c r="B161" s="130" t="str">
        <f t="array" ref="B161">IF(A161="","",IFERROR(INDEX(Inventory!$B$2:$B$201,MATCH(A161,Inventory!$D$2:$D$201,0)),""))</f>
        <v/>
      </c>
      <c r="C161" s="82" t="str">
        <f t="array" ref="C161">IF(A161="","",IFERROR(INDEX(Inventory!$C$2:$C$201,MATCH(A161,Inventory!$D$2:$D$201,0)),""))</f>
        <v/>
      </c>
      <c r="D161" s="82" t="str">
        <f t="array" ref="D161">IF(A161="","",IFERROR(INDEX('Location Master'!$A$2:$A$202,MATCH(A161,'Location Master'!$E$2:$E$202,0)),""))</f>
        <v/>
      </c>
      <c r="E161" s="82" t="str">
        <f t="array" ref="E161">IF(A161="","",IFERROR(INDEX('Location Master'!$B$2:$B$202,MATCH(A161,'Location Master'!$E$2:$E$202,0)),""))</f>
        <v/>
      </c>
      <c r="F161" s="82" t="str">
        <f t="array" ref="F161">IF(A161="","",IFERROR(INDEX('Location Master'!$C$2:$C$202,MATCH(A161,'Location Master'!$E$2:$E$202,0)),""))</f>
        <v/>
      </c>
      <c r="G161" s="82" t="str">
        <f t="array" ref="G161">IF(A161="","",IFERROR(INDEX('Location Master'!$D$2:$D$202,MATCH(A161,'Location Master'!$E$2:$E$202,0)),""))</f>
        <v/>
      </c>
      <c r="H161" s="82"/>
    </row>
    <row r="162" ht="24.0" customHeight="1">
      <c r="A162" s="135" t="str">
        <f>IF('Location Master'!E163="","",'Location Master'!E163)</f>
        <v/>
      </c>
      <c r="B162" s="133" t="str">
        <f t="array" ref="B162">IF(A162="","",IFERROR(INDEX(Inventory!$B$2:$B$201,MATCH(A162,Inventory!$D$2:$D$201,0)),""))</f>
        <v/>
      </c>
      <c r="C162" s="88" t="str">
        <f t="array" ref="C162">IF(A162="","",IFERROR(INDEX(Inventory!$C$2:$C$201,MATCH(A162,Inventory!$D$2:$D$201,0)),""))</f>
        <v/>
      </c>
      <c r="D162" s="88" t="str">
        <f t="array" ref="D162">IF(A162="","",IFERROR(INDEX('Location Master'!$A$2:$A$202,MATCH(A162,'Location Master'!$E$2:$E$202,0)),""))</f>
        <v/>
      </c>
      <c r="E162" s="88" t="str">
        <f t="array" ref="E162">IF(A162="","",IFERROR(INDEX('Location Master'!$B$2:$B$202,MATCH(A162,'Location Master'!$E$2:$E$202,0)),""))</f>
        <v/>
      </c>
      <c r="F162" s="88" t="str">
        <f t="array" ref="F162">IF(A162="","",IFERROR(INDEX('Location Master'!$C$2:$C$202,MATCH(A162,'Location Master'!$E$2:$E$202,0)),""))</f>
        <v/>
      </c>
      <c r="G162" s="88" t="str">
        <f t="array" ref="G162">IF(A162="","",IFERROR(INDEX('Location Master'!$D$2:$D$202,MATCH(A162,'Location Master'!$E$2:$E$202,0)),""))</f>
        <v/>
      </c>
      <c r="H162" s="88"/>
    </row>
    <row r="163" ht="24.0" customHeight="1">
      <c r="A163" s="132" t="str">
        <f>IF('Location Master'!E164="","",'Location Master'!E164)</f>
        <v/>
      </c>
      <c r="B163" s="130" t="str">
        <f t="array" ref="B163">IF(A163="","",IFERROR(INDEX(Inventory!$B$2:$B$201,MATCH(A163,Inventory!$D$2:$D$201,0)),""))</f>
        <v/>
      </c>
      <c r="C163" s="82" t="str">
        <f t="array" ref="C163">IF(A163="","",IFERROR(INDEX(Inventory!$C$2:$C$201,MATCH(A163,Inventory!$D$2:$D$201,0)),""))</f>
        <v/>
      </c>
      <c r="D163" s="82" t="str">
        <f t="array" ref="D163">IF(A163="","",IFERROR(INDEX('Location Master'!$A$2:$A$202,MATCH(A163,'Location Master'!$E$2:$E$202,0)),""))</f>
        <v/>
      </c>
      <c r="E163" s="82" t="str">
        <f t="array" ref="E163">IF(A163="","",IFERROR(INDEX('Location Master'!$B$2:$B$202,MATCH(A163,'Location Master'!$E$2:$E$202,0)),""))</f>
        <v/>
      </c>
      <c r="F163" s="82" t="str">
        <f t="array" ref="F163">IF(A163="","",IFERROR(INDEX('Location Master'!$C$2:$C$202,MATCH(A163,'Location Master'!$E$2:$E$202,0)),""))</f>
        <v/>
      </c>
      <c r="G163" s="82" t="str">
        <f t="array" ref="G163">IF(A163="","",IFERROR(INDEX('Location Master'!$D$2:$D$202,MATCH(A163,'Location Master'!$E$2:$E$202,0)),""))</f>
        <v/>
      </c>
      <c r="H163" s="82"/>
    </row>
    <row r="164" ht="24.0" customHeight="1">
      <c r="A164" s="135" t="str">
        <f>IF('Location Master'!E165="","",'Location Master'!E165)</f>
        <v/>
      </c>
      <c r="B164" s="133" t="str">
        <f t="array" ref="B164">IF(A164="","",IFERROR(INDEX(Inventory!$B$2:$B$201,MATCH(A164,Inventory!$D$2:$D$201,0)),""))</f>
        <v/>
      </c>
      <c r="C164" s="88" t="str">
        <f t="array" ref="C164">IF(A164="","",IFERROR(INDEX(Inventory!$C$2:$C$201,MATCH(A164,Inventory!$D$2:$D$201,0)),""))</f>
        <v/>
      </c>
      <c r="D164" s="88" t="str">
        <f t="array" ref="D164">IF(A164="","",IFERROR(INDEX('Location Master'!$A$2:$A$202,MATCH(A164,'Location Master'!$E$2:$E$202,0)),""))</f>
        <v/>
      </c>
      <c r="E164" s="88" t="str">
        <f t="array" ref="E164">IF(A164="","",IFERROR(INDEX('Location Master'!$B$2:$B$202,MATCH(A164,'Location Master'!$E$2:$E$202,0)),""))</f>
        <v/>
      </c>
      <c r="F164" s="88" t="str">
        <f t="array" ref="F164">IF(A164="","",IFERROR(INDEX('Location Master'!$C$2:$C$202,MATCH(A164,'Location Master'!$E$2:$E$202,0)),""))</f>
        <v/>
      </c>
      <c r="G164" s="88" t="str">
        <f t="array" ref="G164">IF(A164="","",IFERROR(INDEX('Location Master'!$D$2:$D$202,MATCH(A164,'Location Master'!$E$2:$E$202,0)),""))</f>
        <v/>
      </c>
      <c r="H164" s="88"/>
    </row>
    <row r="165" ht="24.0" customHeight="1">
      <c r="A165" s="132" t="str">
        <f>IF('Location Master'!E166="","",'Location Master'!E166)</f>
        <v/>
      </c>
      <c r="B165" s="130" t="str">
        <f t="array" ref="B165">IF(A165="","",IFERROR(INDEX(Inventory!$B$2:$B$201,MATCH(A165,Inventory!$D$2:$D$201,0)),""))</f>
        <v/>
      </c>
      <c r="C165" s="82" t="str">
        <f t="array" ref="C165">IF(A165="","",IFERROR(INDEX(Inventory!$C$2:$C$201,MATCH(A165,Inventory!$D$2:$D$201,0)),""))</f>
        <v/>
      </c>
      <c r="D165" s="82" t="str">
        <f t="array" ref="D165">IF(A165="","",IFERROR(INDEX('Location Master'!$A$2:$A$202,MATCH(A165,'Location Master'!$E$2:$E$202,0)),""))</f>
        <v/>
      </c>
      <c r="E165" s="82" t="str">
        <f t="array" ref="E165">IF(A165="","",IFERROR(INDEX('Location Master'!$B$2:$B$202,MATCH(A165,'Location Master'!$E$2:$E$202,0)),""))</f>
        <v/>
      </c>
      <c r="F165" s="82" t="str">
        <f t="array" ref="F165">IF(A165="","",IFERROR(INDEX('Location Master'!$C$2:$C$202,MATCH(A165,'Location Master'!$E$2:$E$202,0)),""))</f>
        <v/>
      </c>
      <c r="G165" s="82" t="str">
        <f t="array" ref="G165">IF(A165="","",IFERROR(INDEX('Location Master'!$D$2:$D$202,MATCH(A165,'Location Master'!$E$2:$E$202,0)),""))</f>
        <v/>
      </c>
      <c r="H165" s="82"/>
    </row>
    <row r="166" ht="24.0" customHeight="1">
      <c r="A166" s="135" t="str">
        <f>IF('Location Master'!E167="","",'Location Master'!E167)</f>
        <v/>
      </c>
      <c r="B166" s="133" t="str">
        <f t="array" ref="B166">IF(A166="","",IFERROR(INDEX(Inventory!$B$2:$B$201,MATCH(A166,Inventory!$D$2:$D$201,0)),""))</f>
        <v/>
      </c>
      <c r="C166" s="88" t="str">
        <f t="array" ref="C166">IF(A166="","",IFERROR(INDEX(Inventory!$C$2:$C$201,MATCH(A166,Inventory!$D$2:$D$201,0)),""))</f>
        <v/>
      </c>
      <c r="D166" s="88" t="str">
        <f t="array" ref="D166">IF(A166="","",IFERROR(INDEX('Location Master'!$A$2:$A$202,MATCH(A166,'Location Master'!$E$2:$E$202,0)),""))</f>
        <v/>
      </c>
      <c r="E166" s="88" t="str">
        <f t="array" ref="E166">IF(A166="","",IFERROR(INDEX('Location Master'!$B$2:$B$202,MATCH(A166,'Location Master'!$E$2:$E$202,0)),""))</f>
        <v/>
      </c>
      <c r="F166" s="88" t="str">
        <f t="array" ref="F166">IF(A166="","",IFERROR(INDEX('Location Master'!$C$2:$C$202,MATCH(A166,'Location Master'!$E$2:$E$202,0)),""))</f>
        <v/>
      </c>
      <c r="G166" s="88" t="str">
        <f t="array" ref="G166">IF(A166="","",IFERROR(INDEX('Location Master'!$D$2:$D$202,MATCH(A166,'Location Master'!$E$2:$E$202,0)),""))</f>
        <v/>
      </c>
      <c r="H166" s="88"/>
    </row>
    <row r="167" ht="24.0" customHeight="1">
      <c r="A167" s="132" t="str">
        <f>IF('Location Master'!E168="","",'Location Master'!E168)</f>
        <v/>
      </c>
      <c r="B167" s="130" t="str">
        <f t="array" ref="B167">IF(A167="","",IFERROR(INDEX(Inventory!$B$2:$B$201,MATCH(A167,Inventory!$D$2:$D$201,0)),""))</f>
        <v/>
      </c>
      <c r="C167" s="82" t="str">
        <f t="array" ref="C167">IF(A167="","",IFERROR(INDEX(Inventory!$C$2:$C$201,MATCH(A167,Inventory!$D$2:$D$201,0)),""))</f>
        <v/>
      </c>
      <c r="D167" s="82" t="str">
        <f t="array" ref="D167">IF(A167="","",IFERROR(INDEX('Location Master'!$A$2:$A$202,MATCH(A167,'Location Master'!$E$2:$E$202,0)),""))</f>
        <v/>
      </c>
      <c r="E167" s="82" t="str">
        <f t="array" ref="E167">IF(A167="","",IFERROR(INDEX('Location Master'!$B$2:$B$202,MATCH(A167,'Location Master'!$E$2:$E$202,0)),""))</f>
        <v/>
      </c>
      <c r="F167" s="82" t="str">
        <f t="array" ref="F167">IF(A167="","",IFERROR(INDEX('Location Master'!$C$2:$C$202,MATCH(A167,'Location Master'!$E$2:$E$202,0)),""))</f>
        <v/>
      </c>
      <c r="G167" s="82" t="str">
        <f t="array" ref="G167">IF(A167="","",IFERROR(INDEX('Location Master'!$D$2:$D$202,MATCH(A167,'Location Master'!$E$2:$E$202,0)),""))</f>
        <v/>
      </c>
      <c r="H167" s="82"/>
    </row>
    <row r="168" ht="24.0" customHeight="1">
      <c r="A168" s="135" t="str">
        <f>IF('Location Master'!E169="","",'Location Master'!E169)</f>
        <v/>
      </c>
      <c r="B168" s="133" t="str">
        <f t="array" ref="B168">IF(A168="","",IFERROR(INDEX(Inventory!$B$2:$B$201,MATCH(A168,Inventory!$D$2:$D$201,0)),""))</f>
        <v/>
      </c>
      <c r="C168" s="88" t="str">
        <f t="array" ref="C168">IF(A168="","",IFERROR(INDEX(Inventory!$C$2:$C$201,MATCH(A168,Inventory!$D$2:$D$201,0)),""))</f>
        <v/>
      </c>
      <c r="D168" s="88" t="str">
        <f t="array" ref="D168">IF(A168="","",IFERROR(INDEX('Location Master'!$A$2:$A$202,MATCH(A168,'Location Master'!$E$2:$E$202,0)),""))</f>
        <v/>
      </c>
      <c r="E168" s="88" t="str">
        <f t="array" ref="E168">IF(A168="","",IFERROR(INDEX('Location Master'!$B$2:$B$202,MATCH(A168,'Location Master'!$E$2:$E$202,0)),""))</f>
        <v/>
      </c>
      <c r="F168" s="88" t="str">
        <f t="array" ref="F168">IF(A168="","",IFERROR(INDEX('Location Master'!$C$2:$C$202,MATCH(A168,'Location Master'!$E$2:$E$202,0)),""))</f>
        <v/>
      </c>
      <c r="G168" s="88" t="str">
        <f t="array" ref="G168">IF(A168="","",IFERROR(INDEX('Location Master'!$D$2:$D$202,MATCH(A168,'Location Master'!$E$2:$E$202,0)),""))</f>
        <v/>
      </c>
      <c r="H168" s="88"/>
    </row>
    <row r="169" ht="24.0" customHeight="1">
      <c r="A169" s="132" t="str">
        <f>IF('Location Master'!E170="","",'Location Master'!E170)</f>
        <v/>
      </c>
      <c r="B169" s="130" t="str">
        <f t="array" ref="B169">IF(A169="","",IFERROR(INDEX(Inventory!$B$2:$B$201,MATCH(A169,Inventory!$D$2:$D$201,0)),""))</f>
        <v/>
      </c>
      <c r="C169" s="82" t="str">
        <f t="array" ref="C169">IF(A169="","",IFERROR(INDEX(Inventory!$C$2:$C$201,MATCH(A169,Inventory!$D$2:$D$201,0)),""))</f>
        <v/>
      </c>
      <c r="D169" s="82" t="str">
        <f t="array" ref="D169">IF(A169="","",IFERROR(INDEX('Location Master'!$A$2:$A$202,MATCH(A169,'Location Master'!$E$2:$E$202,0)),""))</f>
        <v/>
      </c>
      <c r="E169" s="82" t="str">
        <f t="array" ref="E169">IF(A169="","",IFERROR(INDEX('Location Master'!$B$2:$B$202,MATCH(A169,'Location Master'!$E$2:$E$202,0)),""))</f>
        <v/>
      </c>
      <c r="F169" s="82" t="str">
        <f t="array" ref="F169">IF(A169="","",IFERROR(INDEX('Location Master'!$C$2:$C$202,MATCH(A169,'Location Master'!$E$2:$E$202,0)),""))</f>
        <v/>
      </c>
      <c r="G169" s="82" t="str">
        <f t="array" ref="G169">IF(A169="","",IFERROR(INDEX('Location Master'!$D$2:$D$202,MATCH(A169,'Location Master'!$E$2:$E$202,0)),""))</f>
        <v/>
      </c>
      <c r="H169" s="82"/>
    </row>
    <row r="170" ht="24.0" customHeight="1">
      <c r="A170" s="135" t="str">
        <f>IF('Location Master'!E171="","",'Location Master'!E171)</f>
        <v/>
      </c>
      <c r="B170" s="133" t="str">
        <f t="array" ref="B170">IF(A170="","",IFERROR(INDEX(Inventory!$B$2:$B$201,MATCH(A170,Inventory!$D$2:$D$201,0)),""))</f>
        <v/>
      </c>
      <c r="C170" s="88" t="str">
        <f t="array" ref="C170">IF(A170="","",IFERROR(INDEX(Inventory!$C$2:$C$201,MATCH(A170,Inventory!$D$2:$D$201,0)),""))</f>
        <v/>
      </c>
      <c r="D170" s="88" t="str">
        <f t="array" ref="D170">IF(A170="","",IFERROR(INDEX('Location Master'!$A$2:$A$202,MATCH(A170,'Location Master'!$E$2:$E$202,0)),""))</f>
        <v/>
      </c>
      <c r="E170" s="88" t="str">
        <f t="array" ref="E170">IF(A170="","",IFERROR(INDEX('Location Master'!$B$2:$B$202,MATCH(A170,'Location Master'!$E$2:$E$202,0)),""))</f>
        <v/>
      </c>
      <c r="F170" s="88" t="str">
        <f t="array" ref="F170">IF(A170="","",IFERROR(INDEX('Location Master'!$C$2:$C$202,MATCH(A170,'Location Master'!$E$2:$E$202,0)),""))</f>
        <v/>
      </c>
      <c r="G170" s="88" t="str">
        <f t="array" ref="G170">IF(A170="","",IFERROR(INDEX('Location Master'!$D$2:$D$202,MATCH(A170,'Location Master'!$E$2:$E$202,0)),""))</f>
        <v/>
      </c>
      <c r="H170" s="88"/>
    </row>
    <row r="171" ht="24.0" customHeight="1">
      <c r="A171" s="132" t="str">
        <f>IF('Location Master'!E172="","",'Location Master'!E172)</f>
        <v/>
      </c>
      <c r="B171" s="130" t="str">
        <f t="array" ref="B171">IF(A171="","",IFERROR(INDEX(Inventory!$B$2:$B$201,MATCH(A171,Inventory!$D$2:$D$201,0)),""))</f>
        <v/>
      </c>
      <c r="C171" s="82" t="str">
        <f t="array" ref="C171">IF(A171="","",IFERROR(INDEX(Inventory!$C$2:$C$201,MATCH(A171,Inventory!$D$2:$D$201,0)),""))</f>
        <v/>
      </c>
      <c r="D171" s="82" t="str">
        <f t="array" ref="D171">IF(A171="","",IFERROR(INDEX('Location Master'!$A$2:$A$202,MATCH(A171,'Location Master'!$E$2:$E$202,0)),""))</f>
        <v/>
      </c>
      <c r="E171" s="82" t="str">
        <f t="array" ref="E171">IF(A171="","",IFERROR(INDEX('Location Master'!$B$2:$B$202,MATCH(A171,'Location Master'!$E$2:$E$202,0)),""))</f>
        <v/>
      </c>
      <c r="F171" s="82" t="str">
        <f t="array" ref="F171">IF(A171="","",IFERROR(INDEX('Location Master'!$C$2:$C$202,MATCH(A171,'Location Master'!$E$2:$E$202,0)),""))</f>
        <v/>
      </c>
      <c r="G171" s="82" t="str">
        <f t="array" ref="G171">IF(A171="","",IFERROR(INDEX('Location Master'!$D$2:$D$202,MATCH(A171,'Location Master'!$E$2:$E$202,0)),""))</f>
        <v/>
      </c>
      <c r="H171" s="82"/>
    </row>
    <row r="172" ht="24.0" customHeight="1">
      <c r="A172" s="135" t="str">
        <f>IF('Location Master'!E173="","",'Location Master'!E173)</f>
        <v/>
      </c>
      <c r="B172" s="133" t="str">
        <f t="array" ref="B172">IF(A172="","",IFERROR(INDEX(Inventory!$B$2:$B$201,MATCH(A172,Inventory!$D$2:$D$201,0)),""))</f>
        <v/>
      </c>
      <c r="C172" s="88" t="str">
        <f t="array" ref="C172">IF(A172="","",IFERROR(INDEX(Inventory!$C$2:$C$201,MATCH(A172,Inventory!$D$2:$D$201,0)),""))</f>
        <v/>
      </c>
      <c r="D172" s="88" t="str">
        <f t="array" ref="D172">IF(A172="","",IFERROR(INDEX('Location Master'!$A$2:$A$202,MATCH(A172,'Location Master'!$E$2:$E$202,0)),""))</f>
        <v/>
      </c>
      <c r="E172" s="88" t="str">
        <f t="array" ref="E172">IF(A172="","",IFERROR(INDEX('Location Master'!$B$2:$B$202,MATCH(A172,'Location Master'!$E$2:$E$202,0)),""))</f>
        <v/>
      </c>
      <c r="F172" s="88" t="str">
        <f t="array" ref="F172">IF(A172="","",IFERROR(INDEX('Location Master'!$C$2:$C$202,MATCH(A172,'Location Master'!$E$2:$E$202,0)),""))</f>
        <v/>
      </c>
      <c r="G172" s="88" t="str">
        <f t="array" ref="G172">IF(A172="","",IFERROR(INDEX('Location Master'!$D$2:$D$202,MATCH(A172,'Location Master'!$E$2:$E$202,0)),""))</f>
        <v/>
      </c>
      <c r="H172" s="88"/>
    </row>
    <row r="173" ht="24.0" customHeight="1">
      <c r="A173" s="132" t="str">
        <f>IF('Location Master'!E174="","",'Location Master'!E174)</f>
        <v/>
      </c>
      <c r="B173" s="130" t="str">
        <f t="array" ref="B173">IF(A173="","",IFERROR(INDEX(Inventory!$B$2:$B$201,MATCH(A173,Inventory!$D$2:$D$201,0)),""))</f>
        <v/>
      </c>
      <c r="C173" s="82" t="str">
        <f t="array" ref="C173">IF(A173="","",IFERROR(INDEX(Inventory!$C$2:$C$201,MATCH(A173,Inventory!$D$2:$D$201,0)),""))</f>
        <v/>
      </c>
      <c r="D173" s="82" t="str">
        <f t="array" ref="D173">IF(A173="","",IFERROR(INDEX('Location Master'!$A$2:$A$202,MATCH(A173,'Location Master'!$E$2:$E$202,0)),""))</f>
        <v/>
      </c>
      <c r="E173" s="82" t="str">
        <f t="array" ref="E173">IF(A173="","",IFERROR(INDEX('Location Master'!$B$2:$B$202,MATCH(A173,'Location Master'!$E$2:$E$202,0)),""))</f>
        <v/>
      </c>
      <c r="F173" s="82" t="str">
        <f t="array" ref="F173">IF(A173="","",IFERROR(INDEX('Location Master'!$C$2:$C$202,MATCH(A173,'Location Master'!$E$2:$E$202,0)),""))</f>
        <v/>
      </c>
      <c r="G173" s="82" t="str">
        <f t="array" ref="G173">IF(A173="","",IFERROR(INDEX('Location Master'!$D$2:$D$202,MATCH(A173,'Location Master'!$E$2:$E$202,0)),""))</f>
        <v/>
      </c>
      <c r="H173" s="82"/>
    </row>
    <row r="174" ht="24.0" customHeight="1">
      <c r="A174" s="135" t="str">
        <f>IF('Location Master'!E175="","",'Location Master'!E175)</f>
        <v/>
      </c>
      <c r="B174" s="133" t="str">
        <f t="array" ref="B174">IF(A174="","",IFERROR(INDEX(Inventory!$B$2:$B$201,MATCH(A174,Inventory!$D$2:$D$201,0)),""))</f>
        <v/>
      </c>
      <c r="C174" s="88" t="str">
        <f t="array" ref="C174">IF(A174="","",IFERROR(INDEX(Inventory!$C$2:$C$201,MATCH(A174,Inventory!$D$2:$D$201,0)),""))</f>
        <v/>
      </c>
      <c r="D174" s="88" t="str">
        <f t="array" ref="D174">IF(A174="","",IFERROR(INDEX('Location Master'!$A$2:$A$202,MATCH(A174,'Location Master'!$E$2:$E$202,0)),""))</f>
        <v/>
      </c>
      <c r="E174" s="88" t="str">
        <f t="array" ref="E174">IF(A174="","",IFERROR(INDEX('Location Master'!$B$2:$B$202,MATCH(A174,'Location Master'!$E$2:$E$202,0)),""))</f>
        <v/>
      </c>
      <c r="F174" s="88" t="str">
        <f t="array" ref="F174">IF(A174="","",IFERROR(INDEX('Location Master'!$C$2:$C$202,MATCH(A174,'Location Master'!$E$2:$E$202,0)),""))</f>
        <v/>
      </c>
      <c r="G174" s="88" t="str">
        <f t="array" ref="G174">IF(A174="","",IFERROR(INDEX('Location Master'!$D$2:$D$202,MATCH(A174,'Location Master'!$E$2:$E$202,0)),""))</f>
        <v/>
      </c>
      <c r="H174" s="88"/>
    </row>
    <row r="175" ht="24.0" customHeight="1">
      <c r="A175" s="132" t="str">
        <f>IF('Location Master'!E176="","",'Location Master'!E176)</f>
        <v/>
      </c>
      <c r="B175" s="130" t="str">
        <f t="array" ref="B175">IF(A175="","",IFERROR(INDEX(Inventory!$B$2:$B$201,MATCH(A175,Inventory!$D$2:$D$201,0)),""))</f>
        <v/>
      </c>
      <c r="C175" s="82" t="str">
        <f t="array" ref="C175">IF(A175="","",IFERROR(INDEX(Inventory!$C$2:$C$201,MATCH(A175,Inventory!$D$2:$D$201,0)),""))</f>
        <v/>
      </c>
      <c r="D175" s="82" t="str">
        <f t="array" ref="D175">IF(A175="","",IFERROR(INDEX('Location Master'!$A$2:$A$202,MATCH(A175,'Location Master'!$E$2:$E$202,0)),""))</f>
        <v/>
      </c>
      <c r="E175" s="82" t="str">
        <f t="array" ref="E175">IF(A175="","",IFERROR(INDEX('Location Master'!$B$2:$B$202,MATCH(A175,'Location Master'!$E$2:$E$202,0)),""))</f>
        <v/>
      </c>
      <c r="F175" s="82" t="str">
        <f t="array" ref="F175">IF(A175="","",IFERROR(INDEX('Location Master'!$C$2:$C$202,MATCH(A175,'Location Master'!$E$2:$E$202,0)),""))</f>
        <v/>
      </c>
      <c r="G175" s="82" t="str">
        <f t="array" ref="G175">IF(A175="","",IFERROR(INDEX('Location Master'!$D$2:$D$202,MATCH(A175,'Location Master'!$E$2:$E$202,0)),""))</f>
        <v/>
      </c>
      <c r="H175" s="82"/>
    </row>
    <row r="176" ht="24.0" customHeight="1">
      <c r="A176" s="135" t="str">
        <f>IF('Location Master'!E177="","",'Location Master'!E177)</f>
        <v/>
      </c>
      <c r="B176" s="133" t="str">
        <f t="array" ref="B176">IF(A176="","",IFERROR(INDEX(Inventory!$B$2:$B$201,MATCH(A176,Inventory!$D$2:$D$201,0)),""))</f>
        <v/>
      </c>
      <c r="C176" s="88" t="str">
        <f t="array" ref="C176">IF(A176="","",IFERROR(INDEX(Inventory!$C$2:$C$201,MATCH(A176,Inventory!$D$2:$D$201,0)),""))</f>
        <v/>
      </c>
      <c r="D176" s="88" t="str">
        <f t="array" ref="D176">IF(A176="","",IFERROR(INDEX('Location Master'!$A$2:$A$202,MATCH(A176,'Location Master'!$E$2:$E$202,0)),""))</f>
        <v/>
      </c>
      <c r="E176" s="88" t="str">
        <f t="array" ref="E176">IF(A176="","",IFERROR(INDEX('Location Master'!$B$2:$B$202,MATCH(A176,'Location Master'!$E$2:$E$202,0)),""))</f>
        <v/>
      </c>
      <c r="F176" s="88" t="str">
        <f t="array" ref="F176">IF(A176="","",IFERROR(INDEX('Location Master'!$C$2:$C$202,MATCH(A176,'Location Master'!$E$2:$E$202,0)),""))</f>
        <v/>
      </c>
      <c r="G176" s="88" t="str">
        <f t="array" ref="G176">IF(A176="","",IFERROR(INDEX('Location Master'!$D$2:$D$202,MATCH(A176,'Location Master'!$E$2:$E$202,0)),""))</f>
        <v/>
      </c>
      <c r="H176" s="88"/>
    </row>
    <row r="177" ht="24.0" customHeight="1">
      <c r="A177" s="132" t="str">
        <f>IF('Location Master'!E178="","",'Location Master'!E178)</f>
        <v/>
      </c>
      <c r="B177" s="130" t="str">
        <f t="array" ref="B177">IF(A177="","",IFERROR(INDEX(Inventory!$B$2:$B$201,MATCH(A177,Inventory!$D$2:$D$201,0)),""))</f>
        <v/>
      </c>
      <c r="C177" s="82" t="str">
        <f t="array" ref="C177">IF(A177="","",IFERROR(INDEX(Inventory!$C$2:$C$201,MATCH(A177,Inventory!$D$2:$D$201,0)),""))</f>
        <v/>
      </c>
      <c r="D177" s="82" t="str">
        <f t="array" ref="D177">IF(A177="","",IFERROR(INDEX('Location Master'!$A$2:$A$202,MATCH(A177,'Location Master'!$E$2:$E$202,0)),""))</f>
        <v/>
      </c>
      <c r="E177" s="82" t="str">
        <f t="array" ref="E177">IF(A177="","",IFERROR(INDEX('Location Master'!$B$2:$B$202,MATCH(A177,'Location Master'!$E$2:$E$202,0)),""))</f>
        <v/>
      </c>
      <c r="F177" s="82" t="str">
        <f t="array" ref="F177">IF(A177="","",IFERROR(INDEX('Location Master'!$C$2:$C$202,MATCH(A177,'Location Master'!$E$2:$E$202,0)),""))</f>
        <v/>
      </c>
      <c r="G177" s="82" t="str">
        <f t="array" ref="G177">IF(A177="","",IFERROR(INDEX('Location Master'!$D$2:$D$202,MATCH(A177,'Location Master'!$E$2:$E$202,0)),""))</f>
        <v/>
      </c>
      <c r="H177" s="82"/>
    </row>
    <row r="178" ht="24.0" customHeight="1">
      <c r="A178" s="135" t="str">
        <f>IF('Location Master'!E179="","",'Location Master'!E179)</f>
        <v/>
      </c>
      <c r="B178" s="133" t="str">
        <f t="array" ref="B178">IF(A178="","",IFERROR(INDEX(Inventory!$B$2:$B$201,MATCH(A178,Inventory!$D$2:$D$201,0)),""))</f>
        <v/>
      </c>
      <c r="C178" s="88" t="str">
        <f t="array" ref="C178">IF(A178="","",IFERROR(INDEX(Inventory!$C$2:$C$201,MATCH(A178,Inventory!$D$2:$D$201,0)),""))</f>
        <v/>
      </c>
      <c r="D178" s="88" t="str">
        <f t="array" ref="D178">IF(A178="","",IFERROR(INDEX('Location Master'!$A$2:$A$202,MATCH(A178,'Location Master'!$E$2:$E$202,0)),""))</f>
        <v/>
      </c>
      <c r="E178" s="88" t="str">
        <f t="array" ref="E178">IF(A178="","",IFERROR(INDEX('Location Master'!$B$2:$B$202,MATCH(A178,'Location Master'!$E$2:$E$202,0)),""))</f>
        <v/>
      </c>
      <c r="F178" s="88" t="str">
        <f t="array" ref="F178">IF(A178="","",IFERROR(INDEX('Location Master'!$C$2:$C$202,MATCH(A178,'Location Master'!$E$2:$E$202,0)),""))</f>
        <v/>
      </c>
      <c r="G178" s="88" t="str">
        <f t="array" ref="G178">IF(A178="","",IFERROR(INDEX('Location Master'!$D$2:$D$202,MATCH(A178,'Location Master'!$E$2:$E$202,0)),""))</f>
        <v/>
      </c>
      <c r="H178" s="88"/>
    </row>
    <row r="179" ht="24.0" customHeight="1">
      <c r="A179" s="132" t="str">
        <f>IF('Location Master'!E180="","",'Location Master'!E180)</f>
        <v/>
      </c>
      <c r="B179" s="130" t="str">
        <f t="array" ref="B179">IF(A179="","",IFERROR(INDEX(Inventory!$B$2:$B$201,MATCH(A179,Inventory!$D$2:$D$201,0)),""))</f>
        <v/>
      </c>
      <c r="C179" s="82" t="str">
        <f t="array" ref="C179">IF(A179="","",IFERROR(INDEX(Inventory!$C$2:$C$201,MATCH(A179,Inventory!$D$2:$D$201,0)),""))</f>
        <v/>
      </c>
      <c r="D179" s="82" t="str">
        <f t="array" ref="D179">IF(A179="","",IFERROR(INDEX('Location Master'!$A$2:$A$202,MATCH(A179,'Location Master'!$E$2:$E$202,0)),""))</f>
        <v/>
      </c>
      <c r="E179" s="82" t="str">
        <f t="array" ref="E179">IF(A179="","",IFERROR(INDEX('Location Master'!$B$2:$B$202,MATCH(A179,'Location Master'!$E$2:$E$202,0)),""))</f>
        <v/>
      </c>
      <c r="F179" s="82" t="str">
        <f t="array" ref="F179">IF(A179="","",IFERROR(INDEX('Location Master'!$C$2:$C$202,MATCH(A179,'Location Master'!$E$2:$E$202,0)),""))</f>
        <v/>
      </c>
      <c r="G179" s="82" t="str">
        <f t="array" ref="G179">IF(A179="","",IFERROR(INDEX('Location Master'!$D$2:$D$202,MATCH(A179,'Location Master'!$E$2:$E$202,0)),""))</f>
        <v/>
      </c>
      <c r="H179" s="82"/>
    </row>
    <row r="180" ht="24.0" customHeight="1">
      <c r="A180" s="135" t="str">
        <f>IF('Location Master'!E181="","",'Location Master'!E181)</f>
        <v/>
      </c>
      <c r="B180" s="133" t="str">
        <f t="array" ref="B180">IF(A180="","",IFERROR(INDEX(Inventory!$B$2:$B$201,MATCH(A180,Inventory!$D$2:$D$201,0)),""))</f>
        <v/>
      </c>
      <c r="C180" s="88" t="str">
        <f t="array" ref="C180">IF(A180="","",IFERROR(INDEX(Inventory!$C$2:$C$201,MATCH(A180,Inventory!$D$2:$D$201,0)),""))</f>
        <v/>
      </c>
      <c r="D180" s="88" t="str">
        <f t="array" ref="D180">IF(A180="","",IFERROR(INDEX('Location Master'!$A$2:$A$202,MATCH(A180,'Location Master'!$E$2:$E$202,0)),""))</f>
        <v/>
      </c>
      <c r="E180" s="88" t="str">
        <f t="array" ref="E180">IF(A180="","",IFERROR(INDEX('Location Master'!$B$2:$B$202,MATCH(A180,'Location Master'!$E$2:$E$202,0)),""))</f>
        <v/>
      </c>
      <c r="F180" s="88" t="str">
        <f t="array" ref="F180">IF(A180="","",IFERROR(INDEX('Location Master'!$C$2:$C$202,MATCH(A180,'Location Master'!$E$2:$E$202,0)),""))</f>
        <v/>
      </c>
      <c r="G180" s="88" t="str">
        <f t="array" ref="G180">IF(A180="","",IFERROR(INDEX('Location Master'!$D$2:$D$202,MATCH(A180,'Location Master'!$E$2:$E$202,0)),""))</f>
        <v/>
      </c>
      <c r="H180" s="88"/>
    </row>
    <row r="181" ht="24.0" customHeight="1">
      <c r="A181" s="132" t="str">
        <f>IF('Location Master'!E182="","",'Location Master'!E182)</f>
        <v/>
      </c>
      <c r="B181" s="130" t="str">
        <f t="array" ref="B181">IF(A181="","",IFERROR(INDEX(Inventory!$B$2:$B$201,MATCH(A181,Inventory!$D$2:$D$201,0)),""))</f>
        <v/>
      </c>
      <c r="C181" s="82" t="str">
        <f t="array" ref="C181">IF(A181="","",IFERROR(INDEX(Inventory!$C$2:$C$201,MATCH(A181,Inventory!$D$2:$D$201,0)),""))</f>
        <v/>
      </c>
      <c r="D181" s="82" t="str">
        <f t="array" ref="D181">IF(A181="","",IFERROR(INDEX('Location Master'!$A$2:$A$202,MATCH(A181,'Location Master'!$E$2:$E$202,0)),""))</f>
        <v/>
      </c>
      <c r="E181" s="82" t="str">
        <f t="array" ref="E181">IF(A181="","",IFERROR(INDEX('Location Master'!$B$2:$B$202,MATCH(A181,'Location Master'!$E$2:$E$202,0)),""))</f>
        <v/>
      </c>
      <c r="F181" s="82" t="str">
        <f t="array" ref="F181">IF(A181="","",IFERROR(INDEX('Location Master'!$C$2:$C$202,MATCH(A181,'Location Master'!$E$2:$E$202,0)),""))</f>
        <v/>
      </c>
      <c r="G181" s="82" t="str">
        <f t="array" ref="G181">IF(A181="","",IFERROR(INDEX('Location Master'!$D$2:$D$202,MATCH(A181,'Location Master'!$E$2:$E$202,0)),""))</f>
        <v/>
      </c>
      <c r="H181" s="82"/>
    </row>
    <row r="182" ht="24.0" customHeight="1">
      <c r="A182" s="135" t="str">
        <f>IF('Location Master'!E183="","",'Location Master'!E183)</f>
        <v/>
      </c>
      <c r="B182" s="133" t="str">
        <f t="array" ref="B182">IF(A182="","",IFERROR(INDEX(Inventory!$B$2:$B$201,MATCH(A182,Inventory!$D$2:$D$201,0)),""))</f>
        <v/>
      </c>
      <c r="C182" s="88" t="str">
        <f t="array" ref="C182">IF(A182="","",IFERROR(INDEX(Inventory!$C$2:$C$201,MATCH(A182,Inventory!$D$2:$D$201,0)),""))</f>
        <v/>
      </c>
      <c r="D182" s="88" t="str">
        <f t="array" ref="D182">IF(A182="","",IFERROR(INDEX('Location Master'!$A$2:$A$202,MATCH(A182,'Location Master'!$E$2:$E$202,0)),""))</f>
        <v/>
      </c>
      <c r="E182" s="88" t="str">
        <f t="array" ref="E182">IF(A182="","",IFERROR(INDEX('Location Master'!$B$2:$B$202,MATCH(A182,'Location Master'!$E$2:$E$202,0)),""))</f>
        <v/>
      </c>
      <c r="F182" s="88" t="str">
        <f t="array" ref="F182">IF(A182="","",IFERROR(INDEX('Location Master'!$C$2:$C$202,MATCH(A182,'Location Master'!$E$2:$E$202,0)),""))</f>
        <v/>
      </c>
      <c r="G182" s="88" t="str">
        <f t="array" ref="G182">IF(A182="","",IFERROR(INDEX('Location Master'!$D$2:$D$202,MATCH(A182,'Location Master'!$E$2:$E$202,0)),""))</f>
        <v/>
      </c>
      <c r="H182" s="88"/>
    </row>
    <row r="183" ht="24.0" customHeight="1">
      <c r="A183" s="132" t="str">
        <f>IF('Location Master'!E184="","",'Location Master'!E184)</f>
        <v/>
      </c>
      <c r="B183" s="130" t="str">
        <f t="array" ref="B183">IF(A183="","",IFERROR(INDEX(Inventory!$B$2:$B$201,MATCH(A183,Inventory!$D$2:$D$201,0)),""))</f>
        <v/>
      </c>
      <c r="C183" s="82" t="str">
        <f t="array" ref="C183">IF(A183="","",IFERROR(INDEX(Inventory!$C$2:$C$201,MATCH(A183,Inventory!$D$2:$D$201,0)),""))</f>
        <v/>
      </c>
      <c r="D183" s="82" t="str">
        <f t="array" ref="D183">IF(A183="","",IFERROR(INDEX('Location Master'!$A$2:$A$202,MATCH(A183,'Location Master'!$E$2:$E$202,0)),""))</f>
        <v/>
      </c>
      <c r="E183" s="82" t="str">
        <f t="array" ref="E183">IF(A183="","",IFERROR(INDEX('Location Master'!$B$2:$B$202,MATCH(A183,'Location Master'!$E$2:$E$202,0)),""))</f>
        <v/>
      </c>
      <c r="F183" s="82" t="str">
        <f t="array" ref="F183">IF(A183="","",IFERROR(INDEX('Location Master'!$C$2:$C$202,MATCH(A183,'Location Master'!$E$2:$E$202,0)),""))</f>
        <v/>
      </c>
      <c r="G183" s="82" t="str">
        <f t="array" ref="G183">IF(A183="","",IFERROR(INDEX('Location Master'!$D$2:$D$202,MATCH(A183,'Location Master'!$E$2:$E$202,0)),""))</f>
        <v/>
      </c>
      <c r="H183" s="82"/>
    </row>
    <row r="184" ht="24.0" customHeight="1">
      <c r="A184" s="135" t="str">
        <f>IF('Location Master'!E185="","",'Location Master'!E185)</f>
        <v/>
      </c>
      <c r="B184" s="133" t="str">
        <f t="array" ref="B184">IF(A184="","",IFERROR(INDEX(Inventory!$B$2:$B$201,MATCH(A184,Inventory!$D$2:$D$201,0)),""))</f>
        <v/>
      </c>
      <c r="C184" s="88" t="str">
        <f t="array" ref="C184">IF(A184="","",IFERROR(INDEX(Inventory!$C$2:$C$201,MATCH(A184,Inventory!$D$2:$D$201,0)),""))</f>
        <v/>
      </c>
      <c r="D184" s="88" t="str">
        <f t="array" ref="D184">IF(A184="","",IFERROR(INDEX('Location Master'!$A$2:$A$202,MATCH(A184,'Location Master'!$E$2:$E$202,0)),""))</f>
        <v/>
      </c>
      <c r="E184" s="88" t="str">
        <f t="array" ref="E184">IF(A184="","",IFERROR(INDEX('Location Master'!$B$2:$B$202,MATCH(A184,'Location Master'!$E$2:$E$202,0)),""))</f>
        <v/>
      </c>
      <c r="F184" s="88" t="str">
        <f t="array" ref="F184">IF(A184="","",IFERROR(INDEX('Location Master'!$C$2:$C$202,MATCH(A184,'Location Master'!$E$2:$E$202,0)),""))</f>
        <v/>
      </c>
      <c r="G184" s="88" t="str">
        <f t="array" ref="G184">IF(A184="","",IFERROR(INDEX('Location Master'!$D$2:$D$202,MATCH(A184,'Location Master'!$E$2:$E$202,0)),""))</f>
        <v/>
      </c>
      <c r="H184" s="88"/>
    </row>
    <row r="185" ht="24.0" customHeight="1">
      <c r="A185" s="132" t="str">
        <f>IF('Location Master'!E186="","",'Location Master'!E186)</f>
        <v/>
      </c>
      <c r="B185" s="130" t="str">
        <f t="array" ref="B185">IF(A185="","",IFERROR(INDEX(Inventory!$B$2:$B$201,MATCH(A185,Inventory!$D$2:$D$201,0)),""))</f>
        <v/>
      </c>
      <c r="C185" s="82" t="str">
        <f t="array" ref="C185">IF(A185="","",IFERROR(INDEX(Inventory!$C$2:$C$201,MATCH(A185,Inventory!$D$2:$D$201,0)),""))</f>
        <v/>
      </c>
      <c r="D185" s="82" t="str">
        <f t="array" ref="D185">IF(A185="","",IFERROR(INDEX('Location Master'!$A$2:$A$202,MATCH(A185,'Location Master'!$E$2:$E$202,0)),""))</f>
        <v/>
      </c>
      <c r="E185" s="82" t="str">
        <f t="array" ref="E185">IF(A185="","",IFERROR(INDEX('Location Master'!$B$2:$B$202,MATCH(A185,'Location Master'!$E$2:$E$202,0)),""))</f>
        <v/>
      </c>
      <c r="F185" s="82" t="str">
        <f t="array" ref="F185">IF(A185="","",IFERROR(INDEX('Location Master'!$C$2:$C$202,MATCH(A185,'Location Master'!$E$2:$E$202,0)),""))</f>
        <v/>
      </c>
      <c r="G185" s="82" t="str">
        <f t="array" ref="G185">IF(A185="","",IFERROR(INDEX('Location Master'!$D$2:$D$202,MATCH(A185,'Location Master'!$E$2:$E$202,0)),""))</f>
        <v/>
      </c>
      <c r="H185" s="82"/>
    </row>
    <row r="186" ht="24.0" customHeight="1">
      <c r="A186" s="135" t="str">
        <f>IF('Location Master'!E187="","",'Location Master'!E187)</f>
        <v/>
      </c>
      <c r="B186" s="133" t="str">
        <f t="array" ref="B186">IF(A186="","",IFERROR(INDEX(Inventory!$B$2:$B$201,MATCH(A186,Inventory!$D$2:$D$201,0)),""))</f>
        <v/>
      </c>
      <c r="C186" s="88" t="str">
        <f t="array" ref="C186">IF(A186="","",IFERROR(INDEX(Inventory!$C$2:$C$201,MATCH(A186,Inventory!$D$2:$D$201,0)),""))</f>
        <v/>
      </c>
      <c r="D186" s="88" t="str">
        <f t="array" ref="D186">IF(A186="","",IFERROR(INDEX('Location Master'!$A$2:$A$202,MATCH(A186,'Location Master'!$E$2:$E$202,0)),""))</f>
        <v/>
      </c>
      <c r="E186" s="88" t="str">
        <f t="array" ref="E186">IF(A186="","",IFERROR(INDEX('Location Master'!$B$2:$B$202,MATCH(A186,'Location Master'!$E$2:$E$202,0)),""))</f>
        <v/>
      </c>
      <c r="F186" s="88" t="str">
        <f t="array" ref="F186">IF(A186="","",IFERROR(INDEX('Location Master'!$C$2:$C$202,MATCH(A186,'Location Master'!$E$2:$E$202,0)),""))</f>
        <v/>
      </c>
      <c r="G186" s="88" t="str">
        <f t="array" ref="G186">IF(A186="","",IFERROR(INDEX('Location Master'!$D$2:$D$202,MATCH(A186,'Location Master'!$E$2:$E$202,0)),""))</f>
        <v/>
      </c>
      <c r="H186" s="88"/>
    </row>
    <row r="187" ht="24.0" customHeight="1">
      <c r="A187" s="132" t="str">
        <f>IF('Location Master'!E188="","",'Location Master'!E188)</f>
        <v/>
      </c>
      <c r="B187" s="130" t="str">
        <f t="array" ref="B187">IF(A187="","",IFERROR(INDEX(Inventory!$B$2:$B$201,MATCH(A187,Inventory!$D$2:$D$201,0)),""))</f>
        <v/>
      </c>
      <c r="C187" s="82" t="str">
        <f t="array" ref="C187">IF(A187="","",IFERROR(INDEX(Inventory!$C$2:$C$201,MATCH(A187,Inventory!$D$2:$D$201,0)),""))</f>
        <v/>
      </c>
      <c r="D187" s="82" t="str">
        <f t="array" ref="D187">IF(A187="","",IFERROR(INDEX('Location Master'!$A$2:$A$202,MATCH(A187,'Location Master'!$E$2:$E$202,0)),""))</f>
        <v/>
      </c>
      <c r="E187" s="82" t="str">
        <f t="array" ref="E187">IF(A187="","",IFERROR(INDEX('Location Master'!$B$2:$B$202,MATCH(A187,'Location Master'!$E$2:$E$202,0)),""))</f>
        <v/>
      </c>
      <c r="F187" s="82" t="str">
        <f t="array" ref="F187">IF(A187="","",IFERROR(INDEX('Location Master'!$C$2:$C$202,MATCH(A187,'Location Master'!$E$2:$E$202,0)),""))</f>
        <v/>
      </c>
      <c r="G187" s="82" t="str">
        <f t="array" ref="G187">IF(A187="","",IFERROR(INDEX('Location Master'!$D$2:$D$202,MATCH(A187,'Location Master'!$E$2:$E$202,0)),""))</f>
        <v/>
      </c>
      <c r="H187" s="82"/>
    </row>
    <row r="188" ht="24.0" customHeight="1">
      <c r="A188" s="135" t="str">
        <f>IF('Location Master'!E189="","",'Location Master'!E189)</f>
        <v/>
      </c>
      <c r="B188" s="133" t="str">
        <f t="array" ref="B188">IF(A188="","",IFERROR(INDEX(Inventory!$B$2:$B$201,MATCH(A188,Inventory!$D$2:$D$201,0)),""))</f>
        <v/>
      </c>
      <c r="C188" s="88" t="str">
        <f t="array" ref="C188">IF(A188="","",IFERROR(INDEX(Inventory!$C$2:$C$201,MATCH(A188,Inventory!$D$2:$D$201,0)),""))</f>
        <v/>
      </c>
      <c r="D188" s="88" t="str">
        <f t="array" ref="D188">IF(A188="","",IFERROR(INDEX('Location Master'!$A$2:$A$202,MATCH(A188,'Location Master'!$E$2:$E$202,0)),""))</f>
        <v/>
      </c>
      <c r="E188" s="88" t="str">
        <f t="array" ref="E188">IF(A188="","",IFERROR(INDEX('Location Master'!$B$2:$B$202,MATCH(A188,'Location Master'!$E$2:$E$202,0)),""))</f>
        <v/>
      </c>
      <c r="F188" s="88" t="str">
        <f t="array" ref="F188">IF(A188="","",IFERROR(INDEX('Location Master'!$C$2:$C$202,MATCH(A188,'Location Master'!$E$2:$E$202,0)),""))</f>
        <v/>
      </c>
      <c r="G188" s="88" t="str">
        <f t="array" ref="G188">IF(A188="","",IFERROR(INDEX('Location Master'!$D$2:$D$202,MATCH(A188,'Location Master'!$E$2:$E$202,0)),""))</f>
        <v/>
      </c>
      <c r="H188" s="88"/>
    </row>
    <row r="189" ht="24.0" customHeight="1">
      <c r="A189" s="132" t="str">
        <f>IF('Location Master'!E190="","",'Location Master'!E190)</f>
        <v/>
      </c>
      <c r="B189" s="130" t="str">
        <f t="array" ref="B189">IF(A189="","",IFERROR(INDEX(Inventory!$B$2:$B$201,MATCH(A189,Inventory!$D$2:$D$201,0)),""))</f>
        <v/>
      </c>
      <c r="C189" s="82" t="str">
        <f t="array" ref="C189">IF(A189="","",IFERROR(INDEX(Inventory!$C$2:$C$201,MATCH(A189,Inventory!$D$2:$D$201,0)),""))</f>
        <v/>
      </c>
      <c r="D189" s="82" t="str">
        <f t="array" ref="D189">IF(A189="","",IFERROR(INDEX('Location Master'!$A$2:$A$202,MATCH(A189,'Location Master'!$E$2:$E$202,0)),""))</f>
        <v/>
      </c>
      <c r="E189" s="82" t="str">
        <f t="array" ref="E189">IF(A189="","",IFERROR(INDEX('Location Master'!$B$2:$B$202,MATCH(A189,'Location Master'!$E$2:$E$202,0)),""))</f>
        <v/>
      </c>
      <c r="F189" s="82" t="str">
        <f t="array" ref="F189">IF(A189="","",IFERROR(INDEX('Location Master'!$C$2:$C$202,MATCH(A189,'Location Master'!$E$2:$E$202,0)),""))</f>
        <v/>
      </c>
      <c r="G189" s="82" t="str">
        <f t="array" ref="G189">IF(A189="","",IFERROR(INDEX('Location Master'!$D$2:$D$202,MATCH(A189,'Location Master'!$E$2:$E$202,0)),""))</f>
        <v/>
      </c>
      <c r="H189" s="82"/>
    </row>
    <row r="190" ht="24.0" customHeight="1">
      <c r="A190" s="135" t="str">
        <f>IF('Location Master'!E191="","",'Location Master'!E191)</f>
        <v/>
      </c>
      <c r="B190" s="133" t="str">
        <f t="array" ref="B190">IF(A190="","",IFERROR(INDEX(Inventory!$B$2:$B$201,MATCH(A190,Inventory!$D$2:$D$201,0)),""))</f>
        <v/>
      </c>
      <c r="C190" s="88" t="str">
        <f t="array" ref="C190">IF(A190="","",IFERROR(INDEX(Inventory!$C$2:$C$201,MATCH(A190,Inventory!$D$2:$D$201,0)),""))</f>
        <v/>
      </c>
      <c r="D190" s="88" t="str">
        <f t="array" ref="D190">IF(A190="","",IFERROR(INDEX('Location Master'!$A$2:$A$202,MATCH(A190,'Location Master'!$E$2:$E$202,0)),""))</f>
        <v/>
      </c>
      <c r="E190" s="88" t="str">
        <f t="array" ref="E190">IF(A190="","",IFERROR(INDEX('Location Master'!$B$2:$B$202,MATCH(A190,'Location Master'!$E$2:$E$202,0)),""))</f>
        <v/>
      </c>
      <c r="F190" s="88" t="str">
        <f t="array" ref="F190">IF(A190="","",IFERROR(INDEX('Location Master'!$C$2:$C$202,MATCH(A190,'Location Master'!$E$2:$E$202,0)),""))</f>
        <v/>
      </c>
      <c r="G190" s="88" t="str">
        <f t="array" ref="G190">IF(A190="","",IFERROR(INDEX('Location Master'!$D$2:$D$202,MATCH(A190,'Location Master'!$E$2:$E$202,0)),""))</f>
        <v/>
      </c>
      <c r="H190" s="88"/>
    </row>
    <row r="191" ht="24.0" customHeight="1">
      <c r="A191" s="132" t="str">
        <f>IF('Location Master'!E192="","",'Location Master'!E192)</f>
        <v/>
      </c>
      <c r="B191" s="130" t="str">
        <f t="array" ref="B191">IF(A191="","",IFERROR(INDEX(Inventory!$B$2:$B$201,MATCH(A191,Inventory!$D$2:$D$201,0)),""))</f>
        <v/>
      </c>
      <c r="C191" s="82" t="str">
        <f t="array" ref="C191">IF(A191="","",IFERROR(INDEX(Inventory!$C$2:$C$201,MATCH(A191,Inventory!$D$2:$D$201,0)),""))</f>
        <v/>
      </c>
      <c r="D191" s="82" t="str">
        <f t="array" ref="D191">IF(A191="","",IFERROR(INDEX('Location Master'!$A$2:$A$202,MATCH(A191,'Location Master'!$E$2:$E$202,0)),""))</f>
        <v/>
      </c>
      <c r="E191" s="82" t="str">
        <f t="array" ref="E191">IF(A191="","",IFERROR(INDEX('Location Master'!$B$2:$B$202,MATCH(A191,'Location Master'!$E$2:$E$202,0)),""))</f>
        <v/>
      </c>
      <c r="F191" s="82" t="str">
        <f t="array" ref="F191">IF(A191="","",IFERROR(INDEX('Location Master'!$C$2:$C$202,MATCH(A191,'Location Master'!$E$2:$E$202,0)),""))</f>
        <v/>
      </c>
      <c r="G191" s="82" t="str">
        <f t="array" ref="G191">IF(A191="","",IFERROR(INDEX('Location Master'!$D$2:$D$202,MATCH(A191,'Location Master'!$E$2:$E$202,0)),""))</f>
        <v/>
      </c>
      <c r="H191" s="82"/>
    </row>
    <row r="192" ht="24.0" customHeight="1">
      <c r="A192" s="135" t="str">
        <f>IF('Location Master'!E193="","",'Location Master'!E193)</f>
        <v/>
      </c>
      <c r="B192" s="133" t="str">
        <f t="array" ref="B192">IF(A192="","",IFERROR(INDEX(Inventory!$B$2:$B$201,MATCH(A192,Inventory!$D$2:$D$201,0)),""))</f>
        <v/>
      </c>
      <c r="C192" s="88" t="str">
        <f t="array" ref="C192">IF(A192="","",IFERROR(INDEX(Inventory!$C$2:$C$201,MATCH(A192,Inventory!$D$2:$D$201,0)),""))</f>
        <v/>
      </c>
      <c r="D192" s="88" t="str">
        <f t="array" ref="D192">IF(A192="","",IFERROR(INDEX('Location Master'!$A$2:$A$202,MATCH(A192,'Location Master'!$E$2:$E$202,0)),""))</f>
        <v/>
      </c>
      <c r="E192" s="88" t="str">
        <f t="array" ref="E192">IF(A192="","",IFERROR(INDEX('Location Master'!$B$2:$B$202,MATCH(A192,'Location Master'!$E$2:$E$202,0)),""))</f>
        <v/>
      </c>
      <c r="F192" s="88" t="str">
        <f t="array" ref="F192">IF(A192="","",IFERROR(INDEX('Location Master'!$C$2:$C$202,MATCH(A192,'Location Master'!$E$2:$E$202,0)),""))</f>
        <v/>
      </c>
      <c r="G192" s="88" t="str">
        <f t="array" ref="G192">IF(A192="","",IFERROR(INDEX('Location Master'!$D$2:$D$202,MATCH(A192,'Location Master'!$E$2:$E$202,0)),""))</f>
        <v/>
      </c>
      <c r="H192" s="88"/>
    </row>
    <row r="193" ht="24.0" customHeight="1">
      <c r="A193" s="132" t="str">
        <f>IF('Location Master'!E194="","",'Location Master'!E194)</f>
        <v/>
      </c>
      <c r="B193" s="130" t="str">
        <f t="array" ref="B193">IF(A193="","",IFERROR(INDEX(Inventory!$B$2:$B$201,MATCH(A193,Inventory!$D$2:$D$201,0)),""))</f>
        <v/>
      </c>
      <c r="C193" s="82" t="str">
        <f t="array" ref="C193">IF(A193="","",IFERROR(INDEX(Inventory!$C$2:$C$201,MATCH(A193,Inventory!$D$2:$D$201,0)),""))</f>
        <v/>
      </c>
      <c r="D193" s="82" t="str">
        <f t="array" ref="D193">IF(A193="","",IFERROR(INDEX('Location Master'!$A$2:$A$202,MATCH(A193,'Location Master'!$E$2:$E$202,0)),""))</f>
        <v/>
      </c>
      <c r="E193" s="82" t="str">
        <f t="array" ref="E193">IF(A193="","",IFERROR(INDEX('Location Master'!$B$2:$B$202,MATCH(A193,'Location Master'!$E$2:$E$202,0)),""))</f>
        <v/>
      </c>
      <c r="F193" s="82" t="str">
        <f t="array" ref="F193">IF(A193="","",IFERROR(INDEX('Location Master'!$C$2:$C$202,MATCH(A193,'Location Master'!$E$2:$E$202,0)),""))</f>
        <v/>
      </c>
      <c r="G193" s="82" t="str">
        <f t="array" ref="G193">IF(A193="","",IFERROR(INDEX('Location Master'!$D$2:$D$202,MATCH(A193,'Location Master'!$E$2:$E$202,0)),""))</f>
        <v/>
      </c>
      <c r="H193" s="82"/>
    </row>
    <row r="194" ht="24.0" customHeight="1">
      <c r="A194" s="135" t="str">
        <f>IF('Location Master'!E195="","",'Location Master'!E195)</f>
        <v/>
      </c>
      <c r="B194" s="133" t="str">
        <f t="array" ref="B194">IF(A194="","",IFERROR(INDEX(Inventory!$B$2:$B$201,MATCH(A194,Inventory!$D$2:$D$201,0)),""))</f>
        <v/>
      </c>
      <c r="C194" s="88" t="str">
        <f t="array" ref="C194">IF(A194="","",IFERROR(INDEX(Inventory!$C$2:$C$201,MATCH(A194,Inventory!$D$2:$D$201,0)),""))</f>
        <v/>
      </c>
      <c r="D194" s="88" t="str">
        <f t="array" ref="D194">IF(A194="","",IFERROR(INDEX('Location Master'!$A$2:$A$202,MATCH(A194,'Location Master'!$E$2:$E$202,0)),""))</f>
        <v/>
      </c>
      <c r="E194" s="88" t="str">
        <f t="array" ref="E194">IF(A194="","",IFERROR(INDEX('Location Master'!$B$2:$B$202,MATCH(A194,'Location Master'!$E$2:$E$202,0)),""))</f>
        <v/>
      </c>
      <c r="F194" s="88" t="str">
        <f t="array" ref="F194">IF(A194="","",IFERROR(INDEX('Location Master'!$C$2:$C$202,MATCH(A194,'Location Master'!$E$2:$E$202,0)),""))</f>
        <v/>
      </c>
      <c r="G194" s="88" t="str">
        <f t="array" ref="G194">IF(A194="","",IFERROR(INDEX('Location Master'!$D$2:$D$202,MATCH(A194,'Location Master'!$E$2:$E$202,0)),""))</f>
        <v/>
      </c>
      <c r="H194" s="88"/>
    </row>
    <row r="195" ht="24.0" customHeight="1">
      <c r="A195" s="132" t="str">
        <f>IF('Location Master'!E196="","",'Location Master'!E196)</f>
        <v/>
      </c>
      <c r="B195" s="130" t="str">
        <f t="array" ref="B195">IF(A195="","",IFERROR(INDEX(Inventory!$B$2:$B$201,MATCH(A195,Inventory!$D$2:$D$201,0)),""))</f>
        <v/>
      </c>
      <c r="C195" s="82" t="str">
        <f t="array" ref="C195">IF(A195="","",IFERROR(INDEX(Inventory!$C$2:$C$201,MATCH(A195,Inventory!$D$2:$D$201,0)),""))</f>
        <v/>
      </c>
      <c r="D195" s="82" t="str">
        <f t="array" ref="D195">IF(A195="","",IFERROR(INDEX('Location Master'!$A$2:$A$202,MATCH(A195,'Location Master'!$E$2:$E$202,0)),""))</f>
        <v/>
      </c>
      <c r="E195" s="82" t="str">
        <f t="array" ref="E195">IF(A195="","",IFERROR(INDEX('Location Master'!$B$2:$B$202,MATCH(A195,'Location Master'!$E$2:$E$202,0)),""))</f>
        <v/>
      </c>
      <c r="F195" s="82" t="str">
        <f t="array" ref="F195">IF(A195="","",IFERROR(INDEX('Location Master'!$C$2:$C$202,MATCH(A195,'Location Master'!$E$2:$E$202,0)),""))</f>
        <v/>
      </c>
      <c r="G195" s="82" t="str">
        <f t="array" ref="G195">IF(A195="","",IFERROR(INDEX('Location Master'!$D$2:$D$202,MATCH(A195,'Location Master'!$E$2:$E$202,0)),""))</f>
        <v/>
      </c>
      <c r="H195" s="82"/>
    </row>
    <row r="196" ht="24.0" customHeight="1">
      <c r="A196" s="135" t="str">
        <f>IF('Location Master'!E197="","",'Location Master'!E197)</f>
        <v/>
      </c>
      <c r="B196" s="133" t="str">
        <f t="array" ref="B196">IF(A196="","",IFERROR(INDEX(Inventory!$B$2:$B$201,MATCH(A196,Inventory!$D$2:$D$201,0)),""))</f>
        <v/>
      </c>
      <c r="C196" s="88" t="str">
        <f t="array" ref="C196">IF(A196="","",IFERROR(INDEX(Inventory!$C$2:$C$201,MATCH(A196,Inventory!$D$2:$D$201,0)),""))</f>
        <v/>
      </c>
      <c r="D196" s="88" t="str">
        <f t="array" ref="D196">IF(A196="","",IFERROR(INDEX('Location Master'!$A$2:$A$202,MATCH(A196,'Location Master'!$E$2:$E$202,0)),""))</f>
        <v/>
      </c>
      <c r="E196" s="88" t="str">
        <f t="array" ref="E196">IF(A196="","",IFERROR(INDEX('Location Master'!$B$2:$B$202,MATCH(A196,'Location Master'!$E$2:$E$202,0)),""))</f>
        <v/>
      </c>
      <c r="F196" s="88" t="str">
        <f t="array" ref="F196">IF(A196="","",IFERROR(INDEX('Location Master'!$C$2:$C$202,MATCH(A196,'Location Master'!$E$2:$E$202,0)),""))</f>
        <v/>
      </c>
      <c r="G196" s="88" t="str">
        <f t="array" ref="G196">IF(A196="","",IFERROR(INDEX('Location Master'!$D$2:$D$202,MATCH(A196,'Location Master'!$E$2:$E$202,0)),""))</f>
        <v/>
      </c>
      <c r="H196" s="88"/>
    </row>
    <row r="197" ht="24.0" customHeight="1">
      <c r="A197" s="132" t="str">
        <f>IF('Location Master'!E198="","",'Location Master'!E198)</f>
        <v/>
      </c>
      <c r="B197" s="130" t="str">
        <f t="array" ref="B197">IF(A197="","",IFERROR(INDEX(Inventory!$B$2:$B$201,MATCH(A197,Inventory!$D$2:$D$201,0)),""))</f>
        <v/>
      </c>
      <c r="C197" s="82" t="str">
        <f t="array" ref="C197">IF(A197="","",IFERROR(INDEX(Inventory!$C$2:$C$201,MATCH(A197,Inventory!$D$2:$D$201,0)),""))</f>
        <v/>
      </c>
      <c r="D197" s="82" t="str">
        <f t="array" ref="D197">IF(A197="","",IFERROR(INDEX('Location Master'!$A$2:$A$202,MATCH(A197,'Location Master'!$E$2:$E$202,0)),""))</f>
        <v/>
      </c>
      <c r="E197" s="82" t="str">
        <f t="array" ref="E197">IF(A197="","",IFERROR(INDEX('Location Master'!$B$2:$B$202,MATCH(A197,'Location Master'!$E$2:$E$202,0)),""))</f>
        <v/>
      </c>
      <c r="F197" s="82" t="str">
        <f t="array" ref="F197">IF(A197="","",IFERROR(INDEX('Location Master'!$C$2:$C$202,MATCH(A197,'Location Master'!$E$2:$E$202,0)),""))</f>
        <v/>
      </c>
      <c r="G197" s="82" t="str">
        <f t="array" ref="G197">IF(A197="","",IFERROR(INDEX('Location Master'!$D$2:$D$202,MATCH(A197,'Location Master'!$E$2:$E$202,0)),""))</f>
        <v/>
      </c>
      <c r="H197" s="82"/>
    </row>
    <row r="198" ht="24.0" customHeight="1">
      <c r="A198" s="135" t="str">
        <f>IF('Location Master'!E199="","",'Location Master'!E199)</f>
        <v/>
      </c>
      <c r="B198" s="133" t="str">
        <f t="array" ref="B198">IF(A198="","",IFERROR(INDEX(Inventory!$B$2:$B$201,MATCH(A198,Inventory!$D$2:$D$201,0)),""))</f>
        <v/>
      </c>
      <c r="C198" s="88" t="str">
        <f t="array" ref="C198">IF(A198="","",IFERROR(INDEX(Inventory!$C$2:$C$201,MATCH(A198,Inventory!$D$2:$D$201,0)),""))</f>
        <v/>
      </c>
      <c r="D198" s="88" t="str">
        <f t="array" ref="D198">IF(A198="","",IFERROR(INDEX('Location Master'!$A$2:$A$202,MATCH(A198,'Location Master'!$E$2:$E$202,0)),""))</f>
        <v/>
      </c>
      <c r="E198" s="88" t="str">
        <f t="array" ref="E198">IF(A198="","",IFERROR(INDEX('Location Master'!$B$2:$B$202,MATCH(A198,'Location Master'!$E$2:$E$202,0)),""))</f>
        <v/>
      </c>
      <c r="F198" s="88" t="str">
        <f t="array" ref="F198">IF(A198="","",IFERROR(INDEX('Location Master'!$C$2:$C$202,MATCH(A198,'Location Master'!$E$2:$E$202,0)),""))</f>
        <v/>
      </c>
      <c r="G198" s="88" t="str">
        <f t="array" ref="G198">IF(A198="","",IFERROR(INDEX('Location Master'!$D$2:$D$202,MATCH(A198,'Location Master'!$E$2:$E$202,0)),""))</f>
        <v/>
      </c>
      <c r="H198" s="88"/>
    </row>
    <row r="199" ht="24.0" customHeight="1">
      <c r="A199" s="132" t="str">
        <f>IF('Location Master'!E200="","",'Location Master'!E200)</f>
        <v/>
      </c>
      <c r="B199" s="130" t="str">
        <f t="array" ref="B199">IF(A199="","",IFERROR(INDEX(Inventory!$B$2:$B$201,MATCH(A199,Inventory!$D$2:$D$201,0)),""))</f>
        <v/>
      </c>
      <c r="C199" s="82" t="str">
        <f t="array" ref="C199">IF(A199="","",IFERROR(INDEX(Inventory!$C$2:$C$201,MATCH(A199,Inventory!$D$2:$D$201,0)),""))</f>
        <v/>
      </c>
      <c r="D199" s="82" t="str">
        <f t="array" ref="D199">IF(A199="","",IFERROR(INDEX('Location Master'!$A$2:$A$202,MATCH(A199,'Location Master'!$E$2:$E$202,0)),""))</f>
        <v/>
      </c>
      <c r="E199" s="82" t="str">
        <f t="array" ref="E199">IF(A199="","",IFERROR(INDEX('Location Master'!$B$2:$B$202,MATCH(A199,'Location Master'!$E$2:$E$202,0)),""))</f>
        <v/>
      </c>
      <c r="F199" s="82" t="str">
        <f t="array" ref="F199">IF(A199="","",IFERROR(INDEX('Location Master'!$C$2:$C$202,MATCH(A199,'Location Master'!$E$2:$E$202,0)),""))</f>
        <v/>
      </c>
      <c r="G199" s="82" t="str">
        <f t="array" ref="G199">IF(A199="","",IFERROR(INDEX('Location Master'!$D$2:$D$202,MATCH(A199,'Location Master'!$E$2:$E$202,0)),""))</f>
        <v/>
      </c>
      <c r="H199" s="82"/>
    </row>
    <row r="200" ht="24.0" customHeight="1">
      <c r="A200" s="135" t="str">
        <f>IF('Location Master'!E201="","",'Location Master'!E201)</f>
        <v/>
      </c>
      <c r="B200" s="133" t="str">
        <f t="array" ref="B200">IF(A200="","",IFERROR(INDEX(Inventory!$B$2:$B$201,MATCH(A200,Inventory!$D$2:$D$201,0)),""))</f>
        <v/>
      </c>
      <c r="C200" s="88" t="str">
        <f t="array" ref="C200">IF(A200="","",IFERROR(INDEX(Inventory!$C$2:$C$201,MATCH(A200,Inventory!$D$2:$D$201,0)),""))</f>
        <v/>
      </c>
      <c r="D200" s="88" t="str">
        <f t="array" ref="D200">IF(A200="","",IFERROR(INDEX('Location Master'!$A$2:$A$202,MATCH(A200,'Location Master'!$E$2:$E$202,0)),""))</f>
        <v/>
      </c>
      <c r="E200" s="88" t="str">
        <f t="array" ref="E200">IF(A200="","",IFERROR(INDEX('Location Master'!$B$2:$B$202,MATCH(A200,'Location Master'!$E$2:$E$202,0)),""))</f>
        <v/>
      </c>
      <c r="F200" s="88" t="str">
        <f t="array" ref="F200">IF(A200="","",IFERROR(INDEX('Location Master'!$C$2:$C$202,MATCH(A200,'Location Master'!$E$2:$E$202,0)),""))</f>
        <v/>
      </c>
      <c r="G200" s="88" t="str">
        <f t="array" ref="G200">IF(A200="","",IFERROR(INDEX('Location Master'!$D$2:$D$202,MATCH(A200,'Location Master'!$E$2:$E$202,0)),""))</f>
        <v/>
      </c>
      <c r="H200" s="88"/>
    </row>
    <row r="201" ht="24.0" customHeight="1">
      <c r="A201" s="132" t="str">
        <f>IF('Location Master'!E202="","",'Location Master'!E202)</f>
        <v/>
      </c>
      <c r="B201" s="130" t="str">
        <f t="array" ref="B201">IF(A201="","",IFERROR(INDEX(Inventory!$B$2:$B$201,MATCH(A201,Inventory!$D$2:$D$201,0)),""))</f>
        <v/>
      </c>
      <c r="C201" s="82" t="str">
        <f t="array" ref="C201">IF(A201="","",IFERROR(INDEX(Inventory!$C$2:$C$201,MATCH(A201,Inventory!$D$2:$D$201,0)),""))</f>
        <v/>
      </c>
      <c r="D201" s="82" t="str">
        <f t="array" ref="D201">IF(A201="","",IFERROR(INDEX('Location Master'!$A$2:$A$202,MATCH(A201,'Location Master'!$E$2:$E$202,0)),""))</f>
        <v/>
      </c>
      <c r="E201" s="82" t="str">
        <f t="array" ref="E201">IF(A201="","",IFERROR(INDEX('Location Master'!$B$2:$B$202,MATCH(A201,'Location Master'!$E$2:$E$202,0)),""))</f>
        <v/>
      </c>
      <c r="F201" s="82" t="str">
        <f t="array" ref="F201">IF(A201="","",IFERROR(INDEX('Location Master'!$C$2:$C$202,MATCH(A201,'Location Master'!$E$2:$E$202,0)),""))</f>
        <v/>
      </c>
      <c r="G201" s="82" t="str">
        <f t="array" ref="G201">IF(A201="","",IFERROR(INDEX('Location Master'!$D$2:$D$202,MATCH(A201,'Location Master'!$E$2:$E$202,0)),""))</f>
        <v/>
      </c>
      <c r="H201" s="82"/>
    </row>
    <row r="202" ht="15.75" customHeight="1">
      <c r="A202" s="91" t="str">
        <f>IF('Location Master'!E203="","",'Location Master'!E203)</f>
        <v/>
      </c>
      <c r="B202" s="69" t="str">
        <f>IF(A202="","",'Location Master'!H203)</f>
        <v/>
      </c>
      <c r="C202" s="77" t="str">
        <f>IF(A202="","",'Location Master'!I203)</f>
        <v/>
      </c>
      <c r="D202" s="77" t="str">
        <f>IF(A202="","",'Location Master'!A203)</f>
        <v/>
      </c>
      <c r="E202" s="77" t="str">
        <f>IF(A202="","",'Location Master'!B203)</f>
        <v/>
      </c>
      <c r="F202" s="77" t="str">
        <f>IF(A202="","",'Location Master'!C203)</f>
        <v/>
      </c>
      <c r="G202" s="77" t="str">
        <f>IF(A202="","",'Location Master'!D203)</f>
        <v/>
      </c>
      <c r="H202" s="77"/>
    </row>
    <row r="203" ht="15.75" customHeight="1">
      <c r="A203" s="83" t="str">
        <f>IF('Location Master'!E204="","",'Location Master'!E204)</f>
        <v/>
      </c>
      <c r="B203" s="85" t="str">
        <f>IF(A203="","",'Location Master'!H204)</f>
        <v/>
      </c>
      <c r="C203" s="87" t="str">
        <f>IF(A203="","",'Location Master'!I204)</f>
        <v/>
      </c>
      <c r="D203" s="87" t="str">
        <f>IF(A203="","",'Location Master'!A204)</f>
        <v/>
      </c>
      <c r="E203" s="87" t="str">
        <f>IF(A203="","",'Location Master'!B204)</f>
        <v/>
      </c>
      <c r="F203" s="87" t="str">
        <f>IF(A203="","",'Location Master'!C204)</f>
        <v/>
      </c>
      <c r="G203" s="87" t="str">
        <f>IF(A203="","",'Location Master'!D204)</f>
        <v/>
      </c>
      <c r="H203" s="87"/>
    </row>
    <row r="204" ht="15.75" customHeight="1">
      <c r="A204" s="91" t="str">
        <f>IF('Location Master'!E205="","",'Location Master'!E205)</f>
        <v/>
      </c>
      <c r="B204" s="69" t="str">
        <f>IF(A204="","",'Location Master'!H205)</f>
        <v/>
      </c>
      <c r="C204" s="77" t="str">
        <f>IF(A204="","",'Location Master'!I205)</f>
        <v/>
      </c>
      <c r="D204" s="77" t="str">
        <f>IF(A204="","",'Location Master'!A205)</f>
        <v/>
      </c>
      <c r="E204" s="77" t="str">
        <f>IF(A204="","",'Location Master'!B205)</f>
        <v/>
      </c>
      <c r="F204" s="77" t="str">
        <f>IF(A204="","",'Location Master'!C205)</f>
        <v/>
      </c>
      <c r="G204" s="77" t="str">
        <f>IF(A204="","",'Location Master'!D205)</f>
        <v/>
      </c>
      <c r="H204" s="77"/>
    </row>
    <row r="205" ht="15.75" customHeight="1">
      <c r="A205" s="83" t="str">
        <f>IF('Location Master'!E206="","",'Location Master'!E206)</f>
        <v/>
      </c>
      <c r="B205" s="85" t="str">
        <f>IF(A205="","",'Location Master'!H206)</f>
        <v/>
      </c>
      <c r="C205" s="87" t="str">
        <f>IF(A205="","",'Location Master'!I206)</f>
        <v/>
      </c>
      <c r="D205" s="87" t="str">
        <f>IF(A205="","",'Location Master'!A206)</f>
        <v/>
      </c>
      <c r="E205" s="87" t="str">
        <f>IF(A205="","",'Location Master'!B206)</f>
        <v/>
      </c>
      <c r="F205" s="87" t="str">
        <f>IF(A205="","",'Location Master'!C206)</f>
        <v/>
      </c>
      <c r="G205" s="87" t="str">
        <f>IF(A205="","",'Location Master'!D206)</f>
        <v/>
      </c>
      <c r="H205" s="87"/>
    </row>
    <row r="206" ht="15.75" customHeight="1">
      <c r="A206" s="91" t="str">
        <f>IF('Location Master'!E207="","",'Location Master'!E207)</f>
        <v/>
      </c>
      <c r="B206" s="69" t="str">
        <f>IF(A206="","",'Location Master'!H207)</f>
        <v/>
      </c>
      <c r="C206" s="77" t="str">
        <f>IF(A206="","",'Location Master'!I207)</f>
        <v/>
      </c>
      <c r="D206" s="77" t="str">
        <f>IF(A206="","",'Location Master'!A207)</f>
        <v/>
      </c>
      <c r="E206" s="77" t="str">
        <f>IF(A206="","",'Location Master'!B207)</f>
        <v/>
      </c>
      <c r="F206" s="77" t="str">
        <f>IF(A206="","",'Location Master'!C207)</f>
        <v/>
      </c>
      <c r="G206" s="77" t="str">
        <f>IF(A206="","",'Location Master'!D207)</f>
        <v/>
      </c>
      <c r="H206" s="77"/>
    </row>
    <row r="207" ht="15.75" customHeight="1">
      <c r="A207" s="83" t="str">
        <f>IF('Location Master'!E208="","",'Location Master'!E208)</f>
        <v/>
      </c>
      <c r="B207" s="85" t="str">
        <f>IF(A207="","",'Location Master'!H208)</f>
        <v/>
      </c>
      <c r="C207" s="87" t="str">
        <f>IF(A207="","",'Location Master'!I208)</f>
        <v/>
      </c>
      <c r="D207" s="87" t="str">
        <f>IF(A207="","",'Location Master'!A208)</f>
        <v/>
      </c>
      <c r="E207" s="87" t="str">
        <f>IF(A207="","",'Location Master'!B208)</f>
        <v/>
      </c>
      <c r="F207" s="87" t="str">
        <f>IF(A207="","",'Location Master'!C208)</f>
        <v/>
      </c>
      <c r="G207" s="87" t="str">
        <f>IF(A207="","",'Location Master'!D208)</f>
        <v/>
      </c>
      <c r="H207" s="87"/>
    </row>
    <row r="208" ht="15.75" customHeight="1">
      <c r="A208" s="91" t="str">
        <f>IF('Location Master'!E209="","",'Location Master'!E209)</f>
        <v/>
      </c>
      <c r="B208" s="69" t="str">
        <f>IF(A208="","",'Location Master'!H209)</f>
        <v/>
      </c>
      <c r="C208" s="77" t="str">
        <f>IF(A208="","",'Location Master'!I209)</f>
        <v/>
      </c>
      <c r="D208" s="77" t="str">
        <f>IF(A208="","",'Location Master'!A209)</f>
        <v/>
      </c>
      <c r="E208" s="77" t="str">
        <f>IF(A208="","",'Location Master'!B209)</f>
        <v/>
      </c>
      <c r="F208" s="77" t="str">
        <f>IF(A208="","",'Location Master'!C209)</f>
        <v/>
      </c>
      <c r="G208" s="77" t="str">
        <f>IF(A208="","",'Location Master'!D209)</f>
        <v/>
      </c>
      <c r="H208" s="77"/>
    </row>
    <row r="209" ht="15.75" customHeight="1">
      <c r="A209" s="83" t="str">
        <f>IF('Location Master'!E210="","",'Location Master'!E210)</f>
        <v/>
      </c>
      <c r="B209" s="85" t="str">
        <f>IF(A209="","",'Location Master'!H210)</f>
        <v/>
      </c>
      <c r="C209" s="87" t="str">
        <f>IF(A209="","",'Location Master'!I210)</f>
        <v/>
      </c>
      <c r="D209" s="87" t="str">
        <f>IF(A209="","",'Location Master'!A210)</f>
        <v/>
      </c>
      <c r="E209" s="87" t="str">
        <f>IF(A209="","",'Location Master'!B210)</f>
        <v/>
      </c>
      <c r="F209" s="87" t="str">
        <f>IF(A209="","",'Location Master'!C210)</f>
        <v/>
      </c>
      <c r="G209" s="87" t="str">
        <f>IF(A209="","",'Location Master'!D210)</f>
        <v/>
      </c>
      <c r="H209" s="87"/>
    </row>
    <row r="210" ht="15.75" customHeight="1">
      <c r="A210" s="91" t="str">
        <f>IF('Location Master'!E211="","",'Location Master'!E211)</f>
        <v/>
      </c>
      <c r="B210" s="69" t="str">
        <f>IF(A210="","",'Location Master'!H211)</f>
        <v/>
      </c>
      <c r="C210" s="77" t="str">
        <f>IF(A210="","",'Location Master'!I211)</f>
        <v/>
      </c>
      <c r="D210" s="77" t="str">
        <f>IF(A210="","",'Location Master'!A211)</f>
        <v/>
      </c>
      <c r="E210" s="77" t="str">
        <f>IF(A210="","",'Location Master'!B211)</f>
        <v/>
      </c>
      <c r="F210" s="77" t="str">
        <f>IF(A210="","",'Location Master'!C211)</f>
        <v/>
      </c>
      <c r="G210" s="77" t="str">
        <f>IF(A210="","",'Location Master'!D211)</f>
        <v/>
      </c>
      <c r="H210" s="77"/>
    </row>
    <row r="211" ht="15.75" customHeight="1">
      <c r="A211" s="83" t="str">
        <f>IF('Location Master'!E212="","",'Location Master'!E212)</f>
        <v/>
      </c>
      <c r="B211" s="85" t="str">
        <f>IF(A211="","",'Location Master'!H212)</f>
        <v/>
      </c>
      <c r="C211" s="87" t="str">
        <f>IF(A211="","",'Location Master'!I212)</f>
        <v/>
      </c>
      <c r="D211" s="87" t="str">
        <f>IF(A211="","",'Location Master'!A212)</f>
        <v/>
      </c>
      <c r="E211" s="87" t="str">
        <f>IF(A211="","",'Location Master'!B212)</f>
        <v/>
      </c>
      <c r="F211" s="87" t="str">
        <f>IF(A211="","",'Location Master'!C212)</f>
        <v/>
      </c>
      <c r="G211" s="87" t="str">
        <f>IF(A211="","",'Location Master'!D212)</f>
        <v/>
      </c>
      <c r="H211" s="87"/>
    </row>
    <row r="212" ht="15.75" customHeight="1">
      <c r="A212" s="91" t="str">
        <f>IF('Location Master'!E213="","",'Location Master'!E213)</f>
        <v/>
      </c>
      <c r="B212" s="69" t="str">
        <f>IF(A212="","",'Location Master'!H213)</f>
        <v/>
      </c>
      <c r="C212" s="77" t="str">
        <f>IF(A212="","",'Location Master'!I213)</f>
        <v/>
      </c>
      <c r="D212" s="77" t="str">
        <f>IF(A212="","",'Location Master'!A213)</f>
        <v/>
      </c>
      <c r="E212" s="77" t="str">
        <f>IF(A212="","",'Location Master'!B213)</f>
        <v/>
      </c>
      <c r="F212" s="77" t="str">
        <f>IF(A212="","",'Location Master'!C213)</f>
        <v/>
      </c>
      <c r="G212" s="77" t="str">
        <f>IF(A212="","",'Location Master'!D213)</f>
        <v/>
      </c>
      <c r="H212" s="77"/>
    </row>
    <row r="213" ht="15.75" customHeight="1">
      <c r="A213" s="83" t="str">
        <f>IF('Location Master'!E214="","",'Location Master'!E214)</f>
        <v/>
      </c>
      <c r="B213" s="85" t="str">
        <f>IF(A213="","",'Location Master'!H214)</f>
        <v/>
      </c>
      <c r="C213" s="87" t="str">
        <f>IF(A213="","",'Location Master'!I214)</f>
        <v/>
      </c>
      <c r="D213" s="87" t="str">
        <f>IF(A213="","",'Location Master'!A214)</f>
        <v/>
      </c>
      <c r="E213" s="87" t="str">
        <f>IF(A213="","",'Location Master'!B214)</f>
        <v/>
      </c>
      <c r="F213" s="87" t="str">
        <f>IF(A213="","",'Location Master'!C214)</f>
        <v/>
      </c>
      <c r="G213" s="87" t="str">
        <f>IF(A213="","",'Location Master'!D214)</f>
        <v/>
      </c>
      <c r="H213" s="87"/>
    </row>
    <row r="214" ht="15.75" customHeight="1">
      <c r="A214" s="91" t="str">
        <f>IF('Location Master'!E215="","",'Location Master'!E215)</f>
        <v/>
      </c>
      <c r="B214" s="69" t="str">
        <f>IF(A214="","",'Location Master'!H215)</f>
        <v/>
      </c>
      <c r="C214" s="77" t="str">
        <f>IF(A214="","",'Location Master'!I215)</f>
        <v/>
      </c>
      <c r="D214" s="77" t="str">
        <f>IF(A214="","",'Location Master'!A215)</f>
        <v/>
      </c>
      <c r="E214" s="77" t="str">
        <f>IF(A214="","",'Location Master'!B215)</f>
        <v/>
      </c>
      <c r="F214" s="77" t="str">
        <f>IF(A214="","",'Location Master'!C215)</f>
        <v/>
      </c>
      <c r="G214" s="77" t="str">
        <f>IF(A214="","",'Location Master'!D215)</f>
        <v/>
      </c>
      <c r="H214" s="77"/>
    </row>
    <row r="215" ht="15.75" customHeight="1">
      <c r="A215" s="83" t="str">
        <f>IF('Location Master'!E216="","",'Location Master'!E216)</f>
        <v/>
      </c>
      <c r="B215" s="85" t="str">
        <f>IF(A215="","",'Location Master'!H216)</f>
        <v/>
      </c>
      <c r="C215" s="87" t="str">
        <f>IF(A215="","",'Location Master'!I216)</f>
        <v/>
      </c>
      <c r="D215" s="87" t="str">
        <f>IF(A215="","",'Location Master'!A216)</f>
        <v/>
      </c>
      <c r="E215" s="87" t="str">
        <f>IF(A215="","",'Location Master'!B216)</f>
        <v/>
      </c>
      <c r="F215" s="87" t="str">
        <f>IF(A215="","",'Location Master'!C216)</f>
        <v/>
      </c>
      <c r="G215" s="87" t="str">
        <f>IF(A215="","",'Location Master'!D216)</f>
        <v/>
      </c>
      <c r="H215" s="87"/>
    </row>
    <row r="216" ht="15.75" customHeight="1">
      <c r="A216" s="91" t="str">
        <f>IF('Location Master'!E217="","",'Location Master'!E217)</f>
        <v/>
      </c>
      <c r="B216" s="69" t="str">
        <f>IF(A216="","",'Location Master'!H217)</f>
        <v/>
      </c>
      <c r="C216" s="77" t="str">
        <f>IF(A216="","",'Location Master'!I217)</f>
        <v/>
      </c>
      <c r="D216" s="77" t="str">
        <f>IF(A216="","",'Location Master'!A217)</f>
        <v/>
      </c>
      <c r="E216" s="77" t="str">
        <f>IF(A216="","",'Location Master'!B217)</f>
        <v/>
      </c>
      <c r="F216" s="77" t="str">
        <f>IF(A216="","",'Location Master'!C217)</f>
        <v/>
      </c>
      <c r="G216" s="77" t="str">
        <f>IF(A216="","",'Location Master'!D217)</f>
        <v/>
      </c>
      <c r="H216" s="77"/>
    </row>
    <row r="217" ht="15.75" customHeight="1">
      <c r="A217" s="83" t="str">
        <f>IF('Location Master'!E218="","",'Location Master'!E218)</f>
        <v/>
      </c>
      <c r="B217" s="85" t="str">
        <f>IF(A217="","",'Location Master'!H218)</f>
        <v/>
      </c>
      <c r="C217" s="87" t="str">
        <f>IF(A217="","",'Location Master'!I218)</f>
        <v/>
      </c>
      <c r="D217" s="87" t="str">
        <f>IF(A217="","",'Location Master'!A218)</f>
        <v/>
      </c>
      <c r="E217" s="87" t="str">
        <f>IF(A217="","",'Location Master'!B218)</f>
        <v/>
      </c>
      <c r="F217" s="87" t="str">
        <f>IF(A217="","",'Location Master'!C218)</f>
        <v/>
      </c>
      <c r="G217" s="87" t="str">
        <f>IF(A217="","",'Location Master'!D218)</f>
        <v/>
      </c>
      <c r="H217" s="87"/>
    </row>
    <row r="218" ht="15.75" customHeight="1">
      <c r="A218" s="91" t="str">
        <f>IF('Location Master'!E219="","",'Location Master'!E219)</f>
        <v/>
      </c>
      <c r="B218" s="69" t="str">
        <f>IF(A218="","",'Location Master'!H219)</f>
        <v/>
      </c>
      <c r="C218" s="77" t="str">
        <f>IF(A218="","",'Location Master'!I219)</f>
        <v/>
      </c>
      <c r="D218" s="77" t="str">
        <f>IF(A218="","",'Location Master'!A219)</f>
        <v/>
      </c>
      <c r="E218" s="77" t="str">
        <f>IF(A218="","",'Location Master'!B219)</f>
        <v/>
      </c>
      <c r="F218" s="77" t="str">
        <f>IF(A218="","",'Location Master'!C219)</f>
        <v/>
      </c>
      <c r="G218" s="77" t="str">
        <f>IF(A218="","",'Location Master'!D219)</f>
        <v/>
      </c>
      <c r="H218" s="77"/>
    </row>
    <row r="219" ht="15.75" customHeight="1">
      <c r="A219" s="83" t="str">
        <f>IF('Location Master'!E220="","",'Location Master'!E220)</f>
        <v/>
      </c>
      <c r="B219" s="85" t="str">
        <f>IF(A219="","",'Location Master'!H220)</f>
        <v/>
      </c>
      <c r="C219" s="87" t="str">
        <f>IF(A219="","",'Location Master'!I220)</f>
        <v/>
      </c>
      <c r="D219" s="87" t="str">
        <f>IF(A219="","",'Location Master'!A220)</f>
        <v/>
      </c>
      <c r="E219" s="87" t="str">
        <f>IF(A219="","",'Location Master'!B220)</f>
        <v/>
      </c>
      <c r="F219" s="87" t="str">
        <f>IF(A219="","",'Location Master'!C220)</f>
        <v/>
      </c>
      <c r="G219" s="87" t="str">
        <f>IF(A219="","",'Location Master'!D220)</f>
        <v/>
      </c>
      <c r="H219" s="87"/>
    </row>
    <row r="220" ht="15.75" customHeight="1">
      <c r="A220" s="91" t="str">
        <f>IF('Location Master'!E221="","",'Location Master'!E221)</f>
        <v/>
      </c>
      <c r="B220" s="69" t="str">
        <f>IF(A220="","",'Location Master'!H221)</f>
        <v/>
      </c>
      <c r="C220" s="77" t="str">
        <f>IF(A220="","",'Location Master'!I221)</f>
        <v/>
      </c>
      <c r="D220" s="77" t="str">
        <f>IF(A220="","",'Location Master'!A221)</f>
        <v/>
      </c>
      <c r="E220" s="77" t="str">
        <f>IF(A220="","",'Location Master'!B221)</f>
        <v/>
      </c>
      <c r="F220" s="77" t="str">
        <f>IF(A220="","",'Location Master'!C221)</f>
        <v/>
      </c>
      <c r="G220" s="77" t="str">
        <f>IF(A220="","",'Location Master'!D221)</f>
        <v/>
      </c>
      <c r="H220" s="77"/>
    </row>
    <row r="221" ht="15.75" customHeight="1">
      <c r="A221" s="83" t="str">
        <f>IF('Location Master'!E222="","",'Location Master'!E222)</f>
        <v/>
      </c>
      <c r="B221" s="85" t="str">
        <f>IF(A221="","",'Location Master'!H222)</f>
        <v/>
      </c>
      <c r="C221" s="87" t="str">
        <f>IF(A221="","",'Location Master'!I222)</f>
        <v/>
      </c>
      <c r="D221" s="87" t="str">
        <f>IF(A221="","",'Location Master'!A222)</f>
        <v/>
      </c>
      <c r="E221" s="87" t="str">
        <f>IF(A221="","",'Location Master'!B222)</f>
        <v/>
      </c>
      <c r="F221" s="87" t="str">
        <f>IF(A221="","",'Location Master'!C222)</f>
        <v/>
      </c>
      <c r="G221" s="87" t="str">
        <f>IF(A221="","",'Location Master'!D222)</f>
        <v/>
      </c>
      <c r="H221" s="87"/>
    </row>
    <row r="222" ht="15.75" customHeight="1">
      <c r="A222" s="91" t="str">
        <f>IF('Location Master'!E223="","",'Location Master'!E223)</f>
        <v/>
      </c>
      <c r="B222" s="69" t="str">
        <f>IF(A222="","",'Location Master'!H223)</f>
        <v/>
      </c>
      <c r="C222" s="77" t="str">
        <f>IF(A222="","",'Location Master'!I223)</f>
        <v/>
      </c>
      <c r="D222" s="77" t="str">
        <f>IF(A222="","",'Location Master'!A223)</f>
        <v/>
      </c>
      <c r="E222" s="77" t="str">
        <f>IF(A222="","",'Location Master'!B223)</f>
        <v/>
      </c>
      <c r="F222" s="77" t="str">
        <f>IF(A222="","",'Location Master'!C223)</f>
        <v/>
      </c>
      <c r="G222" s="77" t="str">
        <f>IF(A222="","",'Location Master'!D223)</f>
        <v/>
      </c>
      <c r="H222" s="77"/>
    </row>
    <row r="223" ht="15.75" customHeight="1">
      <c r="A223" s="83" t="str">
        <f>IF('Location Master'!E224="","",'Location Master'!E224)</f>
        <v/>
      </c>
      <c r="B223" s="85" t="str">
        <f>IF(A223="","",'Location Master'!H224)</f>
        <v/>
      </c>
      <c r="C223" s="87" t="str">
        <f>IF(A223="","",'Location Master'!I224)</f>
        <v/>
      </c>
      <c r="D223" s="87" t="str">
        <f>IF(A223="","",'Location Master'!A224)</f>
        <v/>
      </c>
      <c r="E223" s="87" t="str">
        <f>IF(A223="","",'Location Master'!B224)</f>
        <v/>
      </c>
      <c r="F223" s="87" t="str">
        <f>IF(A223="","",'Location Master'!C224)</f>
        <v/>
      </c>
      <c r="G223" s="87" t="str">
        <f>IF(A223="","",'Location Master'!D224)</f>
        <v/>
      </c>
      <c r="H223" s="87"/>
    </row>
    <row r="224" ht="15.75" customHeight="1">
      <c r="A224" s="91" t="str">
        <f>IF('Location Master'!E225="","",'Location Master'!E225)</f>
        <v/>
      </c>
      <c r="B224" s="69" t="str">
        <f>IF(A224="","",'Location Master'!H225)</f>
        <v/>
      </c>
      <c r="C224" s="77" t="str">
        <f>IF(A224="","",'Location Master'!I225)</f>
        <v/>
      </c>
      <c r="D224" s="77" t="str">
        <f>IF(A224="","",'Location Master'!A225)</f>
        <v/>
      </c>
      <c r="E224" s="77" t="str">
        <f>IF(A224="","",'Location Master'!B225)</f>
        <v/>
      </c>
      <c r="F224" s="77" t="str">
        <f>IF(A224="","",'Location Master'!C225)</f>
        <v/>
      </c>
      <c r="G224" s="77" t="str">
        <f>IF(A224="","",'Location Master'!D225)</f>
        <v/>
      </c>
      <c r="H224" s="77"/>
    </row>
    <row r="225" ht="15.75" customHeight="1">
      <c r="A225" s="83" t="str">
        <f>IF('Location Master'!E226="","",'Location Master'!E226)</f>
        <v/>
      </c>
      <c r="B225" s="85" t="str">
        <f>IF(A225="","",'Location Master'!H226)</f>
        <v/>
      </c>
      <c r="C225" s="87" t="str">
        <f>IF(A225="","",'Location Master'!I226)</f>
        <v/>
      </c>
      <c r="D225" s="87" t="str">
        <f>IF(A225="","",'Location Master'!A226)</f>
        <v/>
      </c>
      <c r="E225" s="87" t="str">
        <f>IF(A225="","",'Location Master'!B226)</f>
        <v/>
      </c>
      <c r="F225" s="87" t="str">
        <f>IF(A225="","",'Location Master'!C226)</f>
        <v/>
      </c>
      <c r="G225" s="87" t="str">
        <f>IF(A225="","",'Location Master'!D226)</f>
        <v/>
      </c>
      <c r="H225" s="87"/>
    </row>
    <row r="226" ht="15.75" customHeight="1">
      <c r="A226" s="91" t="str">
        <f>IF('Location Master'!E227="","",'Location Master'!E227)</f>
        <v/>
      </c>
      <c r="B226" s="69" t="str">
        <f>IF(A226="","",'Location Master'!H227)</f>
        <v/>
      </c>
      <c r="C226" s="77" t="str">
        <f>IF(A226="","",'Location Master'!I227)</f>
        <v/>
      </c>
      <c r="D226" s="77" t="str">
        <f>IF(A226="","",'Location Master'!A227)</f>
        <v/>
      </c>
      <c r="E226" s="77" t="str">
        <f>IF(A226="","",'Location Master'!B227)</f>
        <v/>
      </c>
      <c r="F226" s="77" t="str">
        <f>IF(A226="","",'Location Master'!C227)</f>
        <v/>
      </c>
      <c r="G226" s="77" t="str">
        <f>IF(A226="","",'Location Master'!D227)</f>
        <v/>
      </c>
      <c r="H226" s="77"/>
    </row>
    <row r="227" ht="15.75" customHeight="1">
      <c r="A227" s="83" t="str">
        <f>IF('Location Master'!E228="","",'Location Master'!E228)</f>
        <v/>
      </c>
      <c r="B227" s="85" t="str">
        <f>IF(A227="","",'Location Master'!H228)</f>
        <v/>
      </c>
      <c r="C227" s="87" t="str">
        <f>IF(A227="","",'Location Master'!I228)</f>
        <v/>
      </c>
      <c r="D227" s="87" t="str">
        <f>IF(A227="","",'Location Master'!A228)</f>
        <v/>
      </c>
      <c r="E227" s="87" t="str">
        <f>IF(A227="","",'Location Master'!B228)</f>
        <v/>
      </c>
      <c r="F227" s="87" t="str">
        <f>IF(A227="","",'Location Master'!C228)</f>
        <v/>
      </c>
      <c r="G227" s="87" t="str">
        <f>IF(A227="","",'Location Master'!D228)</f>
        <v/>
      </c>
      <c r="H227" s="87"/>
    </row>
    <row r="228" ht="15.75" customHeight="1">
      <c r="A228" s="91" t="str">
        <f>IF('Location Master'!E229="","",'Location Master'!E229)</f>
        <v/>
      </c>
      <c r="B228" s="69" t="str">
        <f>IF(A228="","",'Location Master'!H229)</f>
        <v/>
      </c>
      <c r="C228" s="77" t="str">
        <f>IF(A228="","",'Location Master'!I229)</f>
        <v/>
      </c>
      <c r="D228" s="77" t="str">
        <f>IF(A228="","",'Location Master'!A229)</f>
        <v/>
      </c>
      <c r="E228" s="77" t="str">
        <f>IF(A228="","",'Location Master'!B229)</f>
        <v/>
      </c>
      <c r="F228" s="77" t="str">
        <f>IF(A228="","",'Location Master'!C229)</f>
        <v/>
      </c>
      <c r="G228" s="77" t="str">
        <f>IF(A228="","",'Location Master'!D229)</f>
        <v/>
      </c>
      <c r="H228" s="77"/>
    </row>
    <row r="229" ht="15.75" customHeight="1">
      <c r="A229" s="83" t="str">
        <f>IF('Location Master'!E230="","",'Location Master'!E230)</f>
        <v/>
      </c>
      <c r="B229" s="85" t="str">
        <f>IF(A229="","",'Location Master'!H230)</f>
        <v/>
      </c>
      <c r="C229" s="87" t="str">
        <f>IF(A229="","",'Location Master'!I230)</f>
        <v/>
      </c>
      <c r="D229" s="87" t="str">
        <f>IF(A229="","",'Location Master'!A230)</f>
        <v/>
      </c>
      <c r="E229" s="87" t="str">
        <f>IF(A229="","",'Location Master'!B230)</f>
        <v/>
      </c>
      <c r="F229" s="87" t="str">
        <f>IF(A229="","",'Location Master'!C230)</f>
        <v/>
      </c>
      <c r="G229" s="87" t="str">
        <f>IF(A229="","",'Location Master'!D230)</f>
        <v/>
      </c>
      <c r="H229" s="87"/>
    </row>
    <row r="230" ht="15.75" customHeight="1">
      <c r="A230" s="91" t="str">
        <f>IF('Location Master'!E231="","",'Location Master'!E231)</f>
        <v/>
      </c>
      <c r="B230" s="69" t="str">
        <f>IF(A230="","",'Location Master'!H231)</f>
        <v/>
      </c>
      <c r="C230" s="77" t="str">
        <f>IF(A230="","",'Location Master'!I231)</f>
        <v/>
      </c>
      <c r="D230" s="77" t="str">
        <f>IF(A230="","",'Location Master'!A231)</f>
        <v/>
      </c>
      <c r="E230" s="77" t="str">
        <f>IF(A230="","",'Location Master'!B231)</f>
        <v/>
      </c>
      <c r="F230" s="77" t="str">
        <f>IF(A230="","",'Location Master'!C231)</f>
        <v/>
      </c>
      <c r="G230" s="77" t="str">
        <f>IF(A230="","",'Location Master'!D231)</f>
        <v/>
      </c>
      <c r="H230" s="77"/>
    </row>
    <row r="231" ht="15.75" customHeight="1">
      <c r="A231" s="83" t="str">
        <f>IF('Location Master'!E232="","",'Location Master'!E232)</f>
        <v/>
      </c>
      <c r="B231" s="85" t="str">
        <f>IF(A231="","",'Location Master'!H232)</f>
        <v/>
      </c>
      <c r="C231" s="87" t="str">
        <f>IF(A231="","",'Location Master'!I232)</f>
        <v/>
      </c>
      <c r="D231" s="87" t="str">
        <f>IF(A231="","",'Location Master'!A232)</f>
        <v/>
      </c>
      <c r="E231" s="87" t="str">
        <f>IF(A231="","",'Location Master'!B232)</f>
        <v/>
      </c>
      <c r="F231" s="87" t="str">
        <f>IF(A231="","",'Location Master'!C232)</f>
        <v/>
      </c>
      <c r="G231" s="87" t="str">
        <f>IF(A231="","",'Location Master'!D232)</f>
        <v/>
      </c>
      <c r="H231" s="87"/>
    </row>
    <row r="232" ht="15.75" customHeight="1">
      <c r="A232" s="91" t="str">
        <f>IF('Location Master'!E233="","",'Location Master'!E233)</f>
        <v/>
      </c>
      <c r="B232" s="69" t="str">
        <f>IF(A232="","",'Location Master'!H233)</f>
        <v/>
      </c>
      <c r="C232" s="77" t="str">
        <f>IF(A232="","",'Location Master'!I233)</f>
        <v/>
      </c>
      <c r="D232" s="77" t="str">
        <f>IF(A232="","",'Location Master'!A233)</f>
        <v/>
      </c>
      <c r="E232" s="77" t="str">
        <f>IF(A232="","",'Location Master'!B233)</f>
        <v/>
      </c>
      <c r="F232" s="77" t="str">
        <f>IF(A232="","",'Location Master'!C233)</f>
        <v/>
      </c>
      <c r="G232" s="77" t="str">
        <f>IF(A232="","",'Location Master'!D233)</f>
        <v/>
      </c>
      <c r="H232" s="77"/>
    </row>
    <row r="233" ht="15.75" customHeight="1">
      <c r="A233" s="83" t="str">
        <f>IF('Location Master'!E234="","",'Location Master'!E234)</f>
        <v/>
      </c>
      <c r="B233" s="85" t="str">
        <f>IF(A233="","",'Location Master'!H234)</f>
        <v/>
      </c>
      <c r="C233" s="87" t="str">
        <f>IF(A233="","",'Location Master'!I234)</f>
        <v/>
      </c>
      <c r="D233" s="87" t="str">
        <f>IF(A233="","",'Location Master'!A234)</f>
        <v/>
      </c>
      <c r="E233" s="87" t="str">
        <f>IF(A233="","",'Location Master'!B234)</f>
        <v/>
      </c>
      <c r="F233" s="87" t="str">
        <f>IF(A233="","",'Location Master'!C234)</f>
        <v/>
      </c>
      <c r="G233" s="87" t="str">
        <f>IF(A233="","",'Location Master'!D234)</f>
        <v/>
      </c>
      <c r="H233" s="87"/>
    </row>
    <row r="234" ht="15.75" customHeight="1">
      <c r="A234" s="91" t="str">
        <f>IF('Location Master'!E235="","",'Location Master'!E235)</f>
        <v/>
      </c>
      <c r="B234" s="69" t="str">
        <f>IF(A234="","",'Location Master'!H235)</f>
        <v/>
      </c>
      <c r="C234" s="77" t="str">
        <f>IF(A234="","",'Location Master'!I235)</f>
        <v/>
      </c>
      <c r="D234" s="77" t="str">
        <f>IF(A234="","",'Location Master'!A235)</f>
        <v/>
      </c>
      <c r="E234" s="77" t="str">
        <f>IF(A234="","",'Location Master'!B235)</f>
        <v/>
      </c>
      <c r="F234" s="77" t="str">
        <f>IF(A234="","",'Location Master'!C235)</f>
        <v/>
      </c>
      <c r="G234" s="77" t="str">
        <f>IF(A234="","",'Location Master'!D235)</f>
        <v/>
      </c>
      <c r="H234" s="77"/>
    </row>
    <row r="235" ht="15.75" customHeight="1">
      <c r="A235" s="83" t="str">
        <f>IF('Location Master'!E236="","",'Location Master'!E236)</f>
        <v/>
      </c>
      <c r="B235" s="85" t="str">
        <f>IF(A235="","",'Location Master'!H236)</f>
        <v/>
      </c>
      <c r="C235" s="87" t="str">
        <f>IF(A235="","",'Location Master'!I236)</f>
        <v/>
      </c>
      <c r="D235" s="87" t="str">
        <f>IF(A235="","",'Location Master'!A236)</f>
        <v/>
      </c>
      <c r="E235" s="87" t="str">
        <f>IF(A235="","",'Location Master'!B236)</f>
        <v/>
      </c>
      <c r="F235" s="87" t="str">
        <f>IF(A235="","",'Location Master'!C236)</f>
        <v/>
      </c>
      <c r="G235" s="87" t="str">
        <f>IF(A235="","",'Location Master'!D236)</f>
        <v/>
      </c>
      <c r="H235" s="87"/>
    </row>
    <row r="236" ht="15.75" customHeight="1">
      <c r="A236" s="91" t="str">
        <f>IF('Location Master'!E237="","",'Location Master'!E237)</f>
        <v/>
      </c>
      <c r="B236" s="69" t="str">
        <f>IF(A236="","",'Location Master'!H237)</f>
        <v/>
      </c>
      <c r="C236" s="77" t="str">
        <f>IF(A236="","",'Location Master'!I237)</f>
        <v/>
      </c>
      <c r="D236" s="77" t="str">
        <f>IF(A236="","",'Location Master'!A237)</f>
        <v/>
      </c>
      <c r="E236" s="77" t="str">
        <f>IF(A236="","",'Location Master'!B237)</f>
        <v/>
      </c>
      <c r="F236" s="77" t="str">
        <f>IF(A236="","",'Location Master'!C237)</f>
        <v/>
      </c>
      <c r="G236" s="77" t="str">
        <f>IF(A236="","",'Location Master'!D237)</f>
        <v/>
      </c>
      <c r="H236" s="77"/>
    </row>
    <row r="237" ht="15.75" customHeight="1">
      <c r="A237" s="83" t="str">
        <f>IF('Location Master'!E238="","",'Location Master'!E238)</f>
        <v/>
      </c>
      <c r="B237" s="85" t="str">
        <f>IF(A237="","",'Location Master'!H238)</f>
        <v/>
      </c>
      <c r="C237" s="87" t="str">
        <f>IF(A237="","",'Location Master'!I238)</f>
        <v/>
      </c>
      <c r="D237" s="87" t="str">
        <f>IF(A237="","",'Location Master'!A238)</f>
        <v/>
      </c>
      <c r="E237" s="87" t="str">
        <f>IF(A237="","",'Location Master'!B238)</f>
        <v/>
      </c>
      <c r="F237" s="87" t="str">
        <f>IF(A237="","",'Location Master'!C238)</f>
        <v/>
      </c>
      <c r="G237" s="87" t="str">
        <f>IF(A237="","",'Location Master'!D238)</f>
        <v/>
      </c>
      <c r="H237" s="87"/>
    </row>
    <row r="238" ht="15.75" customHeight="1">
      <c r="A238" s="91" t="str">
        <f>IF('Location Master'!E239="","",'Location Master'!E239)</f>
        <v/>
      </c>
      <c r="B238" s="69" t="str">
        <f>IF(A238="","",'Location Master'!H239)</f>
        <v/>
      </c>
      <c r="C238" s="77" t="str">
        <f>IF(A238="","",'Location Master'!I239)</f>
        <v/>
      </c>
      <c r="D238" s="77" t="str">
        <f>IF(A238="","",'Location Master'!A239)</f>
        <v/>
      </c>
      <c r="E238" s="77" t="str">
        <f>IF(A238="","",'Location Master'!B239)</f>
        <v/>
      </c>
      <c r="F238" s="77" t="str">
        <f>IF(A238="","",'Location Master'!C239)</f>
        <v/>
      </c>
      <c r="G238" s="77" t="str">
        <f>IF(A238="","",'Location Master'!D239)</f>
        <v/>
      </c>
      <c r="H238" s="77"/>
    </row>
    <row r="239" ht="15.75" customHeight="1">
      <c r="A239" s="83" t="str">
        <f>IF('Location Master'!E240="","",'Location Master'!E240)</f>
        <v/>
      </c>
      <c r="B239" s="85" t="str">
        <f>IF(A239="","",'Location Master'!H240)</f>
        <v/>
      </c>
      <c r="C239" s="87" t="str">
        <f>IF(A239="","",'Location Master'!I240)</f>
        <v/>
      </c>
      <c r="D239" s="87" t="str">
        <f>IF(A239="","",'Location Master'!A240)</f>
        <v/>
      </c>
      <c r="E239" s="87" t="str">
        <f>IF(A239="","",'Location Master'!B240)</f>
        <v/>
      </c>
      <c r="F239" s="87" t="str">
        <f>IF(A239="","",'Location Master'!C240)</f>
        <v/>
      </c>
      <c r="G239" s="87" t="str">
        <f>IF(A239="","",'Location Master'!D240)</f>
        <v/>
      </c>
      <c r="H239" s="87"/>
    </row>
    <row r="240" ht="15.75" customHeight="1">
      <c r="A240" s="91" t="str">
        <f>IF('Location Master'!E241="","",'Location Master'!E241)</f>
        <v/>
      </c>
      <c r="B240" s="69" t="str">
        <f>IF(A240="","",'Location Master'!H241)</f>
        <v/>
      </c>
      <c r="C240" s="77" t="str">
        <f>IF(A240="","",'Location Master'!I241)</f>
        <v/>
      </c>
      <c r="D240" s="77" t="str">
        <f>IF(A240="","",'Location Master'!A241)</f>
        <v/>
      </c>
      <c r="E240" s="77" t="str">
        <f>IF(A240="","",'Location Master'!B241)</f>
        <v/>
      </c>
      <c r="F240" s="77" t="str">
        <f>IF(A240="","",'Location Master'!C241)</f>
        <v/>
      </c>
      <c r="G240" s="77" t="str">
        <f>IF(A240="","",'Location Master'!D241)</f>
        <v/>
      </c>
      <c r="H240" s="77"/>
    </row>
    <row r="241" ht="15.75" customHeight="1">
      <c r="A241" s="83" t="str">
        <f>IF('Location Master'!E242="","",'Location Master'!E242)</f>
        <v/>
      </c>
      <c r="B241" s="85" t="str">
        <f>IF(A241="","",'Location Master'!H242)</f>
        <v/>
      </c>
      <c r="C241" s="87" t="str">
        <f>IF(A241="","",'Location Master'!I242)</f>
        <v/>
      </c>
      <c r="D241" s="87" t="str">
        <f>IF(A241="","",'Location Master'!A242)</f>
        <v/>
      </c>
      <c r="E241" s="87" t="str">
        <f>IF(A241="","",'Location Master'!B242)</f>
        <v/>
      </c>
      <c r="F241" s="87" t="str">
        <f>IF(A241="","",'Location Master'!C242)</f>
        <v/>
      </c>
      <c r="G241" s="87" t="str">
        <f>IF(A241="","",'Location Master'!D242)</f>
        <v/>
      </c>
      <c r="H241" s="87"/>
    </row>
    <row r="242" ht="15.75" customHeight="1">
      <c r="A242" s="91" t="str">
        <f>IF('Location Master'!E243="","",'Location Master'!E243)</f>
        <v/>
      </c>
      <c r="B242" s="69" t="str">
        <f>IF(A242="","",'Location Master'!H243)</f>
        <v/>
      </c>
      <c r="C242" s="77" t="str">
        <f>IF(A242="","",'Location Master'!I243)</f>
        <v/>
      </c>
      <c r="D242" s="77" t="str">
        <f>IF(A242="","",'Location Master'!A243)</f>
        <v/>
      </c>
      <c r="E242" s="77" t="str">
        <f>IF(A242="","",'Location Master'!B243)</f>
        <v/>
      </c>
      <c r="F242" s="77" t="str">
        <f>IF(A242="","",'Location Master'!C243)</f>
        <v/>
      </c>
      <c r="G242" s="77" t="str">
        <f>IF(A242="","",'Location Master'!D243)</f>
        <v/>
      </c>
      <c r="H242" s="77"/>
    </row>
    <row r="243" ht="15.75" customHeight="1">
      <c r="A243" s="83" t="str">
        <f>IF('Location Master'!E244="","",'Location Master'!E244)</f>
        <v/>
      </c>
      <c r="B243" s="85" t="str">
        <f>IF(A243="","",'Location Master'!H244)</f>
        <v/>
      </c>
      <c r="C243" s="87" t="str">
        <f>IF(A243="","",'Location Master'!I244)</f>
        <v/>
      </c>
      <c r="D243" s="87" t="str">
        <f>IF(A243="","",'Location Master'!A244)</f>
        <v/>
      </c>
      <c r="E243" s="87" t="str">
        <f>IF(A243="","",'Location Master'!B244)</f>
        <v/>
      </c>
      <c r="F243" s="87" t="str">
        <f>IF(A243="","",'Location Master'!C244)</f>
        <v/>
      </c>
      <c r="G243" s="87" t="str">
        <f>IF(A243="","",'Location Master'!D244)</f>
        <v/>
      </c>
      <c r="H243" s="87"/>
    </row>
    <row r="244" ht="15.75" customHeight="1">
      <c r="A244" s="91" t="str">
        <f>IF('Location Master'!E245="","",'Location Master'!E245)</f>
        <v/>
      </c>
      <c r="B244" s="69" t="str">
        <f>IF(A244="","",'Location Master'!H245)</f>
        <v/>
      </c>
      <c r="C244" s="77" t="str">
        <f>IF(A244="","",'Location Master'!I245)</f>
        <v/>
      </c>
      <c r="D244" s="77" t="str">
        <f>IF(A244="","",'Location Master'!A245)</f>
        <v/>
      </c>
      <c r="E244" s="77" t="str">
        <f>IF(A244="","",'Location Master'!B245)</f>
        <v/>
      </c>
      <c r="F244" s="77" t="str">
        <f>IF(A244="","",'Location Master'!C245)</f>
        <v/>
      </c>
      <c r="G244" s="77" t="str">
        <f>IF(A244="","",'Location Master'!D245)</f>
        <v/>
      </c>
      <c r="H244" s="77"/>
    </row>
    <row r="245" ht="15.75" customHeight="1">
      <c r="A245" s="83" t="str">
        <f>IF('Location Master'!E246="","",'Location Master'!E246)</f>
        <v/>
      </c>
      <c r="B245" s="85" t="str">
        <f>IF(A245="","",'Location Master'!H246)</f>
        <v/>
      </c>
      <c r="C245" s="87" t="str">
        <f>IF(A245="","",'Location Master'!I246)</f>
        <v/>
      </c>
      <c r="D245" s="87" t="str">
        <f>IF(A245="","",'Location Master'!A246)</f>
        <v/>
      </c>
      <c r="E245" s="87" t="str">
        <f>IF(A245="","",'Location Master'!B246)</f>
        <v/>
      </c>
      <c r="F245" s="87" t="str">
        <f>IF(A245="","",'Location Master'!C246)</f>
        <v/>
      </c>
      <c r="G245" s="87" t="str">
        <f>IF(A245="","",'Location Master'!D246)</f>
        <v/>
      </c>
      <c r="H245" s="87"/>
    </row>
    <row r="246" ht="15.75" customHeight="1">
      <c r="A246" s="91" t="str">
        <f>IF('Location Master'!E247="","",'Location Master'!E247)</f>
        <v/>
      </c>
      <c r="B246" s="69" t="str">
        <f>IF(A246="","",'Location Master'!H247)</f>
        <v/>
      </c>
      <c r="C246" s="77" t="str">
        <f>IF(A246="","",'Location Master'!I247)</f>
        <v/>
      </c>
      <c r="D246" s="77" t="str">
        <f>IF(A246="","",'Location Master'!A247)</f>
        <v/>
      </c>
      <c r="E246" s="77" t="str">
        <f>IF(A246="","",'Location Master'!B247)</f>
        <v/>
      </c>
      <c r="F246" s="77" t="str">
        <f>IF(A246="","",'Location Master'!C247)</f>
        <v/>
      </c>
      <c r="G246" s="77" t="str">
        <f>IF(A246="","",'Location Master'!D247)</f>
        <v/>
      </c>
      <c r="H246" s="77"/>
    </row>
    <row r="247" ht="15.75" customHeight="1">
      <c r="A247" s="83" t="str">
        <f>IF('Location Master'!E248="","",'Location Master'!E248)</f>
        <v/>
      </c>
      <c r="B247" s="85" t="str">
        <f>IF(A247="","",'Location Master'!H248)</f>
        <v/>
      </c>
      <c r="C247" s="87" t="str">
        <f>IF(A247="","",'Location Master'!I248)</f>
        <v/>
      </c>
      <c r="D247" s="87" t="str">
        <f>IF(A247="","",'Location Master'!A248)</f>
        <v/>
      </c>
      <c r="E247" s="87" t="str">
        <f>IF(A247="","",'Location Master'!B248)</f>
        <v/>
      </c>
      <c r="F247" s="87" t="str">
        <f>IF(A247="","",'Location Master'!C248)</f>
        <v/>
      </c>
      <c r="G247" s="87" t="str">
        <f>IF(A247="","",'Location Master'!D248)</f>
        <v/>
      </c>
      <c r="H247" s="87"/>
    </row>
    <row r="248" ht="15.75" customHeight="1">
      <c r="A248" s="91" t="str">
        <f>IF('Location Master'!E249="","",'Location Master'!E249)</f>
        <v/>
      </c>
      <c r="B248" s="69" t="str">
        <f>IF(A248="","",'Location Master'!H249)</f>
        <v/>
      </c>
      <c r="C248" s="77" t="str">
        <f>IF(A248="","",'Location Master'!I249)</f>
        <v/>
      </c>
      <c r="D248" s="77" t="str">
        <f>IF(A248="","",'Location Master'!A249)</f>
        <v/>
      </c>
      <c r="E248" s="77" t="str">
        <f>IF(A248="","",'Location Master'!B249)</f>
        <v/>
      </c>
      <c r="F248" s="77" t="str">
        <f>IF(A248="","",'Location Master'!C249)</f>
        <v/>
      </c>
      <c r="G248" s="77" t="str">
        <f>IF(A248="","",'Location Master'!D249)</f>
        <v/>
      </c>
      <c r="H248" s="77"/>
    </row>
    <row r="249" ht="15.75" customHeight="1">
      <c r="A249" s="83" t="str">
        <f>IF('Location Master'!E250="","",'Location Master'!E250)</f>
        <v/>
      </c>
      <c r="B249" s="85" t="str">
        <f>IF(A249="","",'Location Master'!H250)</f>
        <v/>
      </c>
      <c r="C249" s="87" t="str">
        <f>IF(A249="","",'Location Master'!I250)</f>
        <v/>
      </c>
      <c r="D249" s="87" t="str">
        <f>IF(A249="","",'Location Master'!A250)</f>
        <v/>
      </c>
      <c r="E249" s="87" t="str">
        <f>IF(A249="","",'Location Master'!B250)</f>
        <v/>
      </c>
      <c r="F249" s="87" t="str">
        <f>IF(A249="","",'Location Master'!C250)</f>
        <v/>
      </c>
      <c r="G249" s="87" t="str">
        <f>IF(A249="","",'Location Master'!D250)</f>
        <v/>
      </c>
      <c r="H249" s="87"/>
    </row>
    <row r="250" ht="15.75" customHeight="1">
      <c r="A250" s="91" t="str">
        <f>IF('Location Master'!E251="","",'Location Master'!E251)</f>
        <v/>
      </c>
      <c r="B250" s="69" t="str">
        <f>IF(A250="","",'Location Master'!H251)</f>
        <v/>
      </c>
      <c r="C250" s="77" t="str">
        <f>IF(A250="","",'Location Master'!I251)</f>
        <v/>
      </c>
      <c r="D250" s="77" t="str">
        <f>IF(A250="","",'Location Master'!A251)</f>
        <v/>
      </c>
      <c r="E250" s="77" t="str">
        <f>IF(A250="","",'Location Master'!B251)</f>
        <v/>
      </c>
      <c r="F250" s="77" t="str">
        <f>IF(A250="","",'Location Master'!C251)</f>
        <v/>
      </c>
      <c r="G250" s="77" t="str">
        <f>IF(A250="","",'Location Master'!D251)</f>
        <v/>
      </c>
      <c r="H250" s="77"/>
    </row>
    <row r="251" ht="15.75" customHeight="1">
      <c r="A251" s="83" t="str">
        <f>IF('Location Master'!E252="","",'Location Master'!E252)</f>
        <v/>
      </c>
      <c r="B251" s="85" t="str">
        <f>IF(A251="","",'Location Master'!H252)</f>
        <v/>
      </c>
      <c r="C251" s="87" t="str">
        <f>IF(A251="","",'Location Master'!I252)</f>
        <v/>
      </c>
      <c r="D251" s="87" t="str">
        <f>IF(A251="","",'Location Master'!A252)</f>
        <v/>
      </c>
      <c r="E251" s="87" t="str">
        <f>IF(A251="","",'Location Master'!B252)</f>
        <v/>
      </c>
      <c r="F251" s="87" t="str">
        <f>IF(A251="","",'Location Master'!C252)</f>
        <v/>
      </c>
      <c r="G251" s="87" t="str">
        <f>IF(A251="","",'Location Master'!D252)</f>
        <v/>
      </c>
      <c r="H251" s="87"/>
    </row>
    <row r="252" ht="15.75" customHeight="1">
      <c r="A252" s="91" t="str">
        <f>IF('Location Master'!E253="","",'Location Master'!E253)</f>
        <v/>
      </c>
      <c r="B252" s="69" t="str">
        <f>IF(A252="","",'Location Master'!H253)</f>
        <v/>
      </c>
      <c r="C252" s="77" t="str">
        <f>IF(A252="","",'Location Master'!I253)</f>
        <v/>
      </c>
      <c r="D252" s="77" t="str">
        <f>IF(A252="","",'Location Master'!A253)</f>
        <v/>
      </c>
      <c r="E252" s="77" t="str">
        <f>IF(A252="","",'Location Master'!B253)</f>
        <v/>
      </c>
      <c r="F252" s="77" t="str">
        <f>IF(A252="","",'Location Master'!C253)</f>
        <v/>
      </c>
      <c r="G252" s="77" t="str">
        <f>IF(A252="","",'Location Master'!D253)</f>
        <v/>
      </c>
      <c r="H252" s="77"/>
    </row>
    <row r="253" ht="15.75" customHeight="1">
      <c r="A253" s="83" t="str">
        <f>IF('Location Master'!E254="","",'Location Master'!E254)</f>
        <v/>
      </c>
      <c r="B253" s="85" t="str">
        <f>IF(A253="","",'Location Master'!H254)</f>
        <v/>
      </c>
      <c r="C253" s="87" t="str">
        <f>IF(A253="","",'Location Master'!I254)</f>
        <v/>
      </c>
      <c r="D253" s="87" t="str">
        <f>IF(A253="","",'Location Master'!A254)</f>
        <v/>
      </c>
      <c r="E253" s="87" t="str">
        <f>IF(A253="","",'Location Master'!B254)</f>
        <v/>
      </c>
      <c r="F253" s="87" t="str">
        <f>IF(A253="","",'Location Master'!C254)</f>
        <v/>
      </c>
      <c r="G253" s="87" t="str">
        <f>IF(A253="","",'Location Master'!D254)</f>
        <v/>
      </c>
      <c r="H253" s="87"/>
    </row>
    <row r="254" ht="15.75" customHeight="1">
      <c r="A254" s="91" t="str">
        <f>IF('Location Master'!E255="","",'Location Master'!E255)</f>
        <v/>
      </c>
      <c r="B254" s="69" t="str">
        <f>IF(A254="","",'Location Master'!H255)</f>
        <v/>
      </c>
      <c r="C254" s="77" t="str">
        <f>IF(A254="","",'Location Master'!I255)</f>
        <v/>
      </c>
      <c r="D254" s="77" t="str">
        <f>IF(A254="","",'Location Master'!A255)</f>
        <v/>
      </c>
      <c r="E254" s="77" t="str">
        <f>IF(A254="","",'Location Master'!B255)</f>
        <v/>
      </c>
      <c r="F254" s="77" t="str">
        <f>IF(A254="","",'Location Master'!C255)</f>
        <v/>
      </c>
      <c r="G254" s="77" t="str">
        <f>IF(A254="","",'Location Master'!D255)</f>
        <v/>
      </c>
      <c r="H254" s="77"/>
    </row>
    <row r="255" ht="15.75" customHeight="1">
      <c r="A255" s="83" t="str">
        <f>IF('Location Master'!E256="","",'Location Master'!E256)</f>
        <v/>
      </c>
      <c r="B255" s="85" t="str">
        <f>IF(A255="","",'Location Master'!H256)</f>
        <v/>
      </c>
      <c r="C255" s="87" t="str">
        <f>IF(A255="","",'Location Master'!I256)</f>
        <v/>
      </c>
      <c r="D255" s="87" t="str">
        <f>IF(A255="","",'Location Master'!A256)</f>
        <v/>
      </c>
      <c r="E255" s="87" t="str">
        <f>IF(A255="","",'Location Master'!B256)</f>
        <v/>
      </c>
      <c r="F255" s="87" t="str">
        <f>IF(A255="","",'Location Master'!C256)</f>
        <v/>
      </c>
      <c r="G255" s="87" t="str">
        <f>IF(A255="","",'Location Master'!D256)</f>
        <v/>
      </c>
      <c r="H255" s="87"/>
    </row>
    <row r="256" ht="15.75" customHeight="1">
      <c r="A256" s="91" t="str">
        <f>IF('Location Master'!E257="","",'Location Master'!E257)</f>
        <v/>
      </c>
      <c r="B256" s="69" t="str">
        <f>IF(A256="","",'Location Master'!H257)</f>
        <v/>
      </c>
      <c r="C256" s="77" t="str">
        <f>IF(A256="","",'Location Master'!I257)</f>
        <v/>
      </c>
      <c r="D256" s="77" t="str">
        <f>IF(A256="","",'Location Master'!A257)</f>
        <v/>
      </c>
      <c r="E256" s="77" t="str">
        <f>IF(A256="","",'Location Master'!B257)</f>
        <v/>
      </c>
      <c r="F256" s="77" t="str">
        <f>IF(A256="","",'Location Master'!C257)</f>
        <v/>
      </c>
      <c r="G256" s="77" t="str">
        <f>IF(A256="","",'Location Master'!D257)</f>
        <v/>
      </c>
      <c r="H256" s="77"/>
    </row>
    <row r="257" ht="15.75" customHeight="1">
      <c r="A257" s="83" t="str">
        <f>IF('Location Master'!E258="","",'Location Master'!E258)</f>
        <v/>
      </c>
      <c r="B257" s="85" t="str">
        <f>IF(A257="","",'Location Master'!H258)</f>
        <v/>
      </c>
      <c r="C257" s="87" t="str">
        <f>IF(A257="","",'Location Master'!I258)</f>
        <v/>
      </c>
      <c r="D257" s="87" t="str">
        <f>IF(A257="","",'Location Master'!A258)</f>
        <v/>
      </c>
      <c r="E257" s="87" t="str">
        <f>IF(A257="","",'Location Master'!B258)</f>
        <v/>
      </c>
      <c r="F257" s="87" t="str">
        <f>IF(A257="","",'Location Master'!C258)</f>
        <v/>
      </c>
      <c r="G257" s="87" t="str">
        <f>IF(A257="","",'Location Master'!D258)</f>
        <v/>
      </c>
      <c r="H257" s="87"/>
    </row>
    <row r="258" ht="15.75" customHeight="1">
      <c r="A258" s="91" t="str">
        <f>IF('Location Master'!E259="","",'Location Master'!E259)</f>
        <v/>
      </c>
      <c r="B258" s="69" t="str">
        <f>IF(A258="","",'Location Master'!H259)</f>
        <v/>
      </c>
      <c r="C258" s="77" t="str">
        <f>IF(A258="","",'Location Master'!I259)</f>
        <v/>
      </c>
      <c r="D258" s="77" t="str">
        <f>IF(A258="","",'Location Master'!A259)</f>
        <v/>
      </c>
      <c r="E258" s="77" t="str">
        <f>IF(A258="","",'Location Master'!B259)</f>
        <v/>
      </c>
      <c r="F258" s="77" t="str">
        <f>IF(A258="","",'Location Master'!C259)</f>
        <v/>
      </c>
      <c r="G258" s="77" t="str">
        <f>IF(A258="","",'Location Master'!D259)</f>
        <v/>
      </c>
      <c r="H258" s="77"/>
    </row>
    <row r="259" ht="15.75" customHeight="1">
      <c r="A259" s="83" t="str">
        <f>IF('Location Master'!E260="","",'Location Master'!E260)</f>
        <v/>
      </c>
      <c r="B259" s="85" t="str">
        <f>IF(A259="","",'Location Master'!H260)</f>
        <v/>
      </c>
      <c r="C259" s="87" t="str">
        <f>IF(A259="","",'Location Master'!I260)</f>
        <v/>
      </c>
      <c r="D259" s="87" t="str">
        <f>IF(A259="","",'Location Master'!A260)</f>
        <v/>
      </c>
      <c r="E259" s="87" t="str">
        <f>IF(A259="","",'Location Master'!B260)</f>
        <v/>
      </c>
      <c r="F259" s="87" t="str">
        <f>IF(A259="","",'Location Master'!C260)</f>
        <v/>
      </c>
      <c r="G259" s="87" t="str">
        <f>IF(A259="","",'Location Master'!D260)</f>
        <v/>
      </c>
      <c r="H259" s="87"/>
    </row>
    <row r="260" ht="15.75" customHeight="1">
      <c r="A260" s="91" t="str">
        <f>IF('Location Master'!E261="","",'Location Master'!E261)</f>
        <v/>
      </c>
      <c r="B260" s="69" t="str">
        <f>IF(A260="","",'Location Master'!H261)</f>
        <v/>
      </c>
      <c r="C260" s="77" t="str">
        <f>IF(A260="","",'Location Master'!I261)</f>
        <v/>
      </c>
      <c r="D260" s="77" t="str">
        <f>IF(A260="","",'Location Master'!A261)</f>
        <v/>
      </c>
      <c r="E260" s="77" t="str">
        <f>IF(A260="","",'Location Master'!B261)</f>
        <v/>
      </c>
      <c r="F260" s="77" t="str">
        <f>IF(A260="","",'Location Master'!C261)</f>
        <v/>
      </c>
      <c r="G260" s="77" t="str">
        <f>IF(A260="","",'Location Master'!D261)</f>
        <v/>
      </c>
      <c r="H260" s="77"/>
    </row>
    <row r="261" ht="15.75" customHeight="1">
      <c r="A261" s="83" t="str">
        <f>IF('Location Master'!E262="","",'Location Master'!E262)</f>
        <v/>
      </c>
      <c r="B261" s="85" t="str">
        <f>IF(A261="","",'Location Master'!H262)</f>
        <v/>
      </c>
      <c r="C261" s="87" t="str">
        <f>IF(A261="","",'Location Master'!I262)</f>
        <v/>
      </c>
      <c r="D261" s="87" t="str">
        <f>IF(A261="","",'Location Master'!A262)</f>
        <v/>
      </c>
      <c r="E261" s="87" t="str">
        <f>IF(A261="","",'Location Master'!B262)</f>
        <v/>
      </c>
      <c r="F261" s="87" t="str">
        <f>IF(A261="","",'Location Master'!C262)</f>
        <v/>
      </c>
      <c r="G261" s="87" t="str">
        <f>IF(A261="","",'Location Master'!D262)</f>
        <v/>
      </c>
      <c r="H261" s="87"/>
    </row>
    <row r="262" ht="15.75" customHeight="1">
      <c r="A262" s="91" t="str">
        <f>IF('Location Master'!E263="","",'Location Master'!E263)</f>
        <v/>
      </c>
      <c r="B262" s="69" t="str">
        <f>IF(A262="","",'Location Master'!H263)</f>
        <v/>
      </c>
      <c r="C262" s="77" t="str">
        <f>IF(A262="","",'Location Master'!I263)</f>
        <v/>
      </c>
      <c r="D262" s="77" t="str">
        <f>IF(A262="","",'Location Master'!A263)</f>
        <v/>
      </c>
      <c r="E262" s="77" t="str">
        <f>IF(A262="","",'Location Master'!B263)</f>
        <v/>
      </c>
      <c r="F262" s="77" t="str">
        <f>IF(A262="","",'Location Master'!C263)</f>
        <v/>
      </c>
      <c r="G262" s="77" t="str">
        <f>IF(A262="","",'Location Master'!D263)</f>
        <v/>
      </c>
      <c r="H262" s="77"/>
    </row>
    <row r="263" ht="15.75" customHeight="1">
      <c r="A263" s="83" t="str">
        <f>IF('Location Master'!E264="","",'Location Master'!E264)</f>
        <v/>
      </c>
      <c r="B263" s="85" t="str">
        <f>IF(A263="","",'Location Master'!H264)</f>
        <v/>
      </c>
      <c r="C263" s="87" t="str">
        <f>IF(A263="","",'Location Master'!I264)</f>
        <v/>
      </c>
      <c r="D263" s="87" t="str">
        <f>IF(A263="","",'Location Master'!A264)</f>
        <v/>
      </c>
      <c r="E263" s="87" t="str">
        <f>IF(A263="","",'Location Master'!B264)</f>
        <v/>
      </c>
      <c r="F263" s="87" t="str">
        <f>IF(A263="","",'Location Master'!C264)</f>
        <v/>
      </c>
      <c r="G263" s="87" t="str">
        <f>IF(A263="","",'Location Master'!D264)</f>
        <v/>
      </c>
      <c r="H263" s="87"/>
    </row>
    <row r="264" ht="15.75" customHeight="1">
      <c r="A264" s="91" t="str">
        <f>IF('Location Master'!E265="","",'Location Master'!E265)</f>
        <v/>
      </c>
      <c r="B264" s="69" t="str">
        <f>IF(A264="","",'Location Master'!H265)</f>
        <v/>
      </c>
      <c r="C264" s="77" t="str">
        <f>IF(A264="","",'Location Master'!I265)</f>
        <v/>
      </c>
      <c r="D264" s="77" t="str">
        <f>IF(A264="","",'Location Master'!A265)</f>
        <v/>
      </c>
      <c r="E264" s="77" t="str">
        <f>IF(A264="","",'Location Master'!B265)</f>
        <v/>
      </c>
      <c r="F264" s="77" t="str">
        <f>IF(A264="","",'Location Master'!C265)</f>
        <v/>
      </c>
      <c r="G264" s="77" t="str">
        <f>IF(A264="","",'Location Master'!D265)</f>
        <v/>
      </c>
      <c r="H264" s="77"/>
    </row>
    <row r="265" ht="15.75" customHeight="1">
      <c r="A265" s="83" t="str">
        <f>IF('Location Master'!E266="","",'Location Master'!E266)</f>
        <v/>
      </c>
      <c r="B265" s="85" t="str">
        <f>IF(A265="","",'Location Master'!H266)</f>
        <v/>
      </c>
      <c r="C265" s="87" t="str">
        <f>IF(A265="","",'Location Master'!I266)</f>
        <v/>
      </c>
      <c r="D265" s="87" t="str">
        <f>IF(A265="","",'Location Master'!A266)</f>
        <v/>
      </c>
      <c r="E265" s="87" t="str">
        <f>IF(A265="","",'Location Master'!B266)</f>
        <v/>
      </c>
      <c r="F265" s="87" t="str">
        <f>IF(A265="","",'Location Master'!C266)</f>
        <v/>
      </c>
      <c r="G265" s="87" t="str">
        <f>IF(A265="","",'Location Master'!D266)</f>
        <v/>
      </c>
      <c r="H265" s="87"/>
    </row>
    <row r="266" ht="15.75" customHeight="1">
      <c r="A266" s="91" t="str">
        <f>IF('Location Master'!E267="","",'Location Master'!E267)</f>
        <v/>
      </c>
      <c r="B266" s="69" t="str">
        <f>IF(A266="","",'Location Master'!H267)</f>
        <v/>
      </c>
      <c r="C266" s="77" t="str">
        <f>IF(A266="","",'Location Master'!I267)</f>
        <v/>
      </c>
      <c r="D266" s="77" t="str">
        <f>IF(A266="","",'Location Master'!A267)</f>
        <v/>
      </c>
      <c r="E266" s="77" t="str">
        <f>IF(A266="","",'Location Master'!B267)</f>
        <v/>
      </c>
      <c r="F266" s="77" t="str">
        <f>IF(A266="","",'Location Master'!C267)</f>
        <v/>
      </c>
      <c r="G266" s="77" t="str">
        <f>IF(A266="","",'Location Master'!D267)</f>
        <v/>
      </c>
      <c r="H266" s="77"/>
    </row>
    <row r="267" ht="15.75" customHeight="1">
      <c r="A267" s="83" t="str">
        <f>IF('Location Master'!E268="","",'Location Master'!E268)</f>
        <v/>
      </c>
      <c r="B267" s="85" t="str">
        <f>IF(A267="","",'Location Master'!H268)</f>
        <v/>
      </c>
      <c r="C267" s="87" t="str">
        <f>IF(A267="","",'Location Master'!I268)</f>
        <v/>
      </c>
      <c r="D267" s="87" t="str">
        <f>IF(A267="","",'Location Master'!A268)</f>
        <v/>
      </c>
      <c r="E267" s="87" t="str">
        <f>IF(A267="","",'Location Master'!B268)</f>
        <v/>
      </c>
      <c r="F267" s="87" t="str">
        <f>IF(A267="","",'Location Master'!C268)</f>
        <v/>
      </c>
      <c r="G267" s="87" t="str">
        <f>IF(A267="","",'Location Master'!D268)</f>
        <v/>
      </c>
      <c r="H267" s="87"/>
    </row>
    <row r="268" ht="15.75" customHeight="1">
      <c r="A268" s="91" t="str">
        <f>IF('Location Master'!E269="","",'Location Master'!E269)</f>
        <v/>
      </c>
      <c r="B268" s="69" t="str">
        <f>IF(A268="","",'Location Master'!H269)</f>
        <v/>
      </c>
      <c r="C268" s="77" t="str">
        <f>IF(A268="","",'Location Master'!I269)</f>
        <v/>
      </c>
      <c r="D268" s="77" t="str">
        <f>IF(A268="","",'Location Master'!A269)</f>
        <v/>
      </c>
      <c r="E268" s="77" t="str">
        <f>IF(A268="","",'Location Master'!B269)</f>
        <v/>
      </c>
      <c r="F268" s="77" t="str">
        <f>IF(A268="","",'Location Master'!C269)</f>
        <v/>
      </c>
      <c r="G268" s="77" t="str">
        <f>IF(A268="","",'Location Master'!D269)</f>
        <v/>
      </c>
      <c r="H268" s="77"/>
    </row>
    <row r="269" ht="15.75" customHeight="1">
      <c r="A269" s="83" t="str">
        <f>IF('Location Master'!E270="","",'Location Master'!E270)</f>
        <v/>
      </c>
      <c r="B269" s="85" t="str">
        <f>IF(A269="","",'Location Master'!H270)</f>
        <v/>
      </c>
      <c r="C269" s="87" t="str">
        <f>IF(A269="","",'Location Master'!I270)</f>
        <v/>
      </c>
      <c r="D269" s="87" t="str">
        <f>IF(A269="","",'Location Master'!A270)</f>
        <v/>
      </c>
      <c r="E269" s="87" t="str">
        <f>IF(A269="","",'Location Master'!B270)</f>
        <v/>
      </c>
      <c r="F269" s="87" t="str">
        <f>IF(A269="","",'Location Master'!C270)</f>
        <v/>
      </c>
      <c r="G269" s="87" t="str">
        <f>IF(A269="","",'Location Master'!D270)</f>
        <v/>
      </c>
      <c r="H269" s="87"/>
    </row>
    <row r="270" ht="15.75" customHeight="1">
      <c r="A270" s="91" t="str">
        <f>IF('Location Master'!E271="","",'Location Master'!E271)</f>
        <v/>
      </c>
      <c r="B270" s="69" t="str">
        <f>IF(A270="","",'Location Master'!H271)</f>
        <v/>
      </c>
      <c r="C270" s="77" t="str">
        <f>IF(A270="","",'Location Master'!I271)</f>
        <v/>
      </c>
      <c r="D270" s="77" t="str">
        <f>IF(A270="","",'Location Master'!A271)</f>
        <v/>
      </c>
      <c r="E270" s="77" t="str">
        <f>IF(A270="","",'Location Master'!B271)</f>
        <v/>
      </c>
      <c r="F270" s="77" t="str">
        <f>IF(A270="","",'Location Master'!C271)</f>
        <v/>
      </c>
      <c r="G270" s="77" t="str">
        <f>IF(A270="","",'Location Master'!D271)</f>
        <v/>
      </c>
      <c r="H270" s="77"/>
    </row>
    <row r="271" ht="15.75" customHeight="1">
      <c r="A271" s="83" t="str">
        <f>IF('Location Master'!E272="","",'Location Master'!E272)</f>
        <v/>
      </c>
      <c r="B271" s="85" t="str">
        <f>IF(A271="","",'Location Master'!H272)</f>
        <v/>
      </c>
      <c r="C271" s="87" t="str">
        <f>IF(A271="","",'Location Master'!I272)</f>
        <v/>
      </c>
      <c r="D271" s="87" t="str">
        <f>IF(A271="","",'Location Master'!A272)</f>
        <v/>
      </c>
      <c r="E271" s="87" t="str">
        <f>IF(A271="","",'Location Master'!B272)</f>
        <v/>
      </c>
      <c r="F271" s="87" t="str">
        <f>IF(A271="","",'Location Master'!C272)</f>
        <v/>
      </c>
      <c r="G271" s="87" t="str">
        <f>IF(A271="","",'Location Master'!D272)</f>
        <v/>
      </c>
      <c r="H271" s="87"/>
    </row>
    <row r="272" ht="15.75" customHeight="1">
      <c r="A272" s="91" t="str">
        <f>IF('Location Master'!E273="","",'Location Master'!E273)</f>
        <v/>
      </c>
      <c r="B272" s="69" t="str">
        <f>IF(A272="","",'Location Master'!H273)</f>
        <v/>
      </c>
      <c r="C272" s="77" t="str">
        <f>IF(A272="","",'Location Master'!I273)</f>
        <v/>
      </c>
      <c r="D272" s="77" t="str">
        <f>IF(A272="","",'Location Master'!A273)</f>
        <v/>
      </c>
      <c r="E272" s="77" t="str">
        <f>IF(A272="","",'Location Master'!B273)</f>
        <v/>
      </c>
      <c r="F272" s="77" t="str">
        <f>IF(A272="","",'Location Master'!C273)</f>
        <v/>
      </c>
      <c r="G272" s="77" t="str">
        <f>IF(A272="","",'Location Master'!D273)</f>
        <v/>
      </c>
      <c r="H272" s="77"/>
    </row>
    <row r="273" ht="15.75" customHeight="1">
      <c r="A273" s="83" t="str">
        <f>IF('Location Master'!E274="","",'Location Master'!E274)</f>
        <v/>
      </c>
      <c r="B273" s="85" t="str">
        <f>IF(A273="","",'Location Master'!H274)</f>
        <v/>
      </c>
      <c r="C273" s="87" t="str">
        <f>IF(A273="","",'Location Master'!I274)</f>
        <v/>
      </c>
      <c r="D273" s="87" t="str">
        <f>IF(A273="","",'Location Master'!A274)</f>
        <v/>
      </c>
      <c r="E273" s="87" t="str">
        <f>IF(A273="","",'Location Master'!B274)</f>
        <v/>
      </c>
      <c r="F273" s="87" t="str">
        <f>IF(A273="","",'Location Master'!C274)</f>
        <v/>
      </c>
      <c r="G273" s="87" t="str">
        <f>IF(A273="","",'Location Master'!D274)</f>
        <v/>
      </c>
      <c r="H273" s="87"/>
    </row>
    <row r="274" ht="15.75" customHeight="1">
      <c r="A274" s="91" t="str">
        <f>IF('Location Master'!E275="","",'Location Master'!E275)</f>
        <v/>
      </c>
      <c r="B274" s="69" t="str">
        <f>IF(A274="","",'Location Master'!H275)</f>
        <v/>
      </c>
      <c r="C274" s="77" t="str">
        <f>IF(A274="","",'Location Master'!I275)</f>
        <v/>
      </c>
      <c r="D274" s="77" t="str">
        <f>IF(A274="","",'Location Master'!A275)</f>
        <v/>
      </c>
      <c r="E274" s="77" t="str">
        <f>IF(A274="","",'Location Master'!B275)</f>
        <v/>
      </c>
      <c r="F274" s="77" t="str">
        <f>IF(A274="","",'Location Master'!C275)</f>
        <v/>
      </c>
      <c r="G274" s="77" t="str">
        <f>IF(A274="","",'Location Master'!D275)</f>
        <v/>
      </c>
      <c r="H274" s="77"/>
    </row>
    <row r="275" ht="15.75" customHeight="1">
      <c r="A275" s="83" t="str">
        <f>IF('Location Master'!E276="","",'Location Master'!E276)</f>
        <v/>
      </c>
      <c r="B275" s="85" t="str">
        <f>IF(A275="","",'Location Master'!H276)</f>
        <v/>
      </c>
      <c r="C275" s="87" t="str">
        <f>IF(A275="","",'Location Master'!I276)</f>
        <v/>
      </c>
      <c r="D275" s="87" t="str">
        <f>IF(A275="","",'Location Master'!A276)</f>
        <v/>
      </c>
      <c r="E275" s="87" t="str">
        <f>IF(A275="","",'Location Master'!B276)</f>
        <v/>
      </c>
      <c r="F275" s="87" t="str">
        <f>IF(A275="","",'Location Master'!C276)</f>
        <v/>
      </c>
      <c r="G275" s="87" t="str">
        <f>IF(A275="","",'Location Master'!D276)</f>
        <v/>
      </c>
      <c r="H275" s="87"/>
    </row>
    <row r="276" ht="15.75" customHeight="1">
      <c r="A276" s="91" t="str">
        <f>IF('Location Master'!E277="","",'Location Master'!E277)</f>
        <v/>
      </c>
      <c r="B276" s="69" t="str">
        <f>IF(A276="","",'Location Master'!H277)</f>
        <v/>
      </c>
      <c r="C276" s="77" t="str">
        <f>IF(A276="","",'Location Master'!I277)</f>
        <v/>
      </c>
      <c r="D276" s="77" t="str">
        <f>IF(A276="","",'Location Master'!A277)</f>
        <v/>
      </c>
      <c r="E276" s="77" t="str">
        <f>IF(A276="","",'Location Master'!B277)</f>
        <v/>
      </c>
      <c r="F276" s="77" t="str">
        <f>IF(A276="","",'Location Master'!C277)</f>
        <v/>
      </c>
      <c r="G276" s="77" t="str">
        <f>IF(A276="","",'Location Master'!D277)</f>
        <v/>
      </c>
      <c r="H276" s="77"/>
    </row>
    <row r="277" ht="15.75" customHeight="1">
      <c r="A277" s="83" t="str">
        <f>IF('Location Master'!E278="","",'Location Master'!E278)</f>
        <v/>
      </c>
      <c r="B277" s="85" t="str">
        <f>IF(A277="","",'Location Master'!H278)</f>
        <v/>
      </c>
      <c r="C277" s="87" t="str">
        <f>IF(A277="","",'Location Master'!I278)</f>
        <v/>
      </c>
      <c r="D277" s="87" t="str">
        <f>IF(A277="","",'Location Master'!A278)</f>
        <v/>
      </c>
      <c r="E277" s="87" t="str">
        <f>IF(A277="","",'Location Master'!B278)</f>
        <v/>
      </c>
      <c r="F277" s="87" t="str">
        <f>IF(A277="","",'Location Master'!C278)</f>
        <v/>
      </c>
      <c r="G277" s="87" t="str">
        <f>IF(A277="","",'Location Master'!D278)</f>
        <v/>
      </c>
      <c r="H277" s="87"/>
    </row>
    <row r="278" ht="15.75" customHeight="1">
      <c r="A278" s="91" t="str">
        <f>IF('Location Master'!E279="","",'Location Master'!E279)</f>
        <v/>
      </c>
      <c r="B278" s="69" t="str">
        <f>IF(A278="","",'Location Master'!H279)</f>
        <v/>
      </c>
      <c r="C278" s="77" t="str">
        <f>IF(A278="","",'Location Master'!I279)</f>
        <v/>
      </c>
      <c r="D278" s="77" t="str">
        <f>IF(A278="","",'Location Master'!A279)</f>
        <v/>
      </c>
      <c r="E278" s="77" t="str">
        <f>IF(A278="","",'Location Master'!B279)</f>
        <v/>
      </c>
      <c r="F278" s="77" t="str">
        <f>IF(A278="","",'Location Master'!C279)</f>
        <v/>
      </c>
      <c r="G278" s="77" t="str">
        <f>IF(A278="","",'Location Master'!D279)</f>
        <v/>
      </c>
      <c r="H278" s="77"/>
    </row>
    <row r="279" ht="15.75" customHeight="1">
      <c r="A279" s="83" t="str">
        <f>IF('Location Master'!E280="","",'Location Master'!E280)</f>
        <v/>
      </c>
      <c r="B279" s="85" t="str">
        <f>IF(A279="","",'Location Master'!H280)</f>
        <v/>
      </c>
      <c r="C279" s="87" t="str">
        <f>IF(A279="","",'Location Master'!I280)</f>
        <v/>
      </c>
      <c r="D279" s="87" t="str">
        <f>IF(A279="","",'Location Master'!A280)</f>
        <v/>
      </c>
      <c r="E279" s="87" t="str">
        <f>IF(A279="","",'Location Master'!B280)</f>
        <v/>
      </c>
      <c r="F279" s="87" t="str">
        <f>IF(A279="","",'Location Master'!C280)</f>
        <v/>
      </c>
      <c r="G279" s="87" t="str">
        <f>IF(A279="","",'Location Master'!D280)</f>
        <v/>
      </c>
      <c r="H279" s="87"/>
    </row>
    <row r="280" ht="15.75" customHeight="1">
      <c r="A280" s="91" t="str">
        <f>IF('Location Master'!E281="","",'Location Master'!E281)</f>
        <v/>
      </c>
      <c r="B280" s="69" t="str">
        <f>IF(A280="","",'Location Master'!H281)</f>
        <v/>
      </c>
      <c r="C280" s="77" t="str">
        <f>IF(A280="","",'Location Master'!I281)</f>
        <v/>
      </c>
      <c r="D280" s="77" t="str">
        <f>IF(A280="","",'Location Master'!A281)</f>
        <v/>
      </c>
      <c r="E280" s="77" t="str">
        <f>IF(A280="","",'Location Master'!B281)</f>
        <v/>
      </c>
      <c r="F280" s="77" t="str">
        <f>IF(A280="","",'Location Master'!C281)</f>
        <v/>
      </c>
      <c r="G280" s="77" t="str">
        <f>IF(A280="","",'Location Master'!D281)</f>
        <v/>
      </c>
      <c r="H280" s="77"/>
    </row>
    <row r="281" ht="15.75" customHeight="1">
      <c r="A281" s="83" t="str">
        <f>IF('Location Master'!E282="","",'Location Master'!E282)</f>
        <v/>
      </c>
      <c r="B281" s="85" t="str">
        <f>IF(A281="","",'Location Master'!H282)</f>
        <v/>
      </c>
      <c r="C281" s="87" t="str">
        <f>IF(A281="","",'Location Master'!I282)</f>
        <v/>
      </c>
      <c r="D281" s="87" t="str">
        <f>IF(A281="","",'Location Master'!A282)</f>
        <v/>
      </c>
      <c r="E281" s="87" t="str">
        <f>IF(A281="","",'Location Master'!B282)</f>
        <v/>
      </c>
      <c r="F281" s="87" t="str">
        <f>IF(A281="","",'Location Master'!C282)</f>
        <v/>
      </c>
      <c r="G281" s="87" t="str">
        <f>IF(A281="","",'Location Master'!D282)</f>
        <v/>
      </c>
      <c r="H281" s="87"/>
    </row>
    <row r="282" ht="15.75" customHeight="1">
      <c r="A282" s="91" t="str">
        <f>IF('Location Master'!E283="","",'Location Master'!E283)</f>
        <v/>
      </c>
      <c r="B282" s="69" t="str">
        <f>IF(A282="","",'Location Master'!H283)</f>
        <v/>
      </c>
      <c r="C282" s="77" t="str">
        <f>IF(A282="","",'Location Master'!I283)</f>
        <v/>
      </c>
      <c r="D282" s="77" t="str">
        <f>IF(A282="","",'Location Master'!A283)</f>
        <v/>
      </c>
      <c r="E282" s="77" t="str">
        <f>IF(A282="","",'Location Master'!B283)</f>
        <v/>
      </c>
      <c r="F282" s="77" t="str">
        <f>IF(A282="","",'Location Master'!C283)</f>
        <v/>
      </c>
      <c r="G282" s="77" t="str">
        <f>IF(A282="","",'Location Master'!D283)</f>
        <v/>
      </c>
      <c r="H282" s="77"/>
    </row>
    <row r="283" ht="15.75" customHeight="1">
      <c r="A283" s="83" t="str">
        <f>IF('Location Master'!E284="","",'Location Master'!E284)</f>
        <v/>
      </c>
      <c r="B283" s="85" t="str">
        <f>IF(A283="","",'Location Master'!H284)</f>
        <v/>
      </c>
      <c r="C283" s="87" t="str">
        <f>IF(A283="","",'Location Master'!I284)</f>
        <v/>
      </c>
      <c r="D283" s="87" t="str">
        <f>IF(A283="","",'Location Master'!A284)</f>
        <v/>
      </c>
      <c r="E283" s="87" t="str">
        <f>IF(A283="","",'Location Master'!B284)</f>
        <v/>
      </c>
      <c r="F283" s="87" t="str">
        <f>IF(A283="","",'Location Master'!C284)</f>
        <v/>
      </c>
      <c r="G283" s="87" t="str">
        <f>IF(A283="","",'Location Master'!D284)</f>
        <v/>
      </c>
      <c r="H283" s="87"/>
    </row>
    <row r="284" ht="15.75" customHeight="1">
      <c r="A284" s="91" t="str">
        <f>IF('Location Master'!E285="","",'Location Master'!E285)</f>
        <v/>
      </c>
      <c r="B284" s="69" t="str">
        <f>IF(A284="","",'Location Master'!H285)</f>
        <v/>
      </c>
      <c r="C284" s="77" t="str">
        <f>IF(A284="","",'Location Master'!I285)</f>
        <v/>
      </c>
      <c r="D284" s="77" t="str">
        <f>IF(A284="","",'Location Master'!A285)</f>
        <v/>
      </c>
      <c r="E284" s="77" t="str">
        <f>IF(A284="","",'Location Master'!B285)</f>
        <v/>
      </c>
      <c r="F284" s="77" t="str">
        <f>IF(A284="","",'Location Master'!C285)</f>
        <v/>
      </c>
      <c r="G284" s="77" t="str">
        <f>IF(A284="","",'Location Master'!D285)</f>
        <v/>
      </c>
      <c r="H284" s="77"/>
    </row>
    <row r="285" ht="15.75" customHeight="1">
      <c r="A285" s="83" t="str">
        <f>IF('Location Master'!E286="","",'Location Master'!E286)</f>
        <v/>
      </c>
      <c r="B285" s="85" t="str">
        <f>IF(A285="","",'Location Master'!H286)</f>
        <v/>
      </c>
      <c r="C285" s="87" t="str">
        <f>IF(A285="","",'Location Master'!I286)</f>
        <v/>
      </c>
      <c r="D285" s="87" t="str">
        <f>IF(A285="","",'Location Master'!A286)</f>
        <v/>
      </c>
      <c r="E285" s="87" t="str">
        <f>IF(A285="","",'Location Master'!B286)</f>
        <v/>
      </c>
      <c r="F285" s="87" t="str">
        <f>IF(A285="","",'Location Master'!C286)</f>
        <v/>
      </c>
      <c r="G285" s="87" t="str">
        <f>IF(A285="","",'Location Master'!D286)</f>
        <v/>
      </c>
      <c r="H285" s="87"/>
    </row>
    <row r="286" ht="15.75" customHeight="1">
      <c r="A286" s="91" t="str">
        <f>IF('Location Master'!E287="","",'Location Master'!E287)</f>
        <v/>
      </c>
      <c r="B286" s="69" t="str">
        <f>IF(A286="","",'Location Master'!H287)</f>
        <v/>
      </c>
      <c r="C286" s="77" t="str">
        <f>IF(A286="","",'Location Master'!I287)</f>
        <v/>
      </c>
      <c r="D286" s="77" t="str">
        <f>IF(A286="","",'Location Master'!A287)</f>
        <v/>
      </c>
      <c r="E286" s="77" t="str">
        <f>IF(A286="","",'Location Master'!B287)</f>
        <v/>
      </c>
      <c r="F286" s="77" t="str">
        <f>IF(A286="","",'Location Master'!C287)</f>
        <v/>
      </c>
      <c r="G286" s="77" t="str">
        <f>IF(A286="","",'Location Master'!D287)</f>
        <v/>
      </c>
      <c r="H286" s="77"/>
    </row>
    <row r="287" ht="15.75" customHeight="1">
      <c r="A287" s="83" t="str">
        <f>IF('Location Master'!E288="","",'Location Master'!E288)</f>
        <v/>
      </c>
      <c r="B287" s="85" t="str">
        <f>IF(A287="","",'Location Master'!H288)</f>
        <v/>
      </c>
      <c r="C287" s="87" t="str">
        <f>IF(A287="","",'Location Master'!I288)</f>
        <v/>
      </c>
      <c r="D287" s="87" t="str">
        <f>IF(A287="","",'Location Master'!A288)</f>
        <v/>
      </c>
      <c r="E287" s="87" t="str">
        <f>IF(A287="","",'Location Master'!B288)</f>
        <v/>
      </c>
      <c r="F287" s="87" t="str">
        <f>IF(A287="","",'Location Master'!C288)</f>
        <v/>
      </c>
      <c r="G287" s="87" t="str">
        <f>IF(A287="","",'Location Master'!D288)</f>
        <v/>
      </c>
      <c r="H287" s="87"/>
    </row>
    <row r="288" ht="15.75" customHeight="1">
      <c r="A288" s="91" t="str">
        <f>IF('Location Master'!E289="","",'Location Master'!E289)</f>
        <v/>
      </c>
      <c r="B288" s="69" t="str">
        <f>IF(A288="","",'Location Master'!H289)</f>
        <v/>
      </c>
      <c r="C288" s="77" t="str">
        <f>IF(A288="","",'Location Master'!I289)</f>
        <v/>
      </c>
      <c r="D288" s="77" t="str">
        <f>IF(A288="","",'Location Master'!A289)</f>
        <v/>
      </c>
      <c r="E288" s="77" t="str">
        <f>IF(A288="","",'Location Master'!B289)</f>
        <v/>
      </c>
      <c r="F288" s="77" t="str">
        <f>IF(A288="","",'Location Master'!C289)</f>
        <v/>
      </c>
      <c r="G288" s="77" t="str">
        <f>IF(A288="","",'Location Master'!D289)</f>
        <v/>
      </c>
      <c r="H288" s="77"/>
    </row>
    <row r="289" ht="15.75" customHeight="1">
      <c r="A289" s="83" t="str">
        <f>IF('Location Master'!E290="","",'Location Master'!E290)</f>
        <v/>
      </c>
      <c r="B289" s="85" t="str">
        <f>IF(A289="","",'Location Master'!H290)</f>
        <v/>
      </c>
      <c r="C289" s="87" t="str">
        <f>IF(A289="","",'Location Master'!I290)</f>
        <v/>
      </c>
      <c r="D289" s="87" t="str">
        <f>IF(A289="","",'Location Master'!A290)</f>
        <v/>
      </c>
      <c r="E289" s="87" t="str">
        <f>IF(A289="","",'Location Master'!B290)</f>
        <v/>
      </c>
      <c r="F289" s="87" t="str">
        <f>IF(A289="","",'Location Master'!C290)</f>
        <v/>
      </c>
      <c r="G289" s="87" t="str">
        <f>IF(A289="","",'Location Master'!D290)</f>
        <v/>
      </c>
      <c r="H289" s="87"/>
    </row>
    <row r="290" ht="15.75" customHeight="1">
      <c r="A290" s="91" t="str">
        <f>IF('Location Master'!E291="","",'Location Master'!E291)</f>
        <v/>
      </c>
      <c r="B290" s="69" t="str">
        <f>IF(A290="","",'Location Master'!H291)</f>
        <v/>
      </c>
      <c r="C290" s="77" t="str">
        <f>IF(A290="","",'Location Master'!I291)</f>
        <v/>
      </c>
      <c r="D290" s="77" t="str">
        <f>IF(A290="","",'Location Master'!A291)</f>
        <v/>
      </c>
      <c r="E290" s="77" t="str">
        <f>IF(A290="","",'Location Master'!B291)</f>
        <v/>
      </c>
      <c r="F290" s="77" t="str">
        <f>IF(A290="","",'Location Master'!C291)</f>
        <v/>
      </c>
      <c r="G290" s="77" t="str">
        <f>IF(A290="","",'Location Master'!D291)</f>
        <v/>
      </c>
      <c r="H290" s="77"/>
    </row>
    <row r="291" ht="15.75" customHeight="1">
      <c r="A291" s="83" t="str">
        <f>IF('Location Master'!E292="","",'Location Master'!E292)</f>
        <v/>
      </c>
      <c r="B291" s="85" t="str">
        <f>IF(A291="","",'Location Master'!H292)</f>
        <v/>
      </c>
      <c r="C291" s="87" t="str">
        <f>IF(A291="","",'Location Master'!I292)</f>
        <v/>
      </c>
      <c r="D291" s="87" t="str">
        <f>IF(A291="","",'Location Master'!A292)</f>
        <v/>
      </c>
      <c r="E291" s="87" t="str">
        <f>IF(A291="","",'Location Master'!B292)</f>
        <v/>
      </c>
      <c r="F291" s="87" t="str">
        <f>IF(A291="","",'Location Master'!C292)</f>
        <v/>
      </c>
      <c r="G291" s="87" t="str">
        <f>IF(A291="","",'Location Master'!D292)</f>
        <v/>
      </c>
      <c r="H291" s="87"/>
    </row>
    <row r="292" ht="15.75" customHeight="1">
      <c r="A292" s="91" t="str">
        <f>IF('Location Master'!E293="","",'Location Master'!E293)</f>
        <v/>
      </c>
      <c r="B292" s="69" t="str">
        <f>IF(A292="","",'Location Master'!H293)</f>
        <v/>
      </c>
      <c r="C292" s="77" t="str">
        <f>IF(A292="","",'Location Master'!I293)</f>
        <v/>
      </c>
      <c r="D292" s="77" t="str">
        <f>IF(A292="","",'Location Master'!A293)</f>
        <v/>
      </c>
      <c r="E292" s="77" t="str">
        <f>IF(A292="","",'Location Master'!B293)</f>
        <v/>
      </c>
      <c r="F292" s="77" t="str">
        <f>IF(A292="","",'Location Master'!C293)</f>
        <v/>
      </c>
      <c r="G292" s="77" t="str">
        <f>IF(A292="","",'Location Master'!D293)</f>
        <v/>
      </c>
      <c r="H292" s="77"/>
    </row>
    <row r="293" ht="15.75" customHeight="1">
      <c r="A293" s="83" t="str">
        <f>IF('Location Master'!E294="","",'Location Master'!E294)</f>
        <v/>
      </c>
      <c r="B293" s="85" t="str">
        <f>IF(A293="","",'Location Master'!H294)</f>
        <v/>
      </c>
      <c r="C293" s="87" t="str">
        <f>IF(A293="","",'Location Master'!I294)</f>
        <v/>
      </c>
      <c r="D293" s="87" t="str">
        <f>IF(A293="","",'Location Master'!A294)</f>
        <v/>
      </c>
      <c r="E293" s="87" t="str">
        <f>IF(A293="","",'Location Master'!B294)</f>
        <v/>
      </c>
      <c r="F293" s="87" t="str">
        <f>IF(A293="","",'Location Master'!C294)</f>
        <v/>
      </c>
      <c r="G293" s="87" t="str">
        <f>IF(A293="","",'Location Master'!D294)</f>
        <v/>
      </c>
      <c r="H293" s="87"/>
    </row>
    <row r="294" ht="15.75" customHeight="1">
      <c r="A294" s="91" t="str">
        <f>IF('Location Master'!E295="","",'Location Master'!E295)</f>
        <v/>
      </c>
      <c r="B294" s="69" t="str">
        <f>IF(A294="","",'Location Master'!H295)</f>
        <v/>
      </c>
      <c r="C294" s="77" t="str">
        <f>IF(A294="","",'Location Master'!I295)</f>
        <v/>
      </c>
      <c r="D294" s="77" t="str">
        <f>IF(A294="","",'Location Master'!A295)</f>
        <v/>
      </c>
      <c r="E294" s="77" t="str">
        <f>IF(A294="","",'Location Master'!B295)</f>
        <v/>
      </c>
      <c r="F294" s="77" t="str">
        <f>IF(A294="","",'Location Master'!C295)</f>
        <v/>
      </c>
      <c r="G294" s="77" t="str">
        <f>IF(A294="","",'Location Master'!D295)</f>
        <v/>
      </c>
      <c r="H294" s="77"/>
    </row>
    <row r="295" ht="15.75" customHeight="1">
      <c r="A295" s="83" t="str">
        <f>IF('Location Master'!E296="","",'Location Master'!E296)</f>
        <v/>
      </c>
      <c r="B295" s="85" t="str">
        <f>IF(A295="","",'Location Master'!H296)</f>
        <v/>
      </c>
      <c r="C295" s="87" t="str">
        <f>IF(A295="","",'Location Master'!I296)</f>
        <v/>
      </c>
      <c r="D295" s="87" t="str">
        <f>IF(A295="","",'Location Master'!A296)</f>
        <v/>
      </c>
      <c r="E295" s="87" t="str">
        <f>IF(A295="","",'Location Master'!B296)</f>
        <v/>
      </c>
      <c r="F295" s="87" t="str">
        <f>IF(A295="","",'Location Master'!C296)</f>
        <v/>
      </c>
      <c r="G295" s="87" t="str">
        <f>IF(A295="","",'Location Master'!D296)</f>
        <v/>
      </c>
      <c r="H295" s="87"/>
    </row>
    <row r="296" ht="15.75" customHeight="1">
      <c r="A296" s="91" t="str">
        <f>IF('Location Master'!E297="","",'Location Master'!E297)</f>
        <v/>
      </c>
      <c r="B296" s="69" t="str">
        <f>IF(A296="","",'Location Master'!H297)</f>
        <v/>
      </c>
      <c r="C296" s="77" t="str">
        <f>IF(A296="","",'Location Master'!I297)</f>
        <v/>
      </c>
      <c r="D296" s="77" t="str">
        <f>IF(A296="","",'Location Master'!A297)</f>
        <v/>
      </c>
      <c r="E296" s="77" t="str">
        <f>IF(A296="","",'Location Master'!B297)</f>
        <v/>
      </c>
      <c r="F296" s="77" t="str">
        <f>IF(A296="","",'Location Master'!C297)</f>
        <v/>
      </c>
      <c r="G296" s="77" t="str">
        <f>IF(A296="","",'Location Master'!D297)</f>
        <v/>
      </c>
      <c r="H296" s="77"/>
    </row>
    <row r="297" ht="15.75" customHeight="1">
      <c r="A297" s="83" t="str">
        <f>IF('Location Master'!E298="","",'Location Master'!E298)</f>
        <v/>
      </c>
      <c r="B297" s="85" t="str">
        <f>IF(A297="","",'Location Master'!H298)</f>
        <v/>
      </c>
      <c r="C297" s="87" t="str">
        <f>IF(A297="","",'Location Master'!I298)</f>
        <v/>
      </c>
      <c r="D297" s="87" t="str">
        <f>IF(A297="","",'Location Master'!A298)</f>
        <v/>
      </c>
      <c r="E297" s="87" t="str">
        <f>IF(A297="","",'Location Master'!B298)</f>
        <v/>
      </c>
      <c r="F297" s="87" t="str">
        <f>IF(A297="","",'Location Master'!C298)</f>
        <v/>
      </c>
      <c r="G297" s="87" t="str">
        <f>IF(A297="","",'Location Master'!D298)</f>
        <v/>
      </c>
      <c r="H297" s="87"/>
    </row>
    <row r="298" ht="15.75" customHeight="1">
      <c r="A298" s="91" t="str">
        <f>IF('Location Master'!E299="","",'Location Master'!E299)</f>
        <v/>
      </c>
      <c r="B298" s="69" t="str">
        <f>IF(A298="","",'Location Master'!H299)</f>
        <v/>
      </c>
      <c r="C298" s="77" t="str">
        <f>IF(A298="","",'Location Master'!I299)</f>
        <v/>
      </c>
      <c r="D298" s="77" t="str">
        <f>IF(A298="","",'Location Master'!A299)</f>
        <v/>
      </c>
      <c r="E298" s="77" t="str">
        <f>IF(A298="","",'Location Master'!B299)</f>
        <v/>
      </c>
      <c r="F298" s="77" t="str">
        <f>IF(A298="","",'Location Master'!C299)</f>
        <v/>
      </c>
      <c r="G298" s="77" t="str">
        <f>IF(A298="","",'Location Master'!D299)</f>
        <v/>
      </c>
      <c r="H298" s="77"/>
    </row>
    <row r="299" ht="15.75" customHeight="1">
      <c r="A299" s="83" t="str">
        <f>IF('Location Master'!E300="","",'Location Master'!E300)</f>
        <v/>
      </c>
      <c r="B299" s="85" t="str">
        <f>IF(A299="","",'Location Master'!H300)</f>
        <v/>
      </c>
      <c r="C299" s="87" t="str">
        <f>IF(A299="","",'Location Master'!I300)</f>
        <v/>
      </c>
      <c r="D299" s="87" t="str">
        <f>IF(A299="","",'Location Master'!A300)</f>
        <v/>
      </c>
      <c r="E299" s="87" t="str">
        <f>IF(A299="","",'Location Master'!B300)</f>
        <v/>
      </c>
      <c r="F299" s="87" t="str">
        <f>IF(A299="","",'Location Master'!C300)</f>
        <v/>
      </c>
      <c r="G299" s="87" t="str">
        <f>IF(A299="","",'Location Master'!D300)</f>
        <v/>
      </c>
      <c r="H299" s="87"/>
    </row>
    <row r="300" ht="15.75" customHeight="1">
      <c r="A300" s="91" t="str">
        <f>IF('Location Master'!E301="","",'Location Master'!E301)</f>
        <v/>
      </c>
      <c r="B300" s="69" t="str">
        <f>IF(A300="","",'Location Master'!H301)</f>
        <v/>
      </c>
      <c r="C300" s="77" t="str">
        <f>IF(A300="","",'Location Master'!I301)</f>
        <v/>
      </c>
      <c r="D300" s="77" t="str">
        <f>IF(A300="","",'Location Master'!A301)</f>
        <v/>
      </c>
      <c r="E300" s="77" t="str">
        <f>IF(A300="","",'Location Master'!B301)</f>
        <v/>
      </c>
      <c r="F300" s="77" t="str">
        <f>IF(A300="","",'Location Master'!C301)</f>
        <v/>
      </c>
      <c r="G300" s="77" t="str">
        <f>IF(A300="","",'Location Master'!D301)</f>
        <v/>
      </c>
      <c r="H300" s="77"/>
    </row>
    <row r="301" ht="15.75" customHeight="1">
      <c r="A301" s="83" t="str">
        <f>IF('Location Master'!E302="","",'Location Master'!E302)</f>
        <v/>
      </c>
      <c r="B301" s="85" t="str">
        <f>IF(A301="","",'Location Master'!H302)</f>
        <v/>
      </c>
      <c r="C301" s="87" t="str">
        <f>IF(A301="","",'Location Master'!I302)</f>
        <v/>
      </c>
      <c r="D301" s="87" t="str">
        <f>IF(A301="","",'Location Master'!A302)</f>
        <v/>
      </c>
      <c r="E301" s="87" t="str">
        <f>IF(A301="","",'Location Master'!B302)</f>
        <v/>
      </c>
      <c r="F301" s="87" t="str">
        <f>IF(A301="","",'Location Master'!C302)</f>
        <v/>
      </c>
      <c r="G301" s="87" t="str">
        <f>IF(A301="","",'Location Master'!D302)</f>
        <v/>
      </c>
      <c r="H301" s="87"/>
    </row>
    <row r="302" ht="15.75" customHeight="1">
      <c r="A302" s="91" t="str">
        <f>IF('Location Master'!E303="","",'Location Master'!E303)</f>
        <v/>
      </c>
      <c r="B302" s="69" t="str">
        <f>IF(A302="","",'Location Master'!H303)</f>
        <v/>
      </c>
      <c r="C302" s="77" t="str">
        <f>IF(A302="","",'Location Master'!I303)</f>
        <v/>
      </c>
      <c r="D302" s="77" t="str">
        <f>IF(A302="","",'Location Master'!A303)</f>
        <v/>
      </c>
      <c r="E302" s="77" t="str">
        <f>IF(A302="","",'Location Master'!B303)</f>
        <v/>
      </c>
      <c r="F302" s="77" t="str">
        <f>IF(A302="","",'Location Master'!C303)</f>
        <v/>
      </c>
      <c r="G302" s="77" t="str">
        <f>IF(A302="","",'Location Master'!D303)</f>
        <v/>
      </c>
      <c r="H302" s="77"/>
    </row>
    <row r="303" ht="15.75" customHeight="1">
      <c r="A303" s="83" t="str">
        <f>IF('Location Master'!E304="","",'Location Master'!E304)</f>
        <v/>
      </c>
      <c r="B303" s="85" t="str">
        <f>IF(A303="","",'Location Master'!H304)</f>
        <v/>
      </c>
      <c r="C303" s="87" t="str">
        <f>IF(A303="","",'Location Master'!I304)</f>
        <v/>
      </c>
      <c r="D303" s="87" t="str">
        <f>IF(A303="","",'Location Master'!A304)</f>
        <v/>
      </c>
      <c r="E303" s="87" t="str">
        <f>IF(A303="","",'Location Master'!B304)</f>
        <v/>
      </c>
      <c r="F303" s="87" t="str">
        <f>IF(A303="","",'Location Master'!C304)</f>
        <v/>
      </c>
      <c r="G303" s="87" t="str">
        <f>IF(A303="","",'Location Master'!D304)</f>
        <v/>
      </c>
      <c r="H303" s="87"/>
    </row>
    <row r="304" ht="15.75" customHeight="1">
      <c r="A304" s="91" t="str">
        <f>IF('Location Master'!E305="","",'Location Master'!E305)</f>
        <v/>
      </c>
      <c r="B304" s="69" t="str">
        <f>IF(A304="","",'Location Master'!H305)</f>
        <v/>
      </c>
      <c r="C304" s="77" t="str">
        <f>IF(A304="","",'Location Master'!I305)</f>
        <v/>
      </c>
      <c r="D304" s="77" t="str">
        <f>IF(A304="","",'Location Master'!A305)</f>
        <v/>
      </c>
      <c r="E304" s="77" t="str">
        <f>IF(A304="","",'Location Master'!B305)</f>
        <v/>
      </c>
      <c r="F304" s="77" t="str">
        <f>IF(A304="","",'Location Master'!C305)</f>
        <v/>
      </c>
      <c r="G304" s="77" t="str">
        <f>IF(A304="","",'Location Master'!D305)</f>
        <v/>
      </c>
      <c r="H304" s="77"/>
    </row>
    <row r="305" ht="15.75" customHeight="1">
      <c r="A305" s="83" t="str">
        <f>IF('Location Master'!E306="","",'Location Master'!E306)</f>
        <v/>
      </c>
      <c r="B305" s="85" t="str">
        <f>IF(A305="","",'Location Master'!H306)</f>
        <v/>
      </c>
      <c r="C305" s="87" t="str">
        <f>IF(A305="","",'Location Master'!I306)</f>
        <v/>
      </c>
      <c r="D305" s="87" t="str">
        <f>IF(A305="","",'Location Master'!A306)</f>
        <v/>
      </c>
      <c r="E305" s="87" t="str">
        <f>IF(A305="","",'Location Master'!B306)</f>
        <v/>
      </c>
      <c r="F305" s="87" t="str">
        <f>IF(A305="","",'Location Master'!C306)</f>
        <v/>
      </c>
      <c r="G305" s="87" t="str">
        <f>IF(A305="","",'Location Master'!D306)</f>
        <v/>
      </c>
      <c r="H305" s="87"/>
    </row>
    <row r="306" ht="15.75" customHeight="1">
      <c r="A306" s="91" t="str">
        <f>IF('Location Master'!E307="","",'Location Master'!E307)</f>
        <v/>
      </c>
      <c r="B306" s="69" t="str">
        <f>IF(A306="","",'Location Master'!H307)</f>
        <v/>
      </c>
      <c r="C306" s="77" t="str">
        <f>IF(A306="","",'Location Master'!I307)</f>
        <v/>
      </c>
      <c r="D306" s="77" t="str">
        <f>IF(A306="","",'Location Master'!A307)</f>
        <v/>
      </c>
      <c r="E306" s="77" t="str">
        <f>IF(A306="","",'Location Master'!B307)</f>
        <v/>
      </c>
      <c r="F306" s="77" t="str">
        <f>IF(A306="","",'Location Master'!C307)</f>
        <v/>
      </c>
      <c r="G306" s="77" t="str">
        <f>IF(A306="","",'Location Master'!D307)</f>
        <v/>
      </c>
      <c r="H306" s="77"/>
    </row>
    <row r="307" ht="15.75" customHeight="1">
      <c r="A307" s="83" t="str">
        <f>IF('Location Master'!E308="","",'Location Master'!E308)</f>
        <v/>
      </c>
      <c r="B307" s="85" t="str">
        <f>IF(A307="","",'Location Master'!H308)</f>
        <v/>
      </c>
      <c r="C307" s="87" t="str">
        <f>IF(A307="","",'Location Master'!I308)</f>
        <v/>
      </c>
      <c r="D307" s="87" t="str">
        <f>IF(A307="","",'Location Master'!A308)</f>
        <v/>
      </c>
      <c r="E307" s="87" t="str">
        <f>IF(A307="","",'Location Master'!B308)</f>
        <v/>
      </c>
      <c r="F307" s="87" t="str">
        <f>IF(A307="","",'Location Master'!C308)</f>
        <v/>
      </c>
      <c r="G307" s="87" t="str">
        <f>IF(A307="","",'Location Master'!D308)</f>
        <v/>
      </c>
      <c r="H307" s="87"/>
    </row>
    <row r="308" ht="15.75" customHeight="1">
      <c r="A308" s="91" t="str">
        <f>IF('Location Master'!E309="","",'Location Master'!E309)</f>
        <v/>
      </c>
      <c r="B308" s="69" t="str">
        <f>IF(A308="","",'Location Master'!H309)</f>
        <v/>
      </c>
      <c r="C308" s="77" t="str">
        <f>IF(A308="","",'Location Master'!I309)</f>
        <v/>
      </c>
      <c r="D308" s="77" t="str">
        <f>IF(A308="","",'Location Master'!A309)</f>
        <v/>
      </c>
      <c r="E308" s="77" t="str">
        <f>IF(A308="","",'Location Master'!B309)</f>
        <v/>
      </c>
      <c r="F308" s="77" t="str">
        <f>IF(A308="","",'Location Master'!C309)</f>
        <v/>
      </c>
      <c r="G308" s="77" t="str">
        <f>IF(A308="","",'Location Master'!D309)</f>
        <v/>
      </c>
      <c r="H308" s="77"/>
    </row>
    <row r="309" ht="15.75" customHeight="1">
      <c r="A309" s="83" t="str">
        <f>IF('Location Master'!E310="","",'Location Master'!E310)</f>
        <v/>
      </c>
      <c r="B309" s="85" t="str">
        <f>IF(A309="","",'Location Master'!H310)</f>
        <v/>
      </c>
      <c r="C309" s="87" t="str">
        <f>IF(A309="","",'Location Master'!I310)</f>
        <v/>
      </c>
      <c r="D309" s="87" t="str">
        <f>IF(A309="","",'Location Master'!A310)</f>
        <v/>
      </c>
      <c r="E309" s="87" t="str">
        <f>IF(A309="","",'Location Master'!B310)</f>
        <v/>
      </c>
      <c r="F309" s="87" t="str">
        <f>IF(A309="","",'Location Master'!C310)</f>
        <v/>
      </c>
      <c r="G309" s="87" t="str">
        <f>IF(A309="","",'Location Master'!D310)</f>
        <v/>
      </c>
      <c r="H309" s="87"/>
    </row>
    <row r="310" ht="15.75" customHeight="1">
      <c r="A310" s="91" t="str">
        <f>IF('Location Master'!E311="","",'Location Master'!E311)</f>
        <v/>
      </c>
      <c r="B310" s="69" t="str">
        <f>IF(A310="","",'Location Master'!H311)</f>
        <v/>
      </c>
      <c r="C310" s="77" t="str">
        <f>IF(A310="","",'Location Master'!I311)</f>
        <v/>
      </c>
      <c r="D310" s="77" t="str">
        <f>IF(A310="","",'Location Master'!A311)</f>
        <v/>
      </c>
      <c r="E310" s="77" t="str">
        <f>IF(A310="","",'Location Master'!B311)</f>
        <v/>
      </c>
      <c r="F310" s="77" t="str">
        <f>IF(A310="","",'Location Master'!C311)</f>
        <v/>
      </c>
      <c r="G310" s="77" t="str">
        <f>IF(A310="","",'Location Master'!D311)</f>
        <v/>
      </c>
      <c r="H310" s="77"/>
    </row>
    <row r="311" ht="15.75" customHeight="1">
      <c r="A311" s="83" t="str">
        <f>IF('Location Master'!E312="","",'Location Master'!E312)</f>
        <v/>
      </c>
      <c r="B311" s="85" t="str">
        <f>IF(A311="","",'Location Master'!H312)</f>
        <v/>
      </c>
      <c r="C311" s="87" t="str">
        <f>IF(A311="","",'Location Master'!I312)</f>
        <v/>
      </c>
      <c r="D311" s="87" t="str">
        <f>IF(A311="","",'Location Master'!A312)</f>
        <v/>
      </c>
      <c r="E311" s="87" t="str">
        <f>IF(A311="","",'Location Master'!B312)</f>
        <v/>
      </c>
      <c r="F311" s="87" t="str">
        <f>IF(A311="","",'Location Master'!C312)</f>
        <v/>
      </c>
      <c r="G311" s="87" t="str">
        <f>IF(A311="","",'Location Master'!D312)</f>
        <v/>
      </c>
      <c r="H311" s="87"/>
    </row>
    <row r="312" ht="15.75" customHeight="1">
      <c r="A312" s="91" t="str">
        <f>IF('Location Master'!E313="","",'Location Master'!E313)</f>
        <v/>
      </c>
      <c r="B312" s="69" t="str">
        <f>IF(A312="","",'Location Master'!H313)</f>
        <v/>
      </c>
      <c r="C312" s="77" t="str">
        <f>IF(A312="","",'Location Master'!I313)</f>
        <v/>
      </c>
      <c r="D312" s="77" t="str">
        <f>IF(A312="","",'Location Master'!A313)</f>
        <v/>
      </c>
      <c r="E312" s="77" t="str">
        <f>IF(A312="","",'Location Master'!B313)</f>
        <v/>
      </c>
      <c r="F312" s="77" t="str">
        <f>IF(A312="","",'Location Master'!C313)</f>
        <v/>
      </c>
      <c r="G312" s="77" t="str">
        <f>IF(A312="","",'Location Master'!D313)</f>
        <v/>
      </c>
      <c r="H312" s="77"/>
    </row>
    <row r="313" ht="15.75" customHeight="1">
      <c r="A313" s="83" t="str">
        <f>IF('Location Master'!E314="","",'Location Master'!E314)</f>
        <v/>
      </c>
      <c r="B313" s="85" t="str">
        <f>IF(A313="","",'Location Master'!H314)</f>
        <v/>
      </c>
      <c r="C313" s="87" t="str">
        <f>IF(A313="","",'Location Master'!I314)</f>
        <v/>
      </c>
      <c r="D313" s="87" t="str">
        <f>IF(A313="","",'Location Master'!A314)</f>
        <v/>
      </c>
      <c r="E313" s="87" t="str">
        <f>IF(A313="","",'Location Master'!B314)</f>
        <v/>
      </c>
      <c r="F313" s="87" t="str">
        <f>IF(A313="","",'Location Master'!C314)</f>
        <v/>
      </c>
      <c r="G313" s="87" t="str">
        <f>IF(A313="","",'Location Master'!D314)</f>
        <v/>
      </c>
      <c r="H313" s="87"/>
    </row>
    <row r="314" ht="15.75" customHeight="1">
      <c r="A314" s="91" t="str">
        <f>IF('Location Master'!E315="","",'Location Master'!E315)</f>
        <v/>
      </c>
      <c r="B314" s="69" t="str">
        <f>IF(A314="","",'Location Master'!H315)</f>
        <v/>
      </c>
      <c r="C314" s="77" t="str">
        <f>IF(A314="","",'Location Master'!I315)</f>
        <v/>
      </c>
      <c r="D314" s="77" t="str">
        <f>IF(A314="","",'Location Master'!A315)</f>
        <v/>
      </c>
      <c r="E314" s="77" t="str">
        <f>IF(A314="","",'Location Master'!B315)</f>
        <v/>
      </c>
      <c r="F314" s="77" t="str">
        <f>IF(A314="","",'Location Master'!C315)</f>
        <v/>
      </c>
      <c r="G314" s="77" t="str">
        <f>IF(A314="","",'Location Master'!D315)</f>
        <v/>
      </c>
      <c r="H314" s="77"/>
    </row>
    <row r="315" ht="15.75" customHeight="1">
      <c r="A315" s="83" t="str">
        <f>IF('Location Master'!E316="","",'Location Master'!E316)</f>
        <v/>
      </c>
      <c r="B315" s="85" t="str">
        <f>IF(A315="","",'Location Master'!H316)</f>
        <v/>
      </c>
      <c r="C315" s="87" t="str">
        <f>IF(A315="","",'Location Master'!I316)</f>
        <v/>
      </c>
      <c r="D315" s="87" t="str">
        <f>IF(A315="","",'Location Master'!A316)</f>
        <v/>
      </c>
      <c r="E315" s="87" t="str">
        <f>IF(A315="","",'Location Master'!B316)</f>
        <v/>
      </c>
      <c r="F315" s="87" t="str">
        <f>IF(A315="","",'Location Master'!C316)</f>
        <v/>
      </c>
      <c r="G315" s="87" t="str">
        <f>IF(A315="","",'Location Master'!D316)</f>
        <v/>
      </c>
      <c r="H315" s="87"/>
    </row>
    <row r="316" ht="15.75" customHeight="1">
      <c r="A316" s="91" t="str">
        <f>IF('Location Master'!E317="","",'Location Master'!E317)</f>
        <v/>
      </c>
      <c r="B316" s="69" t="str">
        <f>IF(A316="","",'Location Master'!H317)</f>
        <v/>
      </c>
      <c r="C316" s="77" t="str">
        <f>IF(A316="","",'Location Master'!I317)</f>
        <v/>
      </c>
      <c r="D316" s="77" t="str">
        <f>IF(A316="","",'Location Master'!A317)</f>
        <v/>
      </c>
      <c r="E316" s="77" t="str">
        <f>IF(A316="","",'Location Master'!B317)</f>
        <v/>
      </c>
      <c r="F316" s="77" t="str">
        <f>IF(A316="","",'Location Master'!C317)</f>
        <v/>
      </c>
      <c r="G316" s="77" t="str">
        <f>IF(A316="","",'Location Master'!D317)</f>
        <v/>
      </c>
      <c r="H316" s="77"/>
    </row>
    <row r="317" ht="15.75" customHeight="1">
      <c r="A317" s="83" t="str">
        <f>IF('Location Master'!E318="","",'Location Master'!E318)</f>
        <v/>
      </c>
      <c r="B317" s="85" t="str">
        <f>IF(A317="","",'Location Master'!H318)</f>
        <v/>
      </c>
      <c r="C317" s="87" t="str">
        <f>IF(A317="","",'Location Master'!I318)</f>
        <v/>
      </c>
      <c r="D317" s="87" t="str">
        <f>IF(A317="","",'Location Master'!A318)</f>
        <v/>
      </c>
      <c r="E317" s="87" t="str">
        <f>IF(A317="","",'Location Master'!B318)</f>
        <v/>
      </c>
      <c r="F317" s="87" t="str">
        <f>IF(A317="","",'Location Master'!C318)</f>
        <v/>
      </c>
      <c r="G317" s="87" t="str">
        <f>IF(A317="","",'Location Master'!D318)</f>
        <v/>
      </c>
      <c r="H317" s="87"/>
    </row>
    <row r="318" ht="15.75" customHeight="1">
      <c r="A318" s="91" t="str">
        <f>IF('Location Master'!E319="","",'Location Master'!E319)</f>
        <v/>
      </c>
      <c r="B318" s="69" t="str">
        <f>IF(A318="","",'Location Master'!H319)</f>
        <v/>
      </c>
      <c r="C318" s="77" t="str">
        <f>IF(A318="","",'Location Master'!I319)</f>
        <v/>
      </c>
      <c r="D318" s="77" t="str">
        <f>IF(A318="","",'Location Master'!A319)</f>
        <v/>
      </c>
      <c r="E318" s="77" t="str">
        <f>IF(A318="","",'Location Master'!B319)</f>
        <v/>
      </c>
      <c r="F318" s="77" t="str">
        <f>IF(A318="","",'Location Master'!C319)</f>
        <v/>
      </c>
      <c r="G318" s="77" t="str">
        <f>IF(A318="","",'Location Master'!D319)</f>
        <v/>
      </c>
      <c r="H318" s="77"/>
    </row>
    <row r="319" ht="15.75" customHeight="1">
      <c r="A319" s="83" t="str">
        <f>IF('Location Master'!E320="","",'Location Master'!E320)</f>
        <v/>
      </c>
      <c r="B319" s="85" t="str">
        <f>IF(A319="","",'Location Master'!H320)</f>
        <v/>
      </c>
      <c r="C319" s="87" t="str">
        <f>IF(A319="","",'Location Master'!I320)</f>
        <v/>
      </c>
      <c r="D319" s="87" t="str">
        <f>IF(A319="","",'Location Master'!A320)</f>
        <v/>
      </c>
      <c r="E319" s="87" t="str">
        <f>IF(A319="","",'Location Master'!B320)</f>
        <v/>
      </c>
      <c r="F319" s="87" t="str">
        <f>IF(A319="","",'Location Master'!C320)</f>
        <v/>
      </c>
      <c r="G319" s="87" t="str">
        <f>IF(A319="","",'Location Master'!D320)</f>
        <v/>
      </c>
      <c r="H319" s="87"/>
    </row>
    <row r="320" ht="15.75" customHeight="1">
      <c r="A320" s="91" t="str">
        <f>IF('Location Master'!E321="","",'Location Master'!E321)</f>
        <v/>
      </c>
      <c r="B320" s="69" t="str">
        <f>IF(A320="","",'Location Master'!H321)</f>
        <v/>
      </c>
      <c r="C320" s="77" t="str">
        <f>IF(A320="","",'Location Master'!I321)</f>
        <v/>
      </c>
      <c r="D320" s="77" t="str">
        <f>IF(A320="","",'Location Master'!A321)</f>
        <v/>
      </c>
      <c r="E320" s="77" t="str">
        <f>IF(A320="","",'Location Master'!B321)</f>
        <v/>
      </c>
      <c r="F320" s="77" t="str">
        <f>IF(A320="","",'Location Master'!C321)</f>
        <v/>
      </c>
      <c r="G320" s="77" t="str">
        <f>IF(A320="","",'Location Master'!D321)</f>
        <v/>
      </c>
      <c r="H320" s="77"/>
    </row>
    <row r="321" ht="15.75" customHeight="1">
      <c r="A321" s="83" t="str">
        <f>IF('Location Master'!E322="","",'Location Master'!E322)</f>
        <v/>
      </c>
      <c r="B321" s="85" t="str">
        <f>IF(A321="","",'Location Master'!H322)</f>
        <v/>
      </c>
      <c r="C321" s="87" t="str">
        <f>IF(A321="","",'Location Master'!I322)</f>
        <v/>
      </c>
      <c r="D321" s="87" t="str">
        <f>IF(A321="","",'Location Master'!A322)</f>
        <v/>
      </c>
      <c r="E321" s="87" t="str">
        <f>IF(A321="","",'Location Master'!B322)</f>
        <v/>
      </c>
      <c r="F321" s="87" t="str">
        <f>IF(A321="","",'Location Master'!C322)</f>
        <v/>
      </c>
      <c r="G321" s="87" t="str">
        <f>IF(A321="","",'Location Master'!D322)</f>
        <v/>
      </c>
      <c r="H321" s="87"/>
    </row>
    <row r="322" ht="15.75" customHeight="1">
      <c r="A322" s="91" t="str">
        <f>IF('Location Master'!E323="","",'Location Master'!E323)</f>
        <v/>
      </c>
      <c r="B322" s="69" t="str">
        <f>IF(A322="","",'Location Master'!H323)</f>
        <v/>
      </c>
      <c r="C322" s="77" t="str">
        <f>IF(A322="","",'Location Master'!I323)</f>
        <v/>
      </c>
      <c r="D322" s="77" t="str">
        <f>IF(A322="","",'Location Master'!A323)</f>
        <v/>
      </c>
      <c r="E322" s="77" t="str">
        <f>IF(A322="","",'Location Master'!B323)</f>
        <v/>
      </c>
      <c r="F322" s="77" t="str">
        <f>IF(A322="","",'Location Master'!C323)</f>
        <v/>
      </c>
      <c r="G322" s="77" t="str">
        <f>IF(A322="","",'Location Master'!D323)</f>
        <v/>
      </c>
      <c r="H322" s="77"/>
    </row>
    <row r="323" ht="15.75" customHeight="1">
      <c r="A323" s="83" t="str">
        <f>IF('Location Master'!E324="","",'Location Master'!E324)</f>
        <v/>
      </c>
      <c r="B323" s="85" t="str">
        <f>IF(A323="","",'Location Master'!H324)</f>
        <v/>
      </c>
      <c r="C323" s="87" t="str">
        <f>IF(A323="","",'Location Master'!I324)</f>
        <v/>
      </c>
      <c r="D323" s="87" t="str">
        <f>IF(A323="","",'Location Master'!A324)</f>
        <v/>
      </c>
      <c r="E323" s="87" t="str">
        <f>IF(A323="","",'Location Master'!B324)</f>
        <v/>
      </c>
      <c r="F323" s="87" t="str">
        <f>IF(A323="","",'Location Master'!C324)</f>
        <v/>
      </c>
      <c r="G323" s="87" t="str">
        <f>IF(A323="","",'Location Master'!D324)</f>
        <v/>
      </c>
      <c r="H323" s="87"/>
    </row>
    <row r="324" ht="15.75" customHeight="1">
      <c r="A324" s="91" t="str">
        <f>IF('Location Master'!E325="","",'Location Master'!E325)</f>
        <v/>
      </c>
      <c r="B324" s="69" t="str">
        <f>IF(A324="","",'Location Master'!H325)</f>
        <v/>
      </c>
      <c r="C324" s="77" t="str">
        <f>IF(A324="","",'Location Master'!I325)</f>
        <v/>
      </c>
      <c r="D324" s="77" t="str">
        <f>IF(A324="","",'Location Master'!A325)</f>
        <v/>
      </c>
      <c r="E324" s="77" t="str">
        <f>IF(A324="","",'Location Master'!B325)</f>
        <v/>
      </c>
      <c r="F324" s="77" t="str">
        <f>IF(A324="","",'Location Master'!C325)</f>
        <v/>
      </c>
      <c r="G324" s="77" t="str">
        <f>IF(A324="","",'Location Master'!D325)</f>
        <v/>
      </c>
      <c r="H324" s="77"/>
    </row>
    <row r="325" ht="15.75" customHeight="1">
      <c r="A325" s="83" t="str">
        <f>IF('Location Master'!E326="","",'Location Master'!E326)</f>
        <v/>
      </c>
      <c r="B325" s="85" t="str">
        <f>IF(A325="","",'Location Master'!H326)</f>
        <v/>
      </c>
      <c r="C325" s="87" t="str">
        <f>IF(A325="","",'Location Master'!I326)</f>
        <v/>
      </c>
      <c r="D325" s="87" t="str">
        <f>IF(A325="","",'Location Master'!A326)</f>
        <v/>
      </c>
      <c r="E325" s="87" t="str">
        <f>IF(A325="","",'Location Master'!B326)</f>
        <v/>
      </c>
      <c r="F325" s="87" t="str">
        <f>IF(A325="","",'Location Master'!C326)</f>
        <v/>
      </c>
      <c r="G325" s="87" t="str">
        <f>IF(A325="","",'Location Master'!D326)</f>
        <v/>
      </c>
      <c r="H325" s="87"/>
    </row>
    <row r="326" ht="15.75" customHeight="1">
      <c r="A326" s="91" t="str">
        <f>IF('Location Master'!E327="","",'Location Master'!E327)</f>
        <v/>
      </c>
      <c r="B326" s="69" t="str">
        <f>IF(A326="","",'Location Master'!H327)</f>
        <v/>
      </c>
      <c r="C326" s="77" t="str">
        <f>IF(A326="","",'Location Master'!I327)</f>
        <v/>
      </c>
      <c r="D326" s="77" t="str">
        <f>IF(A326="","",'Location Master'!A327)</f>
        <v/>
      </c>
      <c r="E326" s="77" t="str">
        <f>IF(A326="","",'Location Master'!B327)</f>
        <v/>
      </c>
      <c r="F326" s="77" t="str">
        <f>IF(A326="","",'Location Master'!C327)</f>
        <v/>
      </c>
      <c r="G326" s="77" t="str">
        <f>IF(A326="","",'Location Master'!D327)</f>
        <v/>
      </c>
      <c r="H326" s="77"/>
    </row>
    <row r="327" ht="15.75" customHeight="1">
      <c r="A327" s="83" t="str">
        <f>IF('Location Master'!E328="","",'Location Master'!E328)</f>
        <v/>
      </c>
      <c r="B327" s="85" t="str">
        <f>IF(A327="","",'Location Master'!H328)</f>
        <v/>
      </c>
      <c r="C327" s="87" t="str">
        <f>IF(A327="","",'Location Master'!I328)</f>
        <v/>
      </c>
      <c r="D327" s="87" t="str">
        <f>IF(A327="","",'Location Master'!A328)</f>
        <v/>
      </c>
      <c r="E327" s="87" t="str">
        <f>IF(A327="","",'Location Master'!B328)</f>
        <v/>
      </c>
      <c r="F327" s="87" t="str">
        <f>IF(A327="","",'Location Master'!C328)</f>
        <v/>
      </c>
      <c r="G327" s="87" t="str">
        <f>IF(A327="","",'Location Master'!D328)</f>
        <v/>
      </c>
      <c r="H327" s="87"/>
    </row>
    <row r="328" ht="15.75" customHeight="1">
      <c r="A328" s="91" t="str">
        <f>IF('Location Master'!E329="","",'Location Master'!E329)</f>
        <v/>
      </c>
      <c r="B328" s="69" t="str">
        <f>IF(A328="","",'Location Master'!H329)</f>
        <v/>
      </c>
      <c r="C328" s="77" t="str">
        <f>IF(A328="","",'Location Master'!I329)</f>
        <v/>
      </c>
      <c r="D328" s="77" t="str">
        <f>IF(A328="","",'Location Master'!A329)</f>
        <v/>
      </c>
      <c r="E328" s="77" t="str">
        <f>IF(A328="","",'Location Master'!B329)</f>
        <v/>
      </c>
      <c r="F328" s="77" t="str">
        <f>IF(A328="","",'Location Master'!C329)</f>
        <v/>
      </c>
      <c r="G328" s="77" t="str">
        <f>IF(A328="","",'Location Master'!D329)</f>
        <v/>
      </c>
      <c r="H328" s="77"/>
    </row>
    <row r="329" ht="15.75" customHeight="1">
      <c r="A329" s="83" t="str">
        <f>IF('Location Master'!E330="","",'Location Master'!E330)</f>
        <v/>
      </c>
      <c r="B329" s="85" t="str">
        <f>IF(A329="","",'Location Master'!H330)</f>
        <v/>
      </c>
      <c r="C329" s="87" t="str">
        <f>IF(A329="","",'Location Master'!I330)</f>
        <v/>
      </c>
      <c r="D329" s="87" t="str">
        <f>IF(A329="","",'Location Master'!A330)</f>
        <v/>
      </c>
      <c r="E329" s="87" t="str">
        <f>IF(A329="","",'Location Master'!B330)</f>
        <v/>
      </c>
      <c r="F329" s="87" t="str">
        <f>IF(A329="","",'Location Master'!C330)</f>
        <v/>
      </c>
      <c r="G329" s="87" t="str">
        <f>IF(A329="","",'Location Master'!D330)</f>
        <v/>
      </c>
      <c r="H329" s="87"/>
    </row>
    <row r="330" ht="15.75" customHeight="1">
      <c r="A330" s="91" t="str">
        <f>IF('Location Master'!E331="","",'Location Master'!E331)</f>
        <v/>
      </c>
      <c r="B330" s="69" t="str">
        <f>IF(A330="","",'Location Master'!H331)</f>
        <v/>
      </c>
      <c r="C330" s="77" t="str">
        <f>IF(A330="","",'Location Master'!I331)</f>
        <v/>
      </c>
      <c r="D330" s="77" t="str">
        <f>IF(A330="","",'Location Master'!A331)</f>
        <v/>
      </c>
      <c r="E330" s="77" t="str">
        <f>IF(A330="","",'Location Master'!B331)</f>
        <v/>
      </c>
      <c r="F330" s="77" t="str">
        <f>IF(A330="","",'Location Master'!C331)</f>
        <v/>
      </c>
      <c r="G330" s="77" t="str">
        <f>IF(A330="","",'Location Master'!D331)</f>
        <v/>
      </c>
      <c r="H330" s="77"/>
    </row>
    <row r="331" ht="15.75" customHeight="1">
      <c r="A331" s="83" t="str">
        <f>IF('Location Master'!E332="","",'Location Master'!E332)</f>
        <v/>
      </c>
      <c r="B331" s="85" t="str">
        <f>IF(A331="","",'Location Master'!H332)</f>
        <v/>
      </c>
      <c r="C331" s="87" t="str">
        <f>IF(A331="","",'Location Master'!I332)</f>
        <v/>
      </c>
      <c r="D331" s="87" t="str">
        <f>IF(A331="","",'Location Master'!A332)</f>
        <v/>
      </c>
      <c r="E331" s="87" t="str">
        <f>IF(A331="","",'Location Master'!B332)</f>
        <v/>
      </c>
      <c r="F331" s="87" t="str">
        <f>IF(A331="","",'Location Master'!C332)</f>
        <v/>
      </c>
      <c r="G331" s="87" t="str">
        <f>IF(A331="","",'Location Master'!D332)</f>
        <v/>
      </c>
      <c r="H331" s="87"/>
    </row>
    <row r="332" ht="15.75" customHeight="1">
      <c r="A332" s="91" t="str">
        <f>IF('Location Master'!E333="","",'Location Master'!E333)</f>
        <v/>
      </c>
      <c r="B332" s="69" t="str">
        <f>IF(A332="","",'Location Master'!H333)</f>
        <v/>
      </c>
      <c r="C332" s="77" t="str">
        <f>IF(A332="","",'Location Master'!I333)</f>
        <v/>
      </c>
      <c r="D332" s="77" t="str">
        <f>IF(A332="","",'Location Master'!A333)</f>
        <v/>
      </c>
      <c r="E332" s="77" t="str">
        <f>IF(A332="","",'Location Master'!B333)</f>
        <v/>
      </c>
      <c r="F332" s="77" t="str">
        <f>IF(A332="","",'Location Master'!C333)</f>
        <v/>
      </c>
      <c r="G332" s="77" t="str">
        <f>IF(A332="","",'Location Master'!D333)</f>
        <v/>
      </c>
      <c r="H332" s="77"/>
    </row>
    <row r="333" ht="15.75" customHeight="1">
      <c r="A333" s="83" t="str">
        <f>IF('Location Master'!E334="","",'Location Master'!E334)</f>
        <v/>
      </c>
      <c r="B333" s="85" t="str">
        <f>IF(A333="","",'Location Master'!H334)</f>
        <v/>
      </c>
      <c r="C333" s="87" t="str">
        <f>IF(A333="","",'Location Master'!I334)</f>
        <v/>
      </c>
      <c r="D333" s="87" t="str">
        <f>IF(A333="","",'Location Master'!A334)</f>
        <v/>
      </c>
      <c r="E333" s="87" t="str">
        <f>IF(A333="","",'Location Master'!B334)</f>
        <v/>
      </c>
      <c r="F333" s="87" t="str">
        <f>IF(A333="","",'Location Master'!C334)</f>
        <v/>
      </c>
      <c r="G333" s="87" t="str">
        <f>IF(A333="","",'Location Master'!D334)</f>
        <v/>
      </c>
      <c r="H333" s="87"/>
    </row>
    <row r="334" ht="15.75" customHeight="1">
      <c r="A334" s="91" t="str">
        <f>IF('Location Master'!E335="","",'Location Master'!E335)</f>
        <v/>
      </c>
      <c r="B334" s="69" t="str">
        <f>IF(A334="","",'Location Master'!H335)</f>
        <v/>
      </c>
      <c r="C334" s="77" t="str">
        <f>IF(A334="","",'Location Master'!I335)</f>
        <v/>
      </c>
      <c r="D334" s="77" t="str">
        <f>IF(A334="","",'Location Master'!A335)</f>
        <v/>
      </c>
      <c r="E334" s="77" t="str">
        <f>IF(A334="","",'Location Master'!B335)</f>
        <v/>
      </c>
      <c r="F334" s="77" t="str">
        <f>IF(A334="","",'Location Master'!C335)</f>
        <v/>
      </c>
      <c r="G334" s="77" t="str">
        <f>IF(A334="","",'Location Master'!D335)</f>
        <v/>
      </c>
      <c r="H334" s="77"/>
    </row>
    <row r="335" ht="15.75" customHeight="1">
      <c r="A335" s="83" t="str">
        <f>IF('Location Master'!E336="","",'Location Master'!E336)</f>
        <v/>
      </c>
      <c r="B335" s="85" t="str">
        <f>IF(A335="","",'Location Master'!H336)</f>
        <v/>
      </c>
      <c r="C335" s="87" t="str">
        <f>IF(A335="","",'Location Master'!I336)</f>
        <v/>
      </c>
      <c r="D335" s="87" t="str">
        <f>IF(A335="","",'Location Master'!A336)</f>
        <v/>
      </c>
      <c r="E335" s="87" t="str">
        <f>IF(A335="","",'Location Master'!B336)</f>
        <v/>
      </c>
      <c r="F335" s="87" t="str">
        <f>IF(A335="","",'Location Master'!C336)</f>
        <v/>
      </c>
      <c r="G335" s="87" t="str">
        <f>IF(A335="","",'Location Master'!D336)</f>
        <v/>
      </c>
      <c r="H335" s="87"/>
    </row>
    <row r="336" ht="15.75" customHeight="1">
      <c r="A336" s="91" t="str">
        <f>IF('Location Master'!E337="","",'Location Master'!E337)</f>
        <v/>
      </c>
      <c r="B336" s="69" t="str">
        <f>IF(A336="","",'Location Master'!H337)</f>
        <v/>
      </c>
      <c r="C336" s="77" t="str">
        <f>IF(A336="","",'Location Master'!I337)</f>
        <v/>
      </c>
      <c r="D336" s="77" t="str">
        <f>IF(A336="","",'Location Master'!A337)</f>
        <v/>
      </c>
      <c r="E336" s="77" t="str">
        <f>IF(A336="","",'Location Master'!B337)</f>
        <v/>
      </c>
      <c r="F336" s="77" t="str">
        <f>IF(A336="","",'Location Master'!C337)</f>
        <v/>
      </c>
      <c r="G336" s="77" t="str">
        <f>IF(A336="","",'Location Master'!D337)</f>
        <v/>
      </c>
      <c r="H336" s="77"/>
    </row>
    <row r="337" ht="15.75" customHeight="1">
      <c r="A337" s="83" t="str">
        <f>IF('Location Master'!E338="","",'Location Master'!E338)</f>
        <v/>
      </c>
      <c r="B337" s="85" t="str">
        <f>IF(A337="","",'Location Master'!H338)</f>
        <v/>
      </c>
      <c r="C337" s="87" t="str">
        <f>IF(A337="","",'Location Master'!I338)</f>
        <v/>
      </c>
      <c r="D337" s="87" t="str">
        <f>IF(A337="","",'Location Master'!A338)</f>
        <v/>
      </c>
      <c r="E337" s="87" t="str">
        <f>IF(A337="","",'Location Master'!B338)</f>
        <v/>
      </c>
      <c r="F337" s="87" t="str">
        <f>IF(A337="","",'Location Master'!C338)</f>
        <v/>
      </c>
      <c r="G337" s="87" t="str">
        <f>IF(A337="","",'Location Master'!D338)</f>
        <v/>
      </c>
      <c r="H337" s="87"/>
    </row>
    <row r="338" ht="15.75" customHeight="1">
      <c r="A338" s="91" t="str">
        <f>IF('Location Master'!E339="","",'Location Master'!E339)</f>
        <v/>
      </c>
      <c r="B338" s="69" t="str">
        <f>IF(A338="","",'Location Master'!H339)</f>
        <v/>
      </c>
      <c r="C338" s="77" t="str">
        <f>IF(A338="","",'Location Master'!I339)</f>
        <v/>
      </c>
      <c r="D338" s="77" t="str">
        <f>IF(A338="","",'Location Master'!A339)</f>
        <v/>
      </c>
      <c r="E338" s="77" t="str">
        <f>IF(A338="","",'Location Master'!B339)</f>
        <v/>
      </c>
      <c r="F338" s="77" t="str">
        <f>IF(A338="","",'Location Master'!C339)</f>
        <v/>
      </c>
      <c r="G338" s="77" t="str">
        <f>IF(A338="","",'Location Master'!D339)</f>
        <v/>
      </c>
      <c r="H338" s="77"/>
    </row>
    <row r="339" ht="15.75" customHeight="1">
      <c r="A339" s="83" t="str">
        <f>IF('Location Master'!E340="","",'Location Master'!E340)</f>
        <v/>
      </c>
      <c r="B339" s="85" t="str">
        <f>IF(A339="","",'Location Master'!H340)</f>
        <v/>
      </c>
      <c r="C339" s="87" t="str">
        <f>IF(A339="","",'Location Master'!I340)</f>
        <v/>
      </c>
      <c r="D339" s="87" t="str">
        <f>IF(A339="","",'Location Master'!A340)</f>
        <v/>
      </c>
      <c r="E339" s="87" t="str">
        <f>IF(A339="","",'Location Master'!B340)</f>
        <v/>
      </c>
      <c r="F339" s="87" t="str">
        <f>IF(A339="","",'Location Master'!C340)</f>
        <v/>
      </c>
      <c r="G339" s="87" t="str">
        <f>IF(A339="","",'Location Master'!D340)</f>
        <v/>
      </c>
      <c r="H339" s="87"/>
    </row>
    <row r="340" ht="15.75" customHeight="1">
      <c r="A340" s="91" t="str">
        <f>IF('Location Master'!E341="","",'Location Master'!E341)</f>
        <v/>
      </c>
      <c r="B340" s="69" t="str">
        <f>IF(A340="","",'Location Master'!H341)</f>
        <v/>
      </c>
      <c r="C340" s="77" t="str">
        <f>IF(A340="","",'Location Master'!I341)</f>
        <v/>
      </c>
      <c r="D340" s="77" t="str">
        <f>IF(A340="","",'Location Master'!A341)</f>
        <v/>
      </c>
      <c r="E340" s="77" t="str">
        <f>IF(A340="","",'Location Master'!B341)</f>
        <v/>
      </c>
      <c r="F340" s="77" t="str">
        <f>IF(A340="","",'Location Master'!C341)</f>
        <v/>
      </c>
      <c r="G340" s="77" t="str">
        <f>IF(A340="","",'Location Master'!D341)</f>
        <v/>
      </c>
      <c r="H340" s="77"/>
    </row>
    <row r="341" ht="15.75" customHeight="1">
      <c r="A341" s="83" t="str">
        <f>IF('Location Master'!E342="","",'Location Master'!E342)</f>
        <v/>
      </c>
      <c r="B341" s="85" t="str">
        <f>IF(A341="","",'Location Master'!H342)</f>
        <v/>
      </c>
      <c r="C341" s="87" t="str">
        <f>IF(A341="","",'Location Master'!I342)</f>
        <v/>
      </c>
      <c r="D341" s="87" t="str">
        <f>IF(A341="","",'Location Master'!A342)</f>
        <v/>
      </c>
      <c r="E341" s="87" t="str">
        <f>IF(A341="","",'Location Master'!B342)</f>
        <v/>
      </c>
      <c r="F341" s="87" t="str">
        <f>IF(A341="","",'Location Master'!C342)</f>
        <v/>
      </c>
      <c r="G341" s="87" t="str">
        <f>IF(A341="","",'Location Master'!D342)</f>
        <v/>
      </c>
      <c r="H341" s="87"/>
    </row>
    <row r="342" ht="15.75" customHeight="1">
      <c r="A342" s="91" t="str">
        <f>IF('Location Master'!E343="","",'Location Master'!E343)</f>
        <v/>
      </c>
      <c r="B342" s="69" t="str">
        <f>IF(A342="","",'Location Master'!H343)</f>
        <v/>
      </c>
      <c r="C342" s="77" t="str">
        <f>IF(A342="","",'Location Master'!I343)</f>
        <v/>
      </c>
      <c r="D342" s="77" t="str">
        <f>IF(A342="","",'Location Master'!A343)</f>
        <v/>
      </c>
      <c r="E342" s="77" t="str">
        <f>IF(A342="","",'Location Master'!B343)</f>
        <v/>
      </c>
      <c r="F342" s="77" t="str">
        <f>IF(A342="","",'Location Master'!C343)</f>
        <v/>
      </c>
      <c r="G342" s="77" t="str">
        <f>IF(A342="","",'Location Master'!D343)</f>
        <v/>
      </c>
      <c r="H342" s="77"/>
    </row>
    <row r="343" ht="15.75" customHeight="1">
      <c r="A343" s="83" t="str">
        <f>IF('Location Master'!E344="","",'Location Master'!E344)</f>
        <v/>
      </c>
      <c r="B343" s="85" t="str">
        <f>IF(A343="","",'Location Master'!H344)</f>
        <v/>
      </c>
      <c r="C343" s="87" t="str">
        <f>IF(A343="","",'Location Master'!I344)</f>
        <v/>
      </c>
      <c r="D343" s="87" t="str">
        <f>IF(A343="","",'Location Master'!A344)</f>
        <v/>
      </c>
      <c r="E343" s="87" t="str">
        <f>IF(A343="","",'Location Master'!B344)</f>
        <v/>
      </c>
      <c r="F343" s="87" t="str">
        <f>IF(A343="","",'Location Master'!C344)</f>
        <v/>
      </c>
      <c r="G343" s="87" t="str">
        <f>IF(A343="","",'Location Master'!D344)</f>
        <v/>
      </c>
      <c r="H343" s="87"/>
    </row>
    <row r="344" ht="15.75" customHeight="1">
      <c r="A344" s="91" t="str">
        <f>IF('Location Master'!E345="","",'Location Master'!E345)</f>
        <v/>
      </c>
      <c r="B344" s="69" t="str">
        <f>IF(A344="","",'Location Master'!H345)</f>
        <v/>
      </c>
      <c r="C344" s="77" t="str">
        <f>IF(A344="","",'Location Master'!I345)</f>
        <v/>
      </c>
      <c r="D344" s="77" t="str">
        <f>IF(A344="","",'Location Master'!A345)</f>
        <v/>
      </c>
      <c r="E344" s="77" t="str">
        <f>IF(A344="","",'Location Master'!B345)</f>
        <v/>
      </c>
      <c r="F344" s="77" t="str">
        <f>IF(A344="","",'Location Master'!C345)</f>
        <v/>
      </c>
      <c r="G344" s="77" t="str">
        <f>IF(A344="","",'Location Master'!D345)</f>
        <v/>
      </c>
      <c r="H344" s="77"/>
    </row>
    <row r="345" ht="15.75" customHeight="1">
      <c r="A345" s="83" t="str">
        <f>IF('Location Master'!E346="","",'Location Master'!E346)</f>
        <v/>
      </c>
      <c r="B345" s="85" t="str">
        <f>IF(A345="","",'Location Master'!H346)</f>
        <v/>
      </c>
      <c r="C345" s="87" t="str">
        <f>IF(A345="","",'Location Master'!I346)</f>
        <v/>
      </c>
      <c r="D345" s="87" t="str">
        <f>IF(A345="","",'Location Master'!A346)</f>
        <v/>
      </c>
      <c r="E345" s="87" t="str">
        <f>IF(A345="","",'Location Master'!B346)</f>
        <v/>
      </c>
      <c r="F345" s="87" t="str">
        <f>IF(A345="","",'Location Master'!C346)</f>
        <v/>
      </c>
      <c r="G345" s="87" t="str">
        <f>IF(A345="","",'Location Master'!D346)</f>
        <v/>
      </c>
      <c r="H345" s="87"/>
    </row>
    <row r="346" ht="15.75" customHeight="1">
      <c r="A346" s="91" t="str">
        <f>IF('Location Master'!E347="","",'Location Master'!E347)</f>
        <v/>
      </c>
      <c r="B346" s="69" t="str">
        <f>IF(A346="","",'Location Master'!H347)</f>
        <v/>
      </c>
      <c r="C346" s="77" t="str">
        <f>IF(A346="","",'Location Master'!I347)</f>
        <v/>
      </c>
      <c r="D346" s="77" t="str">
        <f>IF(A346="","",'Location Master'!A347)</f>
        <v/>
      </c>
      <c r="E346" s="77" t="str">
        <f>IF(A346="","",'Location Master'!B347)</f>
        <v/>
      </c>
      <c r="F346" s="77" t="str">
        <f>IF(A346="","",'Location Master'!C347)</f>
        <v/>
      </c>
      <c r="G346" s="77" t="str">
        <f>IF(A346="","",'Location Master'!D347)</f>
        <v/>
      </c>
      <c r="H346" s="77"/>
    </row>
    <row r="347" ht="15.75" customHeight="1">
      <c r="A347" s="83" t="str">
        <f>IF('Location Master'!E348="","",'Location Master'!E348)</f>
        <v/>
      </c>
      <c r="B347" s="85" t="str">
        <f>IF(A347="","",'Location Master'!H348)</f>
        <v/>
      </c>
      <c r="C347" s="87" t="str">
        <f>IF(A347="","",'Location Master'!I348)</f>
        <v/>
      </c>
      <c r="D347" s="87" t="str">
        <f>IF(A347="","",'Location Master'!A348)</f>
        <v/>
      </c>
      <c r="E347" s="87" t="str">
        <f>IF(A347="","",'Location Master'!B348)</f>
        <v/>
      </c>
      <c r="F347" s="87" t="str">
        <f>IF(A347="","",'Location Master'!C348)</f>
        <v/>
      </c>
      <c r="G347" s="87" t="str">
        <f>IF(A347="","",'Location Master'!D348)</f>
        <v/>
      </c>
      <c r="H347" s="87"/>
    </row>
    <row r="348" ht="15.75" customHeight="1">
      <c r="A348" s="91" t="str">
        <f>IF('Location Master'!E349="","",'Location Master'!E349)</f>
        <v/>
      </c>
      <c r="B348" s="69" t="str">
        <f>IF(A348="","",'Location Master'!H349)</f>
        <v/>
      </c>
      <c r="C348" s="77" t="str">
        <f>IF(A348="","",'Location Master'!I349)</f>
        <v/>
      </c>
      <c r="D348" s="77" t="str">
        <f>IF(A348="","",'Location Master'!A349)</f>
        <v/>
      </c>
      <c r="E348" s="77" t="str">
        <f>IF(A348="","",'Location Master'!B349)</f>
        <v/>
      </c>
      <c r="F348" s="77" t="str">
        <f>IF(A348="","",'Location Master'!C349)</f>
        <v/>
      </c>
      <c r="G348" s="77" t="str">
        <f>IF(A348="","",'Location Master'!D349)</f>
        <v/>
      </c>
      <c r="H348" s="77"/>
    </row>
    <row r="349" ht="15.75" customHeight="1">
      <c r="A349" s="83" t="str">
        <f>IF('Location Master'!E350="","",'Location Master'!E350)</f>
        <v/>
      </c>
      <c r="B349" s="85" t="str">
        <f>IF(A349="","",'Location Master'!H350)</f>
        <v/>
      </c>
      <c r="C349" s="87" t="str">
        <f>IF(A349="","",'Location Master'!I350)</f>
        <v/>
      </c>
      <c r="D349" s="87" t="str">
        <f>IF(A349="","",'Location Master'!A350)</f>
        <v/>
      </c>
      <c r="E349" s="87" t="str">
        <f>IF(A349="","",'Location Master'!B350)</f>
        <v/>
      </c>
      <c r="F349" s="87" t="str">
        <f>IF(A349="","",'Location Master'!C350)</f>
        <v/>
      </c>
      <c r="G349" s="87" t="str">
        <f>IF(A349="","",'Location Master'!D350)</f>
        <v/>
      </c>
      <c r="H349" s="87"/>
    </row>
    <row r="350" ht="15.75" customHeight="1">
      <c r="A350" s="91" t="str">
        <f>IF('Location Master'!E351="","",'Location Master'!E351)</f>
        <v/>
      </c>
      <c r="B350" s="69" t="str">
        <f>IF(A350="","",'Location Master'!H351)</f>
        <v/>
      </c>
      <c r="C350" s="77" t="str">
        <f>IF(A350="","",'Location Master'!I351)</f>
        <v/>
      </c>
      <c r="D350" s="77" t="str">
        <f>IF(A350="","",'Location Master'!A351)</f>
        <v/>
      </c>
      <c r="E350" s="77" t="str">
        <f>IF(A350="","",'Location Master'!B351)</f>
        <v/>
      </c>
      <c r="F350" s="77" t="str">
        <f>IF(A350="","",'Location Master'!C351)</f>
        <v/>
      </c>
      <c r="G350" s="77" t="str">
        <f>IF(A350="","",'Location Master'!D351)</f>
        <v/>
      </c>
      <c r="H350" s="77"/>
    </row>
    <row r="351" ht="15.75" customHeight="1">
      <c r="A351" s="83" t="str">
        <f>IF('Location Master'!E352="","",'Location Master'!E352)</f>
        <v/>
      </c>
      <c r="B351" s="85" t="str">
        <f>IF(A351="","",'Location Master'!H352)</f>
        <v/>
      </c>
      <c r="C351" s="87" t="str">
        <f>IF(A351="","",'Location Master'!I352)</f>
        <v/>
      </c>
      <c r="D351" s="87" t="str">
        <f>IF(A351="","",'Location Master'!A352)</f>
        <v/>
      </c>
      <c r="E351" s="87" t="str">
        <f>IF(A351="","",'Location Master'!B352)</f>
        <v/>
      </c>
      <c r="F351" s="87" t="str">
        <f>IF(A351="","",'Location Master'!C352)</f>
        <v/>
      </c>
      <c r="G351" s="87" t="str">
        <f>IF(A351="","",'Location Master'!D352)</f>
        <v/>
      </c>
      <c r="H351" s="87"/>
    </row>
    <row r="352" ht="15.75" customHeight="1">
      <c r="A352" s="91" t="str">
        <f>IF('Location Master'!E353="","",'Location Master'!E353)</f>
        <v/>
      </c>
      <c r="B352" s="69" t="str">
        <f>IF(A352="","",'Location Master'!H353)</f>
        <v/>
      </c>
      <c r="C352" s="77" t="str">
        <f>IF(A352="","",'Location Master'!I353)</f>
        <v/>
      </c>
      <c r="D352" s="77" t="str">
        <f>IF(A352="","",'Location Master'!A353)</f>
        <v/>
      </c>
      <c r="E352" s="77" t="str">
        <f>IF(A352="","",'Location Master'!B353)</f>
        <v/>
      </c>
      <c r="F352" s="77" t="str">
        <f>IF(A352="","",'Location Master'!C353)</f>
        <v/>
      </c>
      <c r="G352" s="77" t="str">
        <f>IF(A352="","",'Location Master'!D353)</f>
        <v/>
      </c>
      <c r="H352" s="77"/>
    </row>
    <row r="353" ht="15.75" customHeight="1">
      <c r="A353" s="83" t="str">
        <f>IF('Location Master'!E354="","",'Location Master'!E354)</f>
        <v/>
      </c>
      <c r="B353" s="85" t="str">
        <f>IF(A353="","",'Location Master'!H354)</f>
        <v/>
      </c>
      <c r="C353" s="87" t="str">
        <f>IF(A353="","",'Location Master'!I354)</f>
        <v/>
      </c>
      <c r="D353" s="87" t="str">
        <f>IF(A353="","",'Location Master'!A354)</f>
        <v/>
      </c>
      <c r="E353" s="87" t="str">
        <f>IF(A353="","",'Location Master'!B354)</f>
        <v/>
      </c>
      <c r="F353" s="87" t="str">
        <f>IF(A353="","",'Location Master'!C354)</f>
        <v/>
      </c>
      <c r="G353" s="87" t="str">
        <f>IF(A353="","",'Location Master'!D354)</f>
        <v/>
      </c>
      <c r="H353" s="87"/>
    </row>
    <row r="354" ht="15.75" customHeight="1">
      <c r="A354" s="91" t="str">
        <f>IF('Location Master'!E355="","",'Location Master'!E355)</f>
        <v/>
      </c>
      <c r="B354" s="69" t="str">
        <f>IF(A354="","",'Location Master'!H355)</f>
        <v/>
      </c>
      <c r="C354" s="77" t="str">
        <f>IF(A354="","",'Location Master'!I355)</f>
        <v/>
      </c>
      <c r="D354" s="77" t="str">
        <f>IF(A354="","",'Location Master'!A355)</f>
        <v/>
      </c>
      <c r="E354" s="77" t="str">
        <f>IF(A354="","",'Location Master'!B355)</f>
        <v/>
      </c>
      <c r="F354" s="77" t="str">
        <f>IF(A354="","",'Location Master'!C355)</f>
        <v/>
      </c>
      <c r="G354" s="77" t="str">
        <f>IF(A354="","",'Location Master'!D355)</f>
        <v/>
      </c>
      <c r="H354" s="77"/>
    </row>
    <row r="355" ht="15.75" customHeight="1">
      <c r="A355" s="83" t="str">
        <f>IF('Location Master'!E356="","",'Location Master'!E356)</f>
        <v/>
      </c>
      <c r="B355" s="85" t="str">
        <f>IF(A355="","",'Location Master'!H356)</f>
        <v/>
      </c>
      <c r="C355" s="87" t="str">
        <f>IF(A355="","",'Location Master'!I356)</f>
        <v/>
      </c>
      <c r="D355" s="87" t="str">
        <f>IF(A355="","",'Location Master'!A356)</f>
        <v/>
      </c>
      <c r="E355" s="87" t="str">
        <f>IF(A355="","",'Location Master'!B356)</f>
        <v/>
      </c>
      <c r="F355" s="87" t="str">
        <f>IF(A355="","",'Location Master'!C356)</f>
        <v/>
      </c>
      <c r="G355" s="87" t="str">
        <f>IF(A355="","",'Location Master'!D356)</f>
        <v/>
      </c>
      <c r="H355" s="87"/>
    </row>
    <row r="356" ht="15.75" customHeight="1">
      <c r="A356" s="91" t="str">
        <f>IF('Location Master'!E357="","",'Location Master'!E357)</f>
        <v/>
      </c>
      <c r="B356" s="69" t="str">
        <f>IF(A356="","",'Location Master'!H357)</f>
        <v/>
      </c>
      <c r="C356" s="77" t="str">
        <f>IF(A356="","",'Location Master'!I357)</f>
        <v/>
      </c>
      <c r="D356" s="77" t="str">
        <f>IF(A356="","",'Location Master'!A357)</f>
        <v/>
      </c>
      <c r="E356" s="77" t="str">
        <f>IF(A356="","",'Location Master'!B357)</f>
        <v/>
      </c>
      <c r="F356" s="77" t="str">
        <f>IF(A356="","",'Location Master'!C357)</f>
        <v/>
      </c>
      <c r="G356" s="77" t="str">
        <f>IF(A356="","",'Location Master'!D357)</f>
        <v/>
      </c>
      <c r="H356" s="77"/>
    </row>
    <row r="357" ht="15.75" customHeight="1">
      <c r="A357" s="83" t="str">
        <f>IF('Location Master'!E358="","",'Location Master'!E358)</f>
        <v/>
      </c>
      <c r="B357" s="85" t="str">
        <f>IF(A357="","",'Location Master'!H358)</f>
        <v/>
      </c>
      <c r="C357" s="87" t="str">
        <f>IF(A357="","",'Location Master'!I358)</f>
        <v/>
      </c>
      <c r="D357" s="87" t="str">
        <f>IF(A357="","",'Location Master'!A358)</f>
        <v/>
      </c>
      <c r="E357" s="87" t="str">
        <f>IF(A357="","",'Location Master'!B358)</f>
        <v/>
      </c>
      <c r="F357" s="87" t="str">
        <f>IF(A357="","",'Location Master'!C358)</f>
        <v/>
      </c>
      <c r="G357" s="87" t="str">
        <f>IF(A357="","",'Location Master'!D358)</f>
        <v/>
      </c>
      <c r="H357" s="87"/>
    </row>
    <row r="358" ht="15.75" customHeight="1">
      <c r="A358" s="91" t="str">
        <f>IF('Location Master'!E359="","",'Location Master'!E359)</f>
        <v/>
      </c>
      <c r="B358" s="69" t="str">
        <f>IF(A358="","",'Location Master'!H359)</f>
        <v/>
      </c>
      <c r="C358" s="77" t="str">
        <f>IF(A358="","",'Location Master'!I359)</f>
        <v/>
      </c>
      <c r="D358" s="77" t="str">
        <f>IF(A358="","",'Location Master'!A359)</f>
        <v/>
      </c>
      <c r="E358" s="77" t="str">
        <f>IF(A358="","",'Location Master'!B359)</f>
        <v/>
      </c>
      <c r="F358" s="77" t="str">
        <f>IF(A358="","",'Location Master'!C359)</f>
        <v/>
      </c>
      <c r="G358" s="77" t="str">
        <f>IF(A358="","",'Location Master'!D359)</f>
        <v/>
      </c>
      <c r="H358" s="77"/>
    </row>
    <row r="359" ht="15.75" customHeight="1">
      <c r="A359" s="83" t="str">
        <f>IF('Location Master'!E360="","",'Location Master'!E360)</f>
        <v/>
      </c>
      <c r="B359" s="85" t="str">
        <f>IF(A359="","",'Location Master'!H360)</f>
        <v/>
      </c>
      <c r="C359" s="87" t="str">
        <f>IF(A359="","",'Location Master'!I360)</f>
        <v/>
      </c>
      <c r="D359" s="87" t="str">
        <f>IF(A359="","",'Location Master'!A360)</f>
        <v/>
      </c>
      <c r="E359" s="87" t="str">
        <f>IF(A359="","",'Location Master'!B360)</f>
        <v/>
      </c>
      <c r="F359" s="87" t="str">
        <f>IF(A359="","",'Location Master'!C360)</f>
        <v/>
      </c>
      <c r="G359" s="87" t="str">
        <f>IF(A359="","",'Location Master'!D360)</f>
        <v/>
      </c>
      <c r="H359" s="87"/>
    </row>
    <row r="360" ht="15.75" customHeight="1">
      <c r="A360" s="91" t="str">
        <f>IF('Location Master'!E361="","",'Location Master'!E361)</f>
        <v/>
      </c>
      <c r="B360" s="69" t="str">
        <f>IF(A360="","",'Location Master'!H361)</f>
        <v/>
      </c>
      <c r="C360" s="77" t="str">
        <f>IF(A360="","",'Location Master'!I361)</f>
        <v/>
      </c>
      <c r="D360" s="77" t="str">
        <f>IF(A360="","",'Location Master'!A361)</f>
        <v/>
      </c>
      <c r="E360" s="77" t="str">
        <f>IF(A360="","",'Location Master'!B361)</f>
        <v/>
      </c>
      <c r="F360" s="77" t="str">
        <f>IF(A360="","",'Location Master'!C361)</f>
        <v/>
      </c>
      <c r="G360" s="77" t="str">
        <f>IF(A360="","",'Location Master'!D361)</f>
        <v/>
      </c>
      <c r="H360" s="77"/>
    </row>
    <row r="361" ht="15.75" customHeight="1">
      <c r="A361" s="83" t="str">
        <f>IF('Location Master'!E362="","",'Location Master'!E362)</f>
        <v/>
      </c>
      <c r="B361" s="85" t="str">
        <f>IF(A361="","",'Location Master'!H362)</f>
        <v/>
      </c>
      <c r="C361" s="87" t="str">
        <f>IF(A361="","",'Location Master'!I362)</f>
        <v/>
      </c>
      <c r="D361" s="87" t="str">
        <f>IF(A361="","",'Location Master'!A362)</f>
        <v/>
      </c>
      <c r="E361" s="87" t="str">
        <f>IF(A361="","",'Location Master'!B362)</f>
        <v/>
      </c>
      <c r="F361" s="87" t="str">
        <f>IF(A361="","",'Location Master'!C362)</f>
        <v/>
      </c>
      <c r="G361" s="87" t="str">
        <f>IF(A361="","",'Location Master'!D362)</f>
        <v/>
      </c>
      <c r="H361" s="87"/>
    </row>
    <row r="362" ht="15.75" customHeight="1">
      <c r="A362" s="91" t="str">
        <f>IF('Location Master'!E363="","",'Location Master'!E363)</f>
        <v/>
      </c>
      <c r="B362" s="69" t="str">
        <f>IF(A362="","",'Location Master'!H363)</f>
        <v/>
      </c>
      <c r="C362" s="77" t="str">
        <f>IF(A362="","",'Location Master'!I363)</f>
        <v/>
      </c>
      <c r="D362" s="77" t="str">
        <f>IF(A362="","",'Location Master'!A363)</f>
        <v/>
      </c>
      <c r="E362" s="77" t="str">
        <f>IF(A362="","",'Location Master'!B363)</f>
        <v/>
      </c>
      <c r="F362" s="77" t="str">
        <f>IF(A362="","",'Location Master'!C363)</f>
        <v/>
      </c>
      <c r="G362" s="77" t="str">
        <f>IF(A362="","",'Location Master'!D363)</f>
        <v/>
      </c>
      <c r="H362" s="77"/>
    </row>
    <row r="363" ht="15.75" customHeight="1">
      <c r="A363" s="83" t="str">
        <f>IF('Location Master'!E364="","",'Location Master'!E364)</f>
        <v/>
      </c>
      <c r="B363" s="85" t="str">
        <f>IF(A363="","",'Location Master'!H364)</f>
        <v/>
      </c>
      <c r="C363" s="87" t="str">
        <f>IF(A363="","",'Location Master'!I364)</f>
        <v/>
      </c>
      <c r="D363" s="87" t="str">
        <f>IF(A363="","",'Location Master'!A364)</f>
        <v/>
      </c>
      <c r="E363" s="87" t="str">
        <f>IF(A363="","",'Location Master'!B364)</f>
        <v/>
      </c>
      <c r="F363" s="87" t="str">
        <f>IF(A363="","",'Location Master'!C364)</f>
        <v/>
      </c>
      <c r="G363" s="87" t="str">
        <f>IF(A363="","",'Location Master'!D364)</f>
        <v/>
      </c>
      <c r="H363" s="87"/>
    </row>
    <row r="364" ht="15.75" customHeight="1">
      <c r="A364" s="91" t="str">
        <f>IF('Location Master'!E365="","",'Location Master'!E365)</f>
        <v/>
      </c>
      <c r="B364" s="69" t="str">
        <f>IF(A364="","",'Location Master'!H365)</f>
        <v/>
      </c>
      <c r="C364" s="77" t="str">
        <f>IF(A364="","",'Location Master'!I365)</f>
        <v/>
      </c>
      <c r="D364" s="77" t="str">
        <f>IF(A364="","",'Location Master'!A365)</f>
        <v/>
      </c>
      <c r="E364" s="77" t="str">
        <f>IF(A364="","",'Location Master'!B365)</f>
        <v/>
      </c>
      <c r="F364" s="77" t="str">
        <f>IF(A364="","",'Location Master'!C365)</f>
        <v/>
      </c>
      <c r="G364" s="77" t="str">
        <f>IF(A364="","",'Location Master'!D365)</f>
        <v/>
      </c>
      <c r="H364" s="77"/>
    </row>
    <row r="365" ht="15.75" customHeight="1">
      <c r="A365" s="83" t="str">
        <f>IF('Location Master'!E366="","",'Location Master'!E366)</f>
        <v/>
      </c>
      <c r="B365" s="85" t="str">
        <f>IF(A365="","",'Location Master'!H366)</f>
        <v/>
      </c>
      <c r="C365" s="87" t="str">
        <f>IF(A365="","",'Location Master'!I366)</f>
        <v/>
      </c>
      <c r="D365" s="87" t="str">
        <f>IF(A365="","",'Location Master'!A366)</f>
        <v/>
      </c>
      <c r="E365" s="87" t="str">
        <f>IF(A365="","",'Location Master'!B366)</f>
        <v/>
      </c>
      <c r="F365" s="87" t="str">
        <f>IF(A365="","",'Location Master'!C366)</f>
        <v/>
      </c>
      <c r="G365" s="87" t="str">
        <f>IF(A365="","",'Location Master'!D366)</f>
        <v/>
      </c>
      <c r="H365" s="87"/>
    </row>
    <row r="366" ht="15.75" customHeight="1">
      <c r="A366" s="91" t="str">
        <f>IF('Location Master'!E367="","",'Location Master'!E367)</f>
        <v/>
      </c>
      <c r="B366" s="69" t="str">
        <f>IF(A366="","",'Location Master'!H367)</f>
        <v/>
      </c>
      <c r="C366" s="77" t="str">
        <f>IF(A366="","",'Location Master'!I367)</f>
        <v/>
      </c>
      <c r="D366" s="77" t="str">
        <f>IF(A366="","",'Location Master'!A367)</f>
        <v/>
      </c>
      <c r="E366" s="77" t="str">
        <f>IF(A366="","",'Location Master'!B367)</f>
        <v/>
      </c>
      <c r="F366" s="77" t="str">
        <f>IF(A366="","",'Location Master'!C367)</f>
        <v/>
      </c>
      <c r="G366" s="77" t="str">
        <f>IF(A366="","",'Location Master'!D367)</f>
        <v/>
      </c>
      <c r="H366" s="77"/>
    </row>
    <row r="367" ht="15.75" customHeight="1">
      <c r="A367" s="83" t="str">
        <f>IF('Location Master'!E368="","",'Location Master'!E368)</f>
        <v/>
      </c>
      <c r="B367" s="85" t="str">
        <f>IF(A367="","",'Location Master'!H368)</f>
        <v/>
      </c>
      <c r="C367" s="87" t="str">
        <f>IF(A367="","",'Location Master'!I368)</f>
        <v/>
      </c>
      <c r="D367" s="87" t="str">
        <f>IF(A367="","",'Location Master'!A368)</f>
        <v/>
      </c>
      <c r="E367" s="87" t="str">
        <f>IF(A367="","",'Location Master'!B368)</f>
        <v/>
      </c>
      <c r="F367" s="87" t="str">
        <f>IF(A367="","",'Location Master'!C368)</f>
        <v/>
      </c>
      <c r="G367" s="87" t="str">
        <f>IF(A367="","",'Location Master'!D368)</f>
        <v/>
      </c>
      <c r="H367" s="87"/>
    </row>
    <row r="368" ht="15.75" customHeight="1">
      <c r="A368" s="91" t="str">
        <f>IF('Location Master'!E369="","",'Location Master'!E369)</f>
        <v/>
      </c>
      <c r="B368" s="69" t="str">
        <f>IF(A368="","",'Location Master'!H369)</f>
        <v/>
      </c>
      <c r="C368" s="77" t="str">
        <f>IF(A368="","",'Location Master'!I369)</f>
        <v/>
      </c>
      <c r="D368" s="77" t="str">
        <f>IF(A368="","",'Location Master'!A369)</f>
        <v/>
      </c>
      <c r="E368" s="77" t="str">
        <f>IF(A368="","",'Location Master'!B369)</f>
        <v/>
      </c>
      <c r="F368" s="77" t="str">
        <f>IF(A368="","",'Location Master'!C369)</f>
        <v/>
      </c>
      <c r="G368" s="77" t="str">
        <f>IF(A368="","",'Location Master'!D369)</f>
        <v/>
      </c>
      <c r="H368" s="77"/>
    </row>
    <row r="369" ht="15.75" customHeight="1">
      <c r="A369" s="83" t="str">
        <f>IF('Location Master'!E370="","",'Location Master'!E370)</f>
        <v/>
      </c>
      <c r="B369" s="85" t="str">
        <f>IF(A369="","",'Location Master'!H370)</f>
        <v/>
      </c>
      <c r="C369" s="87" t="str">
        <f>IF(A369="","",'Location Master'!I370)</f>
        <v/>
      </c>
      <c r="D369" s="87" t="str">
        <f>IF(A369="","",'Location Master'!A370)</f>
        <v/>
      </c>
      <c r="E369" s="87" t="str">
        <f>IF(A369="","",'Location Master'!B370)</f>
        <v/>
      </c>
      <c r="F369" s="87" t="str">
        <f>IF(A369="","",'Location Master'!C370)</f>
        <v/>
      </c>
      <c r="G369" s="87" t="str">
        <f>IF(A369="","",'Location Master'!D370)</f>
        <v/>
      </c>
      <c r="H369" s="87"/>
    </row>
    <row r="370" ht="15.75" customHeight="1">
      <c r="A370" s="91" t="str">
        <f>IF('Location Master'!E371="","",'Location Master'!E371)</f>
        <v/>
      </c>
      <c r="B370" s="69" t="str">
        <f>IF(A370="","",'Location Master'!H371)</f>
        <v/>
      </c>
      <c r="C370" s="77" t="str">
        <f>IF(A370="","",'Location Master'!I371)</f>
        <v/>
      </c>
      <c r="D370" s="77" t="str">
        <f>IF(A370="","",'Location Master'!A371)</f>
        <v/>
      </c>
      <c r="E370" s="77" t="str">
        <f>IF(A370="","",'Location Master'!B371)</f>
        <v/>
      </c>
      <c r="F370" s="77" t="str">
        <f>IF(A370="","",'Location Master'!C371)</f>
        <v/>
      </c>
      <c r="G370" s="77" t="str">
        <f>IF(A370="","",'Location Master'!D371)</f>
        <v/>
      </c>
      <c r="H370" s="77"/>
    </row>
    <row r="371" ht="15.75" customHeight="1">
      <c r="A371" s="83" t="str">
        <f>IF('Location Master'!E372="","",'Location Master'!E372)</f>
        <v/>
      </c>
      <c r="B371" s="85" t="str">
        <f>IF(A371="","",'Location Master'!H372)</f>
        <v/>
      </c>
      <c r="C371" s="87" t="str">
        <f>IF(A371="","",'Location Master'!I372)</f>
        <v/>
      </c>
      <c r="D371" s="87" t="str">
        <f>IF(A371="","",'Location Master'!A372)</f>
        <v/>
      </c>
      <c r="E371" s="87" t="str">
        <f>IF(A371="","",'Location Master'!B372)</f>
        <v/>
      </c>
      <c r="F371" s="87" t="str">
        <f>IF(A371="","",'Location Master'!C372)</f>
        <v/>
      </c>
      <c r="G371" s="87" t="str">
        <f>IF(A371="","",'Location Master'!D372)</f>
        <v/>
      </c>
      <c r="H371" s="87"/>
    </row>
    <row r="372" ht="15.75" customHeight="1">
      <c r="A372" s="91" t="str">
        <f>IF('Location Master'!E373="","",'Location Master'!E373)</f>
        <v/>
      </c>
      <c r="B372" s="69" t="str">
        <f>IF(A372="","",'Location Master'!H373)</f>
        <v/>
      </c>
      <c r="C372" s="77" t="str">
        <f>IF(A372="","",'Location Master'!I373)</f>
        <v/>
      </c>
      <c r="D372" s="77" t="str">
        <f>IF(A372="","",'Location Master'!A373)</f>
        <v/>
      </c>
      <c r="E372" s="77" t="str">
        <f>IF(A372="","",'Location Master'!B373)</f>
        <v/>
      </c>
      <c r="F372" s="77" t="str">
        <f>IF(A372="","",'Location Master'!C373)</f>
        <v/>
      </c>
      <c r="G372" s="77" t="str">
        <f>IF(A372="","",'Location Master'!D373)</f>
        <v/>
      </c>
      <c r="H372" s="77"/>
    </row>
    <row r="373" ht="15.75" customHeight="1">
      <c r="A373" s="83" t="str">
        <f>IF('Location Master'!E374="","",'Location Master'!E374)</f>
        <v/>
      </c>
      <c r="B373" s="85" t="str">
        <f>IF(A373="","",'Location Master'!H374)</f>
        <v/>
      </c>
      <c r="C373" s="87" t="str">
        <f>IF(A373="","",'Location Master'!I374)</f>
        <v/>
      </c>
      <c r="D373" s="87" t="str">
        <f>IF(A373="","",'Location Master'!A374)</f>
        <v/>
      </c>
      <c r="E373" s="87" t="str">
        <f>IF(A373="","",'Location Master'!B374)</f>
        <v/>
      </c>
      <c r="F373" s="87" t="str">
        <f>IF(A373="","",'Location Master'!C374)</f>
        <v/>
      </c>
      <c r="G373" s="87" t="str">
        <f>IF(A373="","",'Location Master'!D374)</f>
        <v/>
      </c>
      <c r="H373" s="87"/>
    </row>
    <row r="374" ht="15.75" customHeight="1">
      <c r="A374" s="91" t="str">
        <f>IF('Location Master'!E375="","",'Location Master'!E375)</f>
        <v/>
      </c>
      <c r="B374" s="69" t="str">
        <f>IF(A374="","",'Location Master'!H375)</f>
        <v/>
      </c>
      <c r="C374" s="77" t="str">
        <f>IF(A374="","",'Location Master'!I375)</f>
        <v/>
      </c>
      <c r="D374" s="77" t="str">
        <f>IF(A374="","",'Location Master'!A375)</f>
        <v/>
      </c>
      <c r="E374" s="77" t="str">
        <f>IF(A374="","",'Location Master'!B375)</f>
        <v/>
      </c>
      <c r="F374" s="77" t="str">
        <f>IF(A374="","",'Location Master'!C375)</f>
        <v/>
      </c>
      <c r="G374" s="77" t="str">
        <f>IF(A374="","",'Location Master'!D375)</f>
        <v/>
      </c>
      <c r="H374" s="77"/>
    </row>
    <row r="375" ht="15.75" customHeight="1">
      <c r="A375" s="83" t="str">
        <f>IF('Location Master'!E376="","",'Location Master'!E376)</f>
        <v/>
      </c>
      <c r="B375" s="85" t="str">
        <f>IF(A375="","",'Location Master'!H376)</f>
        <v/>
      </c>
      <c r="C375" s="87" t="str">
        <f>IF(A375="","",'Location Master'!I376)</f>
        <v/>
      </c>
      <c r="D375" s="87" t="str">
        <f>IF(A375="","",'Location Master'!A376)</f>
        <v/>
      </c>
      <c r="E375" s="87" t="str">
        <f>IF(A375="","",'Location Master'!B376)</f>
        <v/>
      </c>
      <c r="F375" s="87" t="str">
        <f>IF(A375="","",'Location Master'!C376)</f>
        <v/>
      </c>
      <c r="G375" s="87" t="str">
        <f>IF(A375="","",'Location Master'!D376)</f>
        <v/>
      </c>
      <c r="H375" s="87"/>
    </row>
    <row r="376" ht="15.75" customHeight="1">
      <c r="A376" s="91" t="str">
        <f>IF('Location Master'!E377="","",'Location Master'!E377)</f>
        <v/>
      </c>
      <c r="B376" s="69" t="str">
        <f>IF(A376="","",'Location Master'!H377)</f>
        <v/>
      </c>
      <c r="C376" s="77" t="str">
        <f>IF(A376="","",'Location Master'!I377)</f>
        <v/>
      </c>
      <c r="D376" s="77" t="str">
        <f>IF(A376="","",'Location Master'!A377)</f>
        <v/>
      </c>
      <c r="E376" s="77" t="str">
        <f>IF(A376="","",'Location Master'!B377)</f>
        <v/>
      </c>
      <c r="F376" s="77" t="str">
        <f>IF(A376="","",'Location Master'!C377)</f>
        <v/>
      </c>
      <c r="G376" s="77" t="str">
        <f>IF(A376="","",'Location Master'!D377)</f>
        <v/>
      </c>
      <c r="H376" s="77"/>
    </row>
    <row r="377" ht="15.75" customHeight="1">
      <c r="A377" s="83" t="str">
        <f>IF('Location Master'!E378="","",'Location Master'!E378)</f>
        <v/>
      </c>
      <c r="B377" s="85" t="str">
        <f>IF(A377="","",'Location Master'!H378)</f>
        <v/>
      </c>
      <c r="C377" s="87" t="str">
        <f>IF(A377="","",'Location Master'!I378)</f>
        <v/>
      </c>
      <c r="D377" s="87" t="str">
        <f>IF(A377="","",'Location Master'!A378)</f>
        <v/>
      </c>
      <c r="E377" s="87" t="str">
        <f>IF(A377="","",'Location Master'!B378)</f>
        <v/>
      </c>
      <c r="F377" s="87" t="str">
        <f>IF(A377="","",'Location Master'!C378)</f>
        <v/>
      </c>
      <c r="G377" s="87" t="str">
        <f>IF(A377="","",'Location Master'!D378)</f>
        <v/>
      </c>
      <c r="H377" s="87"/>
    </row>
    <row r="378" ht="15.75" customHeight="1">
      <c r="A378" s="91" t="str">
        <f>IF('Location Master'!E379="","",'Location Master'!E379)</f>
        <v/>
      </c>
      <c r="B378" s="69" t="str">
        <f>IF(A378="","",'Location Master'!H379)</f>
        <v/>
      </c>
      <c r="C378" s="77" t="str">
        <f>IF(A378="","",'Location Master'!I379)</f>
        <v/>
      </c>
      <c r="D378" s="77" t="str">
        <f>IF(A378="","",'Location Master'!A379)</f>
        <v/>
      </c>
      <c r="E378" s="77" t="str">
        <f>IF(A378="","",'Location Master'!B379)</f>
        <v/>
      </c>
      <c r="F378" s="77" t="str">
        <f>IF(A378="","",'Location Master'!C379)</f>
        <v/>
      </c>
      <c r="G378" s="77" t="str">
        <f>IF(A378="","",'Location Master'!D379)</f>
        <v/>
      </c>
      <c r="H378" s="77"/>
    </row>
    <row r="379" ht="15.75" customHeight="1">
      <c r="A379" s="83" t="str">
        <f>IF('Location Master'!E380="","",'Location Master'!E380)</f>
        <v/>
      </c>
      <c r="B379" s="85" t="str">
        <f>IF(A379="","",'Location Master'!H380)</f>
        <v/>
      </c>
      <c r="C379" s="87" t="str">
        <f>IF(A379="","",'Location Master'!I380)</f>
        <v/>
      </c>
      <c r="D379" s="87" t="str">
        <f>IF(A379="","",'Location Master'!A380)</f>
        <v/>
      </c>
      <c r="E379" s="87" t="str">
        <f>IF(A379="","",'Location Master'!B380)</f>
        <v/>
      </c>
      <c r="F379" s="87" t="str">
        <f>IF(A379="","",'Location Master'!C380)</f>
        <v/>
      </c>
      <c r="G379" s="87" t="str">
        <f>IF(A379="","",'Location Master'!D380)</f>
        <v/>
      </c>
      <c r="H379" s="87"/>
    </row>
    <row r="380" ht="15.75" customHeight="1">
      <c r="A380" s="91" t="str">
        <f>IF('Location Master'!E381="","",'Location Master'!E381)</f>
        <v/>
      </c>
      <c r="B380" s="69" t="str">
        <f>IF(A380="","",'Location Master'!H381)</f>
        <v/>
      </c>
      <c r="C380" s="77" t="str">
        <f>IF(A380="","",'Location Master'!I381)</f>
        <v/>
      </c>
      <c r="D380" s="77" t="str">
        <f>IF(A380="","",'Location Master'!A381)</f>
        <v/>
      </c>
      <c r="E380" s="77" t="str">
        <f>IF(A380="","",'Location Master'!B381)</f>
        <v/>
      </c>
      <c r="F380" s="77" t="str">
        <f>IF(A380="","",'Location Master'!C381)</f>
        <v/>
      </c>
      <c r="G380" s="77" t="str">
        <f>IF(A380="","",'Location Master'!D381)</f>
        <v/>
      </c>
      <c r="H380" s="77"/>
    </row>
    <row r="381" ht="15.75" customHeight="1">
      <c r="A381" s="83" t="str">
        <f>IF('Location Master'!E382="","",'Location Master'!E382)</f>
        <v/>
      </c>
      <c r="B381" s="85" t="str">
        <f>IF(A381="","",'Location Master'!H382)</f>
        <v/>
      </c>
      <c r="C381" s="87" t="str">
        <f>IF(A381="","",'Location Master'!I382)</f>
        <v/>
      </c>
      <c r="D381" s="87" t="str">
        <f>IF(A381="","",'Location Master'!A382)</f>
        <v/>
      </c>
      <c r="E381" s="87" t="str">
        <f>IF(A381="","",'Location Master'!B382)</f>
        <v/>
      </c>
      <c r="F381" s="87" t="str">
        <f>IF(A381="","",'Location Master'!C382)</f>
        <v/>
      </c>
      <c r="G381" s="87" t="str">
        <f>IF(A381="","",'Location Master'!D382)</f>
        <v/>
      </c>
      <c r="H381" s="87"/>
    </row>
    <row r="382" ht="15.75" customHeight="1">
      <c r="A382" s="91" t="str">
        <f>IF('Location Master'!E383="","",'Location Master'!E383)</f>
        <v/>
      </c>
      <c r="B382" s="69" t="str">
        <f>IF(A382="","",'Location Master'!H383)</f>
        <v/>
      </c>
      <c r="C382" s="77" t="str">
        <f>IF(A382="","",'Location Master'!I383)</f>
        <v/>
      </c>
      <c r="D382" s="77" t="str">
        <f>IF(A382="","",'Location Master'!A383)</f>
        <v/>
      </c>
      <c r="E382" s="77" t="str">
        <f>IF(A382="","",'Location Master'!B383)</f>
        <v/>
      </c>
      <c r="F382" s="77" t="str">
        <f>IF(A382="","",'Location Master'!C383)</f>
        <v/>
      </c>
      <c r="G382" s="77" t="str">
        <f>IF(A382="","",'Location Master'!D383)</f>
        <v/>
      </c>
      <c r="H382" s="77"/>
    </row>
    <row r="383" ht="15.75" customHeight="1">
      <c r="A383" s="83" t="str">
        <f>IF('Location Master'!E384="","",'Location Master'!E384)</f>
        <v/>
      </c>
      <c r="B383" s="85" t="str">
        <f>IF(A383="","",'Location Master'!H384)</f>
        <v/>
      </c>
      <c r="C383" s="87" t="str">
        <f>IF(A383="","",'Location Master'!I384)</f>
        <v/>
      </c>
      <c r="D383" s="87" t="str">
        <f>IF(A383="","",'Location Master'!A384)</f>
        <v/>
      </c>
      <c r="E383" s="87" t="str">
        <f>IF(A383="","",'Location Master'!B384)</f>
        <v/>
      </c>
      <c r="F383" s="87" t="str">
        <f>IF(A383="","",'Location Master'!C384)</f>
        <v/>
      </c>
      <c r="G383" s="87" t="str">
        <f>IF(A383="","",'Location Master'!D384)</f>
        <v/>
      </c>
      <c r="H383" s="87"/>
    </row>
    <row r="384" ht="15.75" customHeight="1">
      <c r="A384" s="91" t="str">
        <f>IF('Location Master'!E385="","",'Location Master'!E385)</f>
        <v/>
      </c>
      <c r="B384" s="69" t="str">
        <f>IF(A384="","",'Location Master'!H385)</f>
        <v/>
      </c>
      <c r="C384" s="77" t="str">
        <f>IF(A384="","",'Location Master'!I385)</f>
        <v/>
      </c>
      <c r="D384" s="77" t="str">
        <f>IF(A384="","",'Location Master'!A385)</f>
        <v/>
      </c>
      <c r="E384" s="77" t="str">
        <f>IF(A384="","",'Location Master'!B385)</f>
        <v/>
      </c>
      <c r="F384" s="77" t="str">
        <f>IF(A384="","",'Location Master'!C385)</f>
        <v/>
      </c>
      <c r="G384" s="77" t="str">
        <f>IF(A384="","",'Location Master'!D385)</f>
        <v/>
      </c>
      <c r="H384" s="77"/>
    </row>
    <row r="385" ht="15.75" customHeight="1">
      <c r="A385" s="83" t="str">
        <f>IF('Location Master'!E386="","",'Location Master'!E386)</f>
        <v/>
      </c>
      <c r="B385" s="85" t="str">
        <f>IF(A385="","",'Location Master'!H386)</f>
        <v/>
      </c>
      <c r="C385" s="87" t="str">
        <f>IF(A385="","",'Location Master'!I386)</f>
        <v/>
      </c>
      <c r="D385" s="87" t="str">
        <f>IF(A385="","",'Location Master'!A386)</f>
        <v/>
      </c>
      <c r="E385" s="87" t="str">
        <f>IF(A385="","",'Location Master'!B386)</f>
        <v/>
      </c>
      <c r="F385" s="87" t="str">
        <f>IF(A385="","",'Location Master'!C386)</f>
        <v/>
      </c>
      <c r="G385" s="87" t="str">
        <f>IF(A385="","",'Location Master'!D386)</f>
        <v/>
      </c>
      <c r="H385" s="87"/>
    </row>
    <row r="386" ht="15.75" customHeight="1">
      <c r="A386" s="91" t="str">
        <f>IF('Location Master'!E387="","",'Location Master'!E387)</f>
        <v/>
      </c>
      <c r="B386" s="69" t="str">
        <f>IF(A386="","",'Location Master'!H387)</f>
        <v/>
      </c>
      <c r="C386" s="77" t="str">
        <f>IF(A386="","",'Location Master'!I387)</f>
        <v/>
      </c>
      <c r="D386" s="77" t="str">
        <f>IF(A386="","",'Location Master'!A387)</f>
        <v/>
      </c>
      <c r="E386" s="77" t="str">
        <f>IF(A386="","",'Location Master'!B387)</f>
        <v/>
      </c>
      <c r="F386" s="77" t="str">
        <f>IF(A386="","",'Location Master'!C387)</f>
        <v/>
      </c>
      <c r="G386" s="77" t="str">
        <f>IF(A386="","",'Location Master'!D387)</f>
        <v/>
      </c>
      <c r="H386" s="77"/>
    </row>
    <row r="387" ht="15.75" customHeight="1">
      <c r="A387" s="83" t="str">
        <f>IF('Location Master'!E388="","",'Location Master'!E388)</f>
        <v/>
      </c>
      <c r="B387" s="85" t="str">
        <f>IF(A387="","",'Location Master'!H388)</f>
        <v/>
      </c>
      <c r="C387" s="87" t="str">
        <f>IF(A387="","",'Location Master'!I388)</f>
        <v/>
      </c>
      <c r="D387" s="87" t="str">
        <f>IF(A387="","",'Location Master'!A388)</f>
        <v/>
      </c>
      <c r="E387" s="87" t="str">
        <f>IF(A387="","",'Location Master'!B388)</f>
        <v/>
      </c>
      <c r="F387" s="87" t="str">
        <f>IF(A387="","",'Location Master'!C388)</f>
        <v/>
      </c>
      <c r="G387" s="87" t="str">
        <f>IF(A387="","",'Location Master'!D388)</f>
        <v/>
      </c>
      <c r="H387" s="87"/>
    </row>
    <row r="388" ht="15.75" customHeight="1">
      <c r="A388" s="91" t="str">
        <f>IF('Location Master'!E389="","",'Location Master'!E389)</f>
        <v/>
      </c>
      <c r="B388" s="69" t="str">
        <f>IF(A388="","",'Location Master'!H389)</f>
        <v/>
      </c>
      <c r="C388" s="77" t="str">
        <f>IF(A388="","",'Location Master'!I389)</f>
        <v/>
      </c>
      <c r="D388" s="77" t="str">
        <f>IF(A388="","",'Location Master'!A389)</f>
        <v/>
      </c>
      <c r="E388" s="77" t="str">
        <f>IF(A388="","",'Location Master'!B389)</f>
        <v/>
      </c>
      <c r="F388" s="77" t="str">
        <f>IF(A388="","",'Location Master'!C389)</f>
        <v/>
      </c>
      <c r="G388" s="77" t="str">
        <f>IF(A388="","",'Location Master'!D389)</f>
        <v/>
      </c>
      <c r="H388" s="77"/>
    </row>
    <row r="389" ht="15.75" customHeight="1">
      <c r="A389" s="83" t="str">
        <f>IF('Location Master'!E390="","",'Location Master'!E390)</f>
        <v/>
      </c>
      <c r="B389" s="85" t="str">
        <f>IF(A389="","",'Location Master'!H390)</f>
        <v/>
      </c>
      <c r="C389" s="87" t="str">
        <f>IF(A389="","",'Location Master'!I390)</f>
        <v/>
      </c>
      <c r="D389" s="87" t="str">
        <f>IF(A389="","",'Location Master'!A390)</f>
        <v/>
      </c>
      <c r="E389" s="87" t="str">
        <f>IF(A389="","",'Location Master'!B390)</f>
        <v/>
      </c>
      <c r="F389" s="87" t="str">
        <f>IF(A389="","",'Location Master'!C390)</f>
        <v/>
      </c>
      <c r="G389" s="87" t="str">
        <f>IF(A389="","",'Location Master'!D390)</f>
        <v/>
      </c>
      <c r="H389" s="87"/>
    </row>
    <row r="390" ht="15.75" customHeight="1">
      <c r="A390" s="91" t="str">
        <f>IF('Location Master'!E391="","",'Location Master'!E391)</f>
        <v/>
      </c>
      <c r="B390" s="69" t="str">
        <f>IF(A390="","",'Location Master'!H391)</f>
        <v/>
      </c>
      <c r="C390" s="77" t="str">
        <f>IF(A390="","",'Location Master'!I391)</f>
        <v/>
      </c>
      <c r="D390" s="77" t="str">
        <f>IF(A390="","",'Location Master'!A391)</f>
        <v/>
      </c>
      <c r="E390" s="77" t="str">
        <f>IF(A390="","",'Location Master'!B391)</f>
        <v/>
      </c>
      <c r="F390" s="77" t="str">
        <f>IF(A390="","",'Location Master'!C391)</f>
        <v/>
      </c>
      <c r="G390" s="77" t="str">
        <f>IF(A390="","",'Location Master'!D391)</f>
        <v/>
      </c>
      <c r="H390" s="77"/>
    </row>
    <row r="391" ht="15.75" customHeight="1">
      <c r="A391" s="83" t="str">
        <f>IF('Location Master'!E392="","",'Location Master'!E392)</f>
        <v/>
      </c>
      <c r="B391" s="85" t="str">
        <f>IF(A391="","",'Location Master'!H392)</f>
        <v/>
      </c>
      <c r="C391" s="87" t="str">
        <f>IF(A391="","",'Location Master'!I392)</f>
        <v/>
      </c>
      <c r="D391" s="87" t="str">
        <f>IF(A391="","",'Location Master'!A392)</f>
        <v/>
      </c>
      <c r="E391" s="87" t="str">
        <f>IF(A391="","",'Location Master'!B392)</f>
        <v/>
      </c>
      <c r="F391" s="87" t="str">
        <f>IF(A391="","",'Location Master'!C392)</f>
        <v/>
      </c>
      <c r="G391" s="87" t="str">
        <f>IF(A391="","",'Location Master'!D392)</f>
        <v/>
      </c>
      <c r="H391" s="87"/>
    </row>
    <row r="392" ht="15.75" customHeight="1">
      <c r="A392" s="91" t="str">
        <f>IF('Location Master'!E393="","",'Location Master'!E393)</f>
        <v/>
      </c>
      <c r="B392" s="69" t="str">
        <f>IF(A392="","",'Location Master'!H393)</f>
        <v/>
      </c>
      <c r="C392" s="77" t="str">
        <f>IF(A392="","",'Location Master'!I393)</f>
        <v/>
      </c>
      <c r="D392" s="77" t="str">
        <f>IF(A392="","",'Location Master'!A393)</f>
        <v/>
      </c>
      <c r="E392" s="77" t="str">
        <f>IF(A392="","",'Location Master'!B393)</f>
        <v/>
      </c>
      <c r="F392" s="77" t="str">
        <f>IF(A392="","",'Location Master'!C393)</f>
        <v/>
      </c>
      <c r="G392" s="77" t="str">
        <f>IF(A392="","",'Location Master'!D393)</f>
        <v/>
      </c>
      <c r="H392" s="77"/>
    </row>
    <row r="393" ht="15.75" customHeight="1">
      <c r="A393" s="83" t="str">
        <f>IF('Location Master'!E394="","",'Location Master'!E394)</f>
        <v/>
      </c>
      <c r="B393" s="85" t="str">
        <f>IF(A393="","",'Location Master'!H394)</f>
        <v/>
      </c>
      <c r="C393" s="87" t="str">
        <f>IF(A393="","",'Location Master'!I394)</f>
        <v/>
      </c>
      <c r="D393" s="87" t="str">
        <f>IF(A393="","",'Location Master'!A394)</f>
        <v/>
      </c>
      <c r="E393" s="87" t="str">
        <f>IF(A393="","",'Location Master'!B394)</f>
        <v/>
      </c>
      <c r="F393" s="87" t="str">
        <f>IF(A393="","",'Location Master'!C394)</f>
        <v/>
      </c>
      <c r="G393" s="87" t="str">
        <f>IF(A393="","",'Location Master'!D394)</f>
        <v/>
      </c>
      <c r="H393" s="87"/>
    </row>
    <row r="394" ht="15.75" customHeight="1">
      <c r="A394" s="91" t="str">
        <f>IF('Location Master'!E395="","",'Location Master'!E395)</f>
        <v/>
      </c>
      <c r="B394" s="69" t="str">
        <f>IF(A394="","",'Location Master'!H395)</f>
        <v/>
      </c>
      <c r="C394" s="77" t="str">
        <f>IF(A394="","",'Location Master'!I395)</f>
        <v/>
      </c>
      <c r="D394" s="77" t="str">
        <f>IF(A394="","",'Location Master'!A395)</f>
        <v/>
      </c>
      <c r="E394" s="77" t="str">
        <f>IF(A394="","",'Location Master'!B395)</f>
        <v/>
      </c>
      <c r="F394" s="77" t="str">
        <f>IF(A394="","",'Location Master'!C395)</f>
        <v/>
      </c>
      <c r="G394" s="77" t="str">
        <f>IF(A394="","",'Location Master'!D395)</f>
        <v/>
      </c>
      <c r="H394" s="77"/>
    </row>
    <row r="395" ht="15.75" customHeight="1">
      <c r="A395" s="83" t="str">
        <f>IF('Location Master'!E396="","",'Location Master'!E396)</f>
        <v/>
      </c>
      <c r="B395" s="85" t="str">
        <f>IF(A395="","",'Location Master'!H396)</f>
        <v/>
      </c>
      <c r="C395" s="87" t="str">
        <f>IF(A395="","",'Location Master'!I396)</f>
        <v/>
      </c>
      <c r="D395" s="87" t="str">
        <f>IF(A395="","",'Location Master'!A396)</f>
        <v/>
      </c>
      <c r="E395" s="87" t="str">
        <f>IF(A395="","",'Location Master'!B396)</f>
        <v/>
      </c>
      <c r="F395" s="87" t="str">
        <f>IF(A395="","",'Location Master'!C396)</f>
        <v/>
      </c>
      <c r="G395" s="87" t="str">
        <f>IF(A395="","",'Location Master'!D396)</f>
        <v/>
      </c>
      <c r="H395" s="87"/>
    </row>
    <row r="396" ht="15.75" customHeight="1">
      <c r="A396" s="91" t="str">
        <f>IF('Location Master'!E397="","",'Location Master'!E397)</f>
        <v/>
      </c>
      <c r="B396" s="69" t="str">
        <f>IF(A396="","",'Location Master'!H397)</f>
        <v/>
      </c>
      <c r="C396" s="77" t="str">
        <f>IF(A396="","",'Location Master'!I397)</f>
        <v/>
      </c>
      <c r="D396" s="77" t="str">
        <f>IF(A396="","",'Location Master'!A397)</f>
        <v/>
      </c>
      <c r="E396" s="77" t="str">
        <f>IF(A396="","",'Location Master'!B397)</f>
        <v/>
      </c>
      <c r="F396" s="77" t="str">
        <f>IF(A396="","",'Location Master'!C397)</f>
        <v/>
      </c>
      <c r="G396" s="77" t="str">
        <f>IF(A396="","",'Location Master'!D397)</f>
        <v/>
      </c>
      <c r="H396" s="77"/>
    </row>
    <row r="397" ht="15.75" customHeight="1">
      <c r="A397" s="83" t="str">
        <f>IF('Location Master'!E398="","",'Location Master'!E398)</f>
        <v/>
      </c>
      <c r="B397" s="85" t="str">
        <f>IF(A397="","",'Location Master'!H398)</f>
        <v/>
      </c>
      <c r="C397" s="87" t="str">
        <f>IF(A397="","",'Location Master'!I398)</f>
        <v/>
      </c>
      <c r="D397" s="87" t="str">
        <f>IF(A397="","",'Location Master'!A398)</f>
        <v/>
      </c>
      <c r="E397" s="87" t="str">
        <f>IF(A397="","",'Location Master'!B398)</f>
        <v/>
      </c>
      <c r="F397" s="87" t="str">
        <f>IF(A397="","",'Location Master'!C398)</f>
        <v/>
      </c>
      <c r="G397" s="87" t="str">
        <f>IF(A397="","",'Location Master'!D398)</f>
        <v/>
      </c>
      <c r="H397" s="87"/>
    </row>
    <row r="398" ht="15.75" customHeight="1">
      <c r="A398" s="91" t="str">
        <f>IF('Location Master'!E399="","",'Location Master'!E399)</f>
        <v/>
      </c>
      <c r="B398" s="69" t="str">
        <f>IF(A398="","",'Location Master'!H399)</f>
        <v/>
      </c>
      <c r="C398" s="77" t="str">
        <f>IF(A398="","",'Location Master'!I399)</f>
        <v/>
      </c>
      <c r="D398" s="77" t="str">
        <f>IF(A398="","",'Location Master'!A399)</f>
        <v/>
      </c>
      <c r="E398" s="77" t="str">
        <f>IF(A398="","",'Location Master'!B399)</f>
        <v/>
      </c>
      <c r="F398" s="77" t="str">
        <f>IF(A398="","",'Location Master'!C399)</f>
        <v/>
      </c>
      <c r="G398" s="77" t="str">
        <f>IF(A398="","",'Location Master'!D399)</f>
        <v/>
      </c>
      <c r="H398" s="77"/>
    </row>
    <row r="399" ht="15.75" customHeight="1">
      <c r="A399" s="83" t="str">
        <f>IF('Location Master'!E400="","",'Location Master'!E400)</f>
        <v/>
      </c>
      <c r="B399" s="85" t="str">
        <f>IF(A399="","",'Location Master'!H400)</f>
        <v/>
      </c>
      <c r="C399" s="87" t="str">
        <f>IF(A399="","",'Location Master'!I400)</f>
        <v/>
      </c>
      <c r="D399" s="87" t="str">
        <f>IF(A399="","",'Location Master'!A400)</f>
        <v/>
      </c>
      <c r="E399" s="87" t="str">
        <f>IF(A399="","",'Location Master'!B400)</f>
        <v/>
      </c>
      <c r="F399" s="87" t="str">
        <f>IF(A399="","",'Location Master'!C400)</f>
        <v/>
      </c>
      <c r="G399" s="87" t="str">
        <f>IF(A399="","",'Location Master'!D400)</f>
        <v/>
      </c>
      <c r="H399" s="87"/>
    </row>
    <row r="400" ht="15.75" customHeight="1">
      <c r="A400" s="91" t="str">
        <f>IF('Location Master'!E401="","",'Location Master'!E401)</f>
        <v/>
      </c>
      <c r="B400" s="69" t="str">
        <f>IF(A400="","",'Location Master'!H401)</f>
        <v/>
      </c>
      <c r="C400" s="77" t="str">
        <f>IF(A400="","",'Location Master'!I401)</f>
        <v/>
      </c>
      <c r="D400" s="77" t="str">
        <f>IF(A400="","",'Location Master'!A401)</f>
        <v/>
      </c>
      <c r="E400" s="77" t="str">
        <f>IF(A400="","",'Location Master'!B401)</f>
        <v/>
      </c>
      <c r="F400" s="77" t="str">
        <f>IF(A400="","",'Location Master'!C401)</f>
        <v/>
      </c>
      <c r="G400" s="77" t="str">
        <f>IF(A400="","",'Location Master'!D401)</f>
        <v/>
      </c>
      <c r="H400" s="77"/>
    </row>
    <row r="401" ht="15.75" customHeight="1">
      <c r="A401" s="83" t="str">
        <f>IF('Location Master'!E402="","",'Location Master'!E402)</f>
        <v/>
      </c>
      <c r="B401" s="85" t="str">
        <f>IF(A401="","",'Location Master'!H402)</f>
        <v/>
      </c>
      <c r="C401" s="87" t="str">
        <f>IF(A401="","",'Location Master'!I402)</f>
        <v/>
      </c>
      <c r="D401" s="87" t="str">
        <f>IF(A401="","",'Location Master'!A402)</f>
        <v/>
      </c>
      <c r="E401" s="87" t="str">
        <f>IF(A401="","",'Location Master'!B402)</f>
        <v/>
      </c>
      <c r="F401" s="87" t="str">
        <f>IF(A401="","",'Location Master'!C402)</f>
        <v/>
      </c>
      <c r="G401" s="87" t="str">
        <f>IF(A401="","",'Location Master'!D402)</f>
        <v/>
      </c>
      <c r="H401" s="87"/>
    </row>
    <row r="402" ht="15.75" customHeight="1">
      <c r="A402" s="91" t="str">
        <f>IF('Location Master'!E403="","",'Location Master'!E403)</f>
        <v/>
      </c>
      <c r="B402" s="69" t="str">
        <f>IF(A402="","",'Location Master'!H403)</f>
        <v/>
      </c>
      <c r="C402" s="77" t="str">
        <f>IF(A402="","",'Location Master'!I403)</f>
        <v/>
      </c>
      <c r="D402" s="77" t="str">
        <f>IF(A402="","",'Location Master'!A403)</f>
        <v/>
      </c>
      <c r="E402" s="77" t="str">
        <f>IF(A402="","",'Location Master'!B403)</f>
        <v/>
      </c>
      <c r="F402" s="77" t="str">
        <f>IF(A402="","",'Location Master'!C403)</f>
        <v/>
      </c>
      <c r="G402" s="77" t="str">
        <f>IF(A402="","",'Location Master'!D403)</f>
        <v/>
      </c>
      <c r="H402" s="77"/>
    </row>
    <row r="403" ht="15.75" customHeight="1">
      <c r="A403" s="83" t="str">
        <f>IF('Location Master'!E404="","",'Location Master'!E404)</f>
        <v/>
      </c>
      <c r="B403" s="85" t="str">
        <f>IF(A403="","",'Location Master'!H404)</f>
        <v/>
      </c>
      <c r="C403" s="87" t="str">
        <f>IF(A403="","",'Location Master'!I404)</f>
        <v/>
      </c>
      <c r="D403" s="87" t="str">
        <f>IF(A403="","",'Location Master'!A404)</f>
        <v/>
      </c>
      <c r="E403" s="87" t="str">
        <f>IF(A403="","",'Location Master'!B404)</f>
        <v/>
      </c>
      <c r="F403" s="87" t="str">
        <f>IF(A403="","",'Location Master'!C404)</f>
        <v/>
      </c>
      <c r="G403" s="87" t="str">
        <f>IF(A403="","",'Location Master'!D404)</f>
        <v/>
      </c>
      <c r="H403" s="87"/>
    </row>
    <row r="404" ht="15.75" customHeight="1">
      <c r="A404" s="91" t="str">
        <f>IF('Location Master'!E405="","",'Location Master'!E405)</f>
        <v/>
      </c>
      <c r="B404" s="69" t="str">
        <f>IF(A404="","",'Location Master'!H405)</f>
        <v/>
      </c>
      <c r="C404" s="77" t="str">
        <f>IF(A404="","",'Location Master'!I405)</f>
        <v/>
      </c>
      <c r="D404" s="77" t="str">
        <f>IF(A404="","",'Location Master'!A405)</f>
        <v/>
      </c>
      <c r="E404" s="77" t="str">
        <f>IF(A404="","",'Location Master'!B405)</f>
        <v/>
      </c>
      <c r="F404" s="77" t="str">
        <f>IF(A404="","",'Location Master'!C405)</f>
        <v/>
      </c>
      <c r="G404" s="77" t="str">
        <f>IF(A404="","",'Location Master'!D405)</f>
        <v/>
      </c>
      <c r="H404" s="77"/>
    </row>
    <row r="405" ht="15.75" customHeight="1">
      <c r="A405" s="83" t="str">
        <f>IF('Location Master'!E406="","",'Location Master'!E406)</f>
        <v/>
      </c>
      <c r="B405" s="85" t="str">
        <f>IF(A405="","",'Location Master'!H406)</f>
        <v/>
      </c>
      <c r="C405" s="87" t="str">
        <f>IF(A405="","",'Location Master'!I406)</f>
        <v/>
      </c>
      <c r="D405" s="87" t="str">
        <f>IF(A405="","",'Location Master'!A406)</f>
        <v/>
      </c>
      <c r="E405" s="87" t="str">
        <f>IF(A405="","",'Location Master'!B406)</f>
        <v/>
      </c>
      <c r="F405" s="87" t="str">
        <f>IF(A405="","",'Location Master'!C406)</f>
        <v/>
      </c>
      <c r="G405" s="87" t="str">
        <f>IF(A405="","",'Location Master'!D406)</f>
        <v/>
      </c>
      <c r="H405" s="87"/>
    </row>
    <row r="406" ht="15.75" customHeight="1">
      <c r="A406" s="91" t="str">
        <f>IF('Location Master'!E407="","",'Location Master'!E407)</f>
        <v/>
      </c>
      <c r="B406" s="69" t="str">
        <f>IF(A406="","",'Location Master'!H407)</f>
        <v/>
      </c>
      <c r="C406" s="77" t="str">
        <f>IF(A406="","",'Location Master'!I407)</f>
        <v/>
      </c>
      <c r="D406" s="77" t="str">
        <f>IF(A406="","",'Location Master'!A407)</f>
        <v/>
      </c>
      <c r="E406" s="77" t="str">
        <f>IF(A406="","",'Location Master'!B407)</f>
        <v/>
      </c>
      <c r="F406" s="77" t="str">
        <f>IF(A406="","",'Location Master'!C407)</f>
        <v/>
      </c>
      <c r="G406" s="77" t="str">
        <f>IF(A406="","",'Location Master'!D407)</f>
        <v/>
      </c>
      <c r="H406" s="77"/>
    </row>
    <row r="407" ht="15.75" customHeight="1">
      <c r="A407" s="83" t="str">
        <f>IF('Location Master'!E408="","",'Location Master'!E408)</f>
        <v/>
      </c>
      <c r="B407" s="85" t="str">
        <f>IF(A407="","",'Location Master'!H408)</f>
        <v/>
      </c>
      <c r="C407" s="87" t="str">
        <f>IF(A407="","",'Location Master'!I408)</f>
        <v/>
      </c>
      <c r="D407" s="87" t="str">
        <f>IF(A407="","",'Location Master'!A408)</f>
        <v/>
      </c>
      <c r="E407" s="87" t="str">
        <f>IF(A407="","",'Location Master'!B408)</f>
        <v/>
      </c>
      <c r="F407" s="87" t="str">
        <f>IF(A407="","",'Location Master'!C408)</f>
        <v/>
      </c>
      <c r="G407" s="87" t="str">
        <f>IF(A407="","",'Location Master'!D408)</f>
        <v/>
      </c>
      <c r="H407" s="87"/>
    </row>
    <row r="408" ht="15.75" customHeight="1">
      <c r="A408" s="91" t="str">
        <f>IF('Location Master'!E409="","",'Location Master'!E409)</f>
        <v/>
      </c>
      <c r="B408" s="69" t="str">
        <f>IF(A408="","",'Location Master'!H409)</f>
        <v/>
      </c>
      <c r="C408" s="77" t="str">
        <f>IF(A408="","",'Location Master'!I409)</f>
        <v/>
      </c>
      <c r="D408" s="77" t="str">
        <f>IF(A408="","",'Location Master'!A409)</f>
        <v/>
      </c>
      <c r="E408" s="77" t="str">
        <f>IF(A408="","",'Location Master'!B409)</f>
        <v/>
      </c>
      <c r="F408" s="77" t="str">
        <f>IF(A408="","",'Location Master'!C409)</f>
        <v/>
      </c>
      <c r="G408" s="77" t="str">
        <f>IF(A408="","",'Location Master'!D409)</f>
        <v/>
      </c>
      <c r="H408" s="77"/>
    </row>
    <row r="409" ht="15.75" customHeight="1">
      <c r="A409" s="83" t="str">
        <f>IF('Location Master'!E410="","",'Location Master'!E410)</f>
        <v/>
      </c>
      <c r="B409" s="85" t="str">
        <f>IF(A409="","",'Location Master'!H410)</f>
        <v/>
      </c>
      <c r="C409" s="87" t="str">
        <f>IF(A409="","",'Location Master'!I410)</f>
        <v/>
      </c>
      <c r="D409" s="87" t="str">
        <f>IF(A409="","",'Location Master'!A410)</f>
        <v/>
      </c>
      <c r="E409" s="87" t="str">
        <f>IF(A409="","",'Location Master'!B410)</f>
        <v/>
      </c>
      <c r="F409" s="87" t="str">
        <f>IF(A409="","",'Location Master'!C410)</f>
        <v/>
      </c>
      <c r="G409" s="87" t="str">
        <f>IF(A409="","",'Location Master'!D410)</f>
        <v/>
      </c>
      <c r="H409" s="87"/>
    </row>
    <row r="410" ht="15.75" customHeight="1">
      <c r="A410" s="91" t="str">
        <f>IF('Location Master'!E411="","",'Location Master'!E411)</f>
        <v/>
      </c>
      <c r="B410" s="69" t="str">
        <f>IF(A410="","",'Location Master'!H411)</f>
        <v/>
      </c>
      <c r="C410" s="77" t="str">
        <f>IF(A410="","",'Location Master'!I411)</f>
        <v/>
      </c>
      <c r="D410" s="77" t="str">
        <f>IF(A410="","",'Location Master'!A411)</f>
        <v/>
      </c>
      <c r="E410" s="77" t="str">
        <f>IF(A410="","",'Location Master'!B411)</f>
        <v/>
      </c>
      <c r="F410" s="77" t="str">
        <f>IF(A410="","",'Location Master'!C411)</f>
        <v/>
      </c>
      <c r="G410" s="77" t="str">
        <f>IF(A410="","",'Location Master'!D411)</f>
        <v/>
      </c>
      <c r="H410" s="77"/>
    </row>
    <row r="411" ht="15.75" customHeight="1">
      <c r="A411" s="83" t="str">
        <f>IF('Location Master'!E412="","",'Location Master'!E412)</f>
        <v/>
      </c>
      <c r="B411" s="85" t="str">
        <f>IF(A411="","",'Location Master'!H412)</f>
        <v/>
      </c>
      <c r="C411" s="87" t="str">
        <f>IF(A411="","",'Location Master'!I412)</f>
        <v/>
      </c>
      <c r="D411" s="87" t="str">
        <f>IF(A411="","",'Location Master'!A412)</f>
        <v/>
      </c>
      <c r="E411" s="87" t="str">
        <f>IF(A411="","",'Location Master'!B412)</f>
        <v/>
      </c>
      <c r="F411" s="87" t="str">
        <f>IF(A411="","",'Location Master'!C412)</f>
        <v/>
      </c>
      <c r="G411" s="87" t="str">
        <f>IF(A411="","",'Location Master'!D412)</f>
        <v/>
      </c>
      <c r="H411" s="87"/>
    </row>
    <row r="412" ht="15.75" customHeight="1">
      <c r="A412" s="91" t="str">
        <f>IF('Location Master'!E413="","",'Location Master'!E413)</f>
        <v/>
      </c>
      <c r="B412" s="69" t="str">
        <f>IF(A412="","",'Location Master'!H413)</f>
        <v/>
      </c>
      <c r="C412" s="77" t="str">
        <f>IF(A412="","",'Location Master'!I413)</f>
        <v/>
      </c>
      <c r="D412" s="77" t="str">
        <f>IF(A412="","",'Location Master'!A413)</f>
        <v/>
      </c>
      <c r="E412" s="77" t="str">
        <f>IF(A412="","",'Location Master'!B413)</f>
        <v/>
      </c>
      <c r="F412" s="77" t="str">
        <f>IF(A412="","",'Location Master'!C413)</f>
        <v/>
      </c>
      <c r="G412" s="77" t="str">
        <f>IF(A412="","",'Location Master'!D413)</f>
        <v/>
      </c>
      <c r="H412" s="77"/>
    </row>
    <row r="413" ht="15.75" customHeight="1">
      <c r="A413" s="83" t="str">
        <f>IF('Location Master'!E414="","",'Location Master'!E414)</f>
        <v/>
      </c>
      <c r="B413" s="85" t="str">
        <f>IF(A413="","",'Location Master'!H414)</f>
        <v/>
      </c>
      <c r="C413" s="87" t="str">
        <f>IF(A413="","",'Location Master'!I414)</f>
        <v/>
      </c>
      <c r="D413" s="87" t="str">
        <f>IF(A413="","",'Location Master'!A414)</f>
        <v/>
      </c>
      <c r="E413" s="87" t="str">
        <f>IF(A413="","",'Location Master'!B414)</f>
        <v/>
      </c>
      <c r="F413" s="87" t="str">
        <f>IF(A413="","",'Location Master'!C414)</f>
        <v/>
      </c>
      <c r="G413" s="87" t="str">
        <f>IF(A413="","",'Location Master'!D414)</f>
        <v/>
      </c>
      <c r="H413" s="87"/>
    </row>
    <row r="414" ht="15.75" customHeight="1">
      <c r="A414" s="91" t="str">
        <f>IF('Location Master'!E415="","",'Location Master'!E415)</f>
        <v/>
      </c>
      <c r="B414" s="69" t="str">
        <f>IF(A414="","",'Location Master'!H415)</f>
        <v/>
      </c>
      <c r="C414" s="77" t="str">
        <f>IF(A414="","",'Location Master'!I415)</f>
        <v/>
      </c>
      <c r="D414" s="77" t="str">
        <f>IF(A414="","",'Location Master'!A415)</f>
        <v/>
      </c>
      <c r="E414" s="77" t="str">
        <f>IF(A414="","",'Location Master'!B415)</f>
        <v/>
      </c>
      <c r="F414" s="77" t="str">
        <f>IF(A414="","",'Location Master'!C415)</f>
        <v/>
      </c>
      <c r="G414" s="77" t="str">
        <f>IF(A414="","",'Location Master'!D415)</f>
        <v/>
      </c>
      <c r="H414" s="77"/>
    </row>
    <row r="415" ht="15.75" customHeight="1">
      <c r="A415" s="83" t="str">
        <f>IF('Location Master'!E416="","",'Location Master'!E416)</f>
        <v/>
      </c>
      <c r="B415" s="85" t="str">
        <f>IF(A415="","",'Location Master'!H416)</f>
        <v/>
      </c>
      <c r="C415" s="87" t="str">
        <f>IF(A415="","",'Location Master'!I416)</f>
        <v/>
      </c>
      <c r="D415" s="87" t="str">
        <f>IF(A415="","",'Location Master'!A416)</f>
        <v/>
      </c>
      <c r="E415" s="87" t="str">
        <f>IF(A415="","",'Location Master'!B416)</f>
        <v/>
      </c>
      <c r="F415" s="87" t="str">
        <f>IF(A415="","",'Location Master'!C416)</f>
        <v/>
      </c>
      <c r="G415" s="87" t="str">
        <f>IF(A415="","",'Location Master'!D416)</f>
        <v/>
      </c>
      <c r="H415" s="87"/>
    </row>
    <row r="416" ht="15.75" customHeight="1">
      <c r="A416" s="91" t="str">
        <f>IF('Location Master'!E417="","",'Location Master'!E417)</f>
        <v/>
      </c>
      <c r="B416" s="69" t="str">
        <f>IF(A416="","",'Location Master'!H417)</f>
        <v/>
      </c>
      <c r="C416" s="77" t="str">
        <f>IF(A416="","",'Location Master'!I417)</f>
        <v/>
      </c>
      <c r="D416" s="77" t="str">
        <f>IF(A416="","",'Location Master'!A417)</f>
        <v/>
      </c>
      <c r="E416" s="77" t="str">
        <f>IF(A416="","",'Location Master'!B417)</f>
        <v/>
      </c>
      <c r="F416" s="77" t="str">
        <f>IF(A416="","",'Location Master'!C417)</f>
        <v/>
      </c>
      <c r="G416" s="77" t="str">
        <f>IF(A416="","",'Location Master'!D417)</f>
        <v/>
      </c>
      <c r="H416" s="77"/>
    </row>
    <row r="417" ht="15.75" customHeight="1">
      <c r="A417" s="83" t="str">
        <f>IF('Location Master'!E418="","",'Location Master'!E418)</f>
        <v/>
      </c>
      <c r="B417" s="85" t="str">
        <f>IF(A417="","",'Location Master'!H418)</f>
        <v/>
      </c>
      <c r="C417" s="87" t="str">
        <f>IF(A417="","",'Location Master'!I418)</f>
        <v/>
      </c>
      <c r="D417" s="87" t="str">
        <f>IF(A417="","",'Location Master'!A418)</f>
        <v/>
      </c>
      <c r="E417" s="87" t="str">
        <f>IF(A417="","",'Location Master'!B418)</f>
        <v/>
      </c>
      <c r="F417" s="87" t="str">
        <f>IF(A417="","",'Location Master'!C418)</f>
        <v/>
      </c>
      <c r="G417" s="87" t="str">
        <f>IF(A417="","",'Location Master'!D418)</f>
        <v/>
      </c>
      <c r="H417" s="87"/>
    </row>
    <row r="418" ht="15.75" customHeight="1">
      <c r="A418" s="91" t="str">
        <f>IF('Location Master'!E419="","",'Location Master'!E419)</f>
        <v/>
      </c>
      <c r="B418" s="69" t="str">
        <f>IF(A418="","",'Location Master'!H419)</f>
        <v/>
      </c>
      <c r="C418" s="77" t="str">
        <f>IF(A418="","",'Location Master'!I419)</f>
        <v/>
      </c>
      <c r="D418" s="77" t="str">
        <f>IF(A418="","",'Location Master'!A419)</f>
        <v/>
      </c>
      <c r="E418" s="77" t="str">
        <f>IF(A418="","",'Location Master'!B419)</f>
        <v/>
      </c>
      <c r="F418" s="77" t="str">
        <f>IF(A418="","",'Location Master'!C419)</f>
        <v/>
      </c>
      <c r="G418" s="77" t="str">
        <f>IF(A418="","",'Location Master'!D419)</f>
        <v/>
      </c>
      <c r="H418" s="77"/>
    </row>
    <row r="419" ht="15.75" customHeight="1">
      <c r="A419" s="83" t="str">
        <f>IF('Location Master'!E420="","",'Location Master'!E420)</f>
        <v/>
      </c>
      <c r="B419" s="85" t="str">
        <f>IF(A419="","",'Location Master'!H420)</f>
        <v/>
      </c>
      <c r="C419" s="87" t="str">
        <f>IF(A419="","",'Location Master'!I420)</f>
        <v/>
      </c>
      <c r="D419" s="87" t="str">
        <f>IF(A419="","",'Location Master'!A420)</f>
        <v/>
      </c>
      <c r="E419" s="87" t="str">
        <f>IF(A419="","",'Location Master'!B420)</f>
        <v/>
      </c>
      <c r="F419" s="87" t="str">
        <f>IF(A419="","",'Location Master'!C420)</f>
        <v/>
      </c>
      <c r="G419" s="87" t="str">
        <f>IF(A419="","",'Location Master'!D420)</f>
        <v/>
      </c>
      <c r="H419" s="87"/>
    </row>
    <row r="420" ht="15.75" customHeight="1">
      <c r="A420" s="91" t="str">
        <f>IF('Location Master'!E421="","",'Location Master'!E421)</f>
        <v/>
      </c>
      <c r="B420" s="69" t="str">
        <f>IF(A420="","",'Location Master'!H421)</f>
        <v/>
      </c>
      <c r="C420" s="77" t="str">
        <f>IF(A420="","",'Location Master'!I421)</f>
        <v/>
      </c>
      <c r="D420" s="77" t="str">
        <f>IF(A420="","",'Location Master'!A421)</f>
        <v/>
      </c>
      <c r="E420" s="77" t="str">
        <f>IF(A420="","",'Location Master'!B421)</f>
        <v/>
      </c>
      <c r="F420" s="77" t="str">
        <f>IF(A420="","",'Location Master'!C421)</f>
        <v/>
      </c>
      <c r="G420" s="77" t="str">
        <f>IF(A420="","",'Location Master'!D421)</f>
        <v/>
      </c>
      <c r="H420" s="77"/>
    </row>
    <row r="421" ht="15.75" customHeight="1">
      <c r="A421" s="83" t="str">
        <f>IF('Location Master'!E422="","",'Location Master'!E422)</f>
        <v/>
      </c>
      <c r="B421" s="85" t="str">
        <f>IF(A421="","",'Location Master'!H422)</f>
        <v/>
      </c>
      <c r="C421" s="87" t="str">
        <f>IF(A421="","",'Location Master'!I422)</f>
        <v/>
      </c>
      <c r="D421" s="87" t="str">
        <f>IF(A421="","",'Location Master'!A422)</f>
        <v/>
      </c>
      <c r="E421" s="87" t="str">
        <f>IF(A421="","",'Location Master'!B422)</f>
        <v/>
      </c>
      <c r="F421" s="87" t="str">
        <f>IF(A421="","",'Location Master'!C422)</f>
        <v/>
      </c>
      <c r="G421" s="87" t="str">
        <f>IF(A421="","",'Location Master'!D422)</f>
        <v/>
      </c>
      <c r="H421" s="87"/>
    </row>
    <row r="422" ht="15.75" customHeight="1">
      <c r="A422" s="91" t="str">
        <f>IF('Location Master'!E423="","",'Location Master'!E423)</f>
        <v/>
      </c>
      <c r="B422" s="69" t="str">
        <f>IF(A422="","",'Location Master'!H423)</f>
        <v/>
      </c>
      <c r="C422" s="77" t="str">
        <f>IF(A422="","",'Location Master'!I423)</f>
        <v/>
      </c>
      <c r="D422" s="77" t="str">
        <f>IF(A422="","",'Location Master'!A423)</f>
        <v/>
      </c>
      <c r="E422" s="77" t="str">
        <f>IF(A422="","",'Location Master'!B423)</f>
        <v/>
      </c>
      <c r="F422" s="77" t="str">
        <f>IF(A422="","",'Location Master'!C423)</f>
        <v/>
      </c>
      <c r="G422" s="77" t="str">
        <f>IF(A422="","",'Location Master'!D423)</f>
        <v/>
      </c>
      <c r="H422" s="77"/>
    </row>
    <row r="423" ht="15.75" customHeight="1">
      <c r="A423" s="83" t="str">
        <f>IF('Location Master'!E424="","",'Location Master'!E424)</f>
        <v/>
      </c>
      <c r="B423" s="85" t="str">
        <f>IF(A423="","",'Location Master'!H424)</f>
        <v/>
      </c>
      <c r="C423" s="87" t="str">
        <f>IF(A423="","",'Location Master'!I424)</f>
        <v/>
      </c>
      <c r="D423" s="87" t="str">
        <f>IF(A423="","",'Location Master'!A424)</f>
        <v/>
      </c>
      <c r="E423" s="87" t="str">
        <f>IF(A423="","",'Location Master'!B424)</f>
        <v/>
      </c>
      <c r="F423" s="87" t="str">
        <f>IF(A423="","",'Location Master'!C424)</f>
        <v/>
      </c>
      <c r="G423" s="87" t="str">
        <f>IF(A423="","",'Location Master'!D424)</f>
        <v/>
      </c>
      <c r="H423" s="87"/>
    </row>
    <row r="424" ht="15.75" customHeight="1">
      <c r="A424" s="91" t="str">
        <f>IF('Location Master'!E425="","",'Location Master'!E425)</f>
        <v/>
      </c>
      <c r="B424" s="69" t="str">
        <f>IF(A424="","",'Location Master'!H425)</f>
        <v/>
      </c>
      <c r="C424" s="77" t="str">
        <f>IF(A424="","",'Location Master'!I425)</f>
        <v/>
      </c>
      <c r="D424" s="77" t="str">
        <f>IF(A424="","",'Location Master'!A425)</f>
        <v/>
      </c>
      <c r="E424" s="77" t="str">
        <f>IF(A424="","",'Location Master'!B425)</f>
        <v/>
      </c>
      <c r="F424" s="77" t="str">
        <f>IF(A424="","",'Location Master'!C425)</f>
        <v/>
      </c>
      <c r="G424" s="77" t="str">
        <f>IF(A424="","",'Location Master'!D425)</f>
        <v/>
      </c>
      <c r="H424" s="77"/>
    </row>
    <row r="425" ht="15.75" customHeight="1">
      <c r="A425" s="83" t="str">
        <f>IF('Location Master'!E426="","",'Location Master'!E426)</f>
        <v/>
      </c>
      <c r="B425" s="85" t="str">
        <f>IF(A425="","",'Location Master'!H426)</f>
        <v/>
      </c>
      <c r="C425" s="87" t="str">
        <f>IF(A425="","",'Location Master'!I426)</f>
        <v/>
      </c>
      <c r="D425" s="87" t="str">
        <f>IF(A425="","",'Location Master'!A426)</f>
        <v/>
      </c>
      <c r="E425" s="87" t="str">
        <f>IF(A425="","",'Location Master'!B426)</f>
        <v/>
      </c>
      <c r="F425" s="87" t="str">
        <f>IF(A425="","",'Location Master'!C426)</f>
        <v/>
      </c>
      <c r="G425" s="87" t="str">
        <f>IF(A425="","",'Location Master'!D426)</f>
        <v/>
      </c>
      <c r="H425" s="87"/>
    </row>
    <row r="426" ht="15.75" customHeight="1">
      <c r="A426" s="91" t="str">
        <f>IF('Location Master'!E427="","",'Location Master'!E427)</f>
        <v/>
      </c>
      <c r="B426" s="69" t="str">
        <f>IF(A426="","",'Location Master'!H427)</f>
        <v/>
      </c>
      <c r="C426" s="77" t="str">
        <f>IF(A426="","",'Location Master'!I427)</f>
        <v/>
      </c>
      <c r="D426" s="77" t="str">
        <f>IF(A426="","",'Location Master'!A427)</f>
        <v/>
      </c>
      <c r="E426" s="77" t="str">
        <f>IF(A426="","",'Location Master'!B427)</f>
        <v/>
      </c>
      <c r="F426" s="77" t="str">
        <f>IF(A426="","",'Location Master'!C427)</f>
        <v/>
      </c>
      <c r="G426" s="77" t="str">
        <f>IF(A426="","",'Location Master'!D427)</f>
        <v/>
      </c>
      <c r="H426" s="77"/>
    </row>
    <row r="427" ht="15.75" customHeight="1">
      <c r="A427" s="83" t="str">
        <f>IF('Location Master'!E428="","",'Location Master'!E428)</f>
        <v/>
      </c>
      <c r="B427" s="85" t="str">
        <f>IF(A427="","",'Location Master'!H428)</f>
        <v/>
      </c>
      <c r="C427" s="87" t="str">
        <f>IF(A427="","",'Location Master'!I428)</f>
        <v/>
      </c>
      <c r="D427" s="87" t="str">
        <f>IF(A427="","",'Location Master'!A428)</f>
        <v/>
      </c>
      <c r="E427" s="87" t="str">
        <f>IF(A427="","",'Location Master'!B428)</f>
        <v/>
      </c>
      <c r="F427" s="87" t="str">
        <f>IF(A427="","",'Location Master'!C428)</f>
        <v/>
      </c>
      <c r="G427" s="87" t="str">
        <f>IF(A427="","",'Location Master'!D428)</f>
        <v/>
      </c>
      <c r="H427" s="87"/>
    </row>
    <row r="428" ht="15.75" customHeight="1">
      <c r="A428" s="91" t="str">
        <f>IF('Location Master'!E429="","",'Location Master'!E429)</f>
        <v/>
      </c>
      <c r="B428" s="69" t="str">
        <f>IF(A428="","",'Location Master'!H429)</f>
        <v/>
      </c>
      <c r="C428" s="77" t="str">
        <f>IF(A428="","",'Location Master'!I429)</f>
        <v/>
      </c>
      <c r="D428" s="77" t="str">
        <f>IF(A428="","",'Location Master'!A429)</f>
        <v/>
      </c>
      <c r="E428" s="77" t="str">
        <f>IF(A428="","",'Location Master'!B429)</f>
        <v/>
      </c>
      <c r="F428" s="77" t="str">
        <f>IF(A428="","",'Location Master'!C429)</f>
        <v/>
      </c>
      <c r="G428" s="77" t="str">
        <f>IF(A428="","",'Location Master'!D429)</f>
        <v/>
      </c>
      <c r="H428" s="77"/>
    </row>
    <row r="429" ht="15.75" customHeight="1">
      <c r="A429" s="83" t="str">
        <f>IF('Location Master'!E430="","",'Location Master'!E430)</f>
        <v/>
      </c>
      <c r="B429" s="85" t="str">
        <f>IF(A429="","",'Location Master'!H430)</f>
        <v/>
      </c>
      <c r="C429" s="87" t="str">
        <f>IF(A429="","",'Location Master'!I430)</f>
        <v/>
      </c>
      <c r="D429" s="87" t="str">
        <f>IF(A429="","",'Location Master'!A430)</f>
        <v/>
      </c>
      <c r="E429" s="87" t="str">
        <f>IF(A429="","",'Location Master'!B430)</f>
        <v/>
      </c>
      <c r="F429" s="87" t="str">
        <f>IF(A429="","",'Location Master'!C430)</f>
        <v/>
      </c>
      <c r="G429" s="87" t="str">
        <f>IF(A429="","",'Location Master'!D430)</f>
        <v/>
      </c>
      <c r="H429" s="87"/>
    </row>
    <row r="430" ht="15.75" customHeight="1">
      <c r="A430" s="91" t="str">
        <f>IF('Location Master'!E431="","",'Location Master'!E431)</f>
        <v/>
      </c>
      <c r="B430" s="69" t="str">
        <f>IF(A430="","",'Location Master'!H431)</f>
        <v/>
      </c>
      <c r="C430" s="77" t="str">
        <f>IF(A430="","",'Location Master'!I431)</f>
        <v/>
      </c>
      <c r="D430" s="77" t="str">
        <f>IF(A430="","",'Location Master'!A431)</f>
        <v/>
      </c>
      <c r="E430" s="77" t="str">
        <f>IF(A430="","",'Location Master'!B431)</f>
        <v/>
      </c>
      <c r="F430" s="77" t="str">
        <f>IF(A430="","",'Location Master'!C431)</f>
        <v/>
      </c>
      <c r="G430" s="77" t="str">
        <f>IF(A430="","",'Location Master'!D431)</f>
        <v/>
      </c>
      <c r="H430" s="77"/>
    </row>
    <row r="431" ht="15.75" customHeight="1">
      <c r="A431" s="83" t="str">
        <f>IF('Location Master'!E432="","",'Location Master'!E432)</f>
        <v/>
      </c>
      <c r="B431" s="85" t="str">
        <f>IF(A431="","",'Location Master'!H432)</f>
        <v/>
      </c>
      <c r="C431" s="87" t="str">
        <f>IF(A431="","",'Location Master'!I432)</f>
        <v/>
      </c>
      <c r="D431" s="87" t="str">
        <f>IF(A431="","",'Location Master'!A432)</f>
        <v/>
      </c>
      <c r="E431" s="87" t="str">
        <f>IF(A431="","",'Location Master'!B432)</f>
        <v/>
      </c>
      <c r="F431" s="87" t="str">
        <f>IF(A431="","",'Location Master'!C432)</f>
        <v/>
      </c>
      <c r="G431" s="87" t="str">
        <f>IF(A431="","",'Location Master'!D432)</f>
        <v/>
      </c>
      <c r="H431" s="87"/>
    </row>
    <row r="432" ht="15.75" customHeight="1">
      <c r="A432" s="91" t="str">
        <f>IF('Location Master'!E433="","",'Location Master'!E433)</f>
        <v/>
      </c>
      <c r="B432" s="69" t="str">
        <f>IF(A432="","",'Location Master'!H433)</f>
        <v/>
      </c>
      <c r="C432" s="77" t="str">
        <f>IF(A432="","",'Location Master'!I433)</f>
        <v/>
      </c>
      <c r="D432" s="77" t="str">
        <f>IF(A432="","",'Location Master'!A433)</f>
        <v/>
      </c>
      <c r="E432" s="77" t="str">
        <f>IF(A432="","",'Location Master'!B433)</f>
        <v/>
      </c>
      <c r="F432" s="77" t="str">
        <f>IF(A432="","",'Location Master'!C433)</f>
        <v/>
      </c>
      <c r="G432" s="77" t="str">
        <f>IF(A432="","",'Location Master'!D433)</f>
        <v/>
      </c>
      <c r="H432" s="77"/>
    </row>
    <row r="433" ht="15.75" customHeight="1">
      <c r="A433" s="83" t="str">
        <f>IF('Location Master'!E434="","",'Location Master'!E434)</f>
        <v/>
      </c>
      <c r="B433" s="85" t="str">
        <f>IF(A433="","",'Location Master'!H434)</f>
        <v/>
      </c>
      <c r="C433" s="87" t="str">
        <f>IF(A433="","",'Location Master'!I434)</f>
        <v/>
      </c>
      <c r="D433" s="87" t="str">
        <f>IF(A433="","",'Location Master'!A434)</f>
        <v/>
      </c>
      <c r="E433" s="87" t="str">
        <f>IF(A433="","",'Location Master'!B434)</f>
        <v/>
      </c>
      <c r="F433" s="87" t="str">
        <f>IF(A433="","",'Location Master'!C434)</f>
        <v/>
      </c>
      <c r="G433" s="87" t="str">
        <f>IF(A433="","",'Location Master'!D434)</f>
        <v/>
      </c>
      <c r="H433" s="87"/>
    </row>
    <row r="434" ht="15.75" customHeight="1">
      <c r="A434" s="91" t="str">
        <f>IF('Location Master'!E435="","",'Location Master'!E435)</f>
        <v/>
      </c>
      <c r="B434" s="69" t="str">
        <f>IF(A434="","",'Location Master'!H435)</f>
        <v/>
      </c>
      <c r="C434" s="77" t="str">
        <f>IF(A434="","",'Location Master'!I435)</f>
        <v/>
      </c>
      <c r="D434" s="77" t="str">
        <f>IF(A434="","",'Location Master'!A435)</f>
        <v/>
      </c>
      <c r="E434" s="77" t="str">
        <f>IF(A434="","",'Location Master'!B435)</f>
        <v/>
      </c>
      <c r="F434" s="77" t="str">
        <f>IF(A434="","",'Location Master'!C435)</f>
        <v/>
      </c>
      <c r="G434" s="77" t="str">
        <f>IF(A434="","",'Location Master'!D435)</f>
        <v/>
      </c>
      <c r="H434" s="77"/>
    </row>
    <row r="435" ht="15.75" customHeight="1">
      <c r="A435" s="83" t="str">
        <f>IF('Location Master'!E436="","",'Location Master'!E436)</f>
        <v/>
      </c>
      <c r="B435" s="85" t="str">
        <f>IF(A435="","",'Location Master'!H436)</f>
        <v/>
      </c>
      <c r="C435" s="87" t="str">
        <f>IF(A435="","",'Location Master'!I436)</f>
        <v/>
      </c>
      <c r="D435" s="87" t="str">
        <f>IF(A435="","",'Location Master'!A436)</f>
        <v/>
      </c>
      <c r="E435" s="87" t="str">
        <f>IF(A435="","",'Location Master'!B436)</f>
        <v/>
      </c>
      <c r="F435" s="87" t="str">
        <f>IF(A435="","",'Location Master'!C436)</f>
        <v/>
      </c>
      <c r="G435" s="87" t="str">
        <f>IF(A435="","",'Location Master'!D436)</f>
        <v/>
      </c>
      <c r="H435" s="87"/>
    </row>
    <row r="436" ht="15.75" customHeight="1">
      <c r="A436" s="91" t="str">
        <f>IF('Location Master'!E437="","",'Location Master'!E437)</f>
        <v/>
      </c>
      <c r="B436" s="69" t="str">
        <f>IF(A436="","",'Location Master'!H437)</f>
        <v/>
      </c>
      <c r="C436" s="77" t="str">
        <f>IF(A436="","",'Location Master'!I437)</f>
        <v/>
      </c>
      <c r="D436" s="77" t="str">
        <f>IF(A436="","",'Location Master'!A437)</f>
        <v/>
      </c>
      <c r="E436" s="77" t="str">
        <f>IF(A436="","",'Location Master'!B437)</f>
        <v/>
      </c>
      <c r="F436" s="77" t="str">
        <f>IF(A436="","",'Location Master'!C437)</f>
        <v/>
      </c>
      <c r="G436" s="77" t="str">
        <f>IF(A436="","",'Location Master'!D437)</f>
        <v/>
      </c>
      <c r="H436" s="77"/>
    </row>
    <row r="437" ht="15.75" customHeight="1">
      <c r="A437" s="83" t="str">
        <f>IF('Location Master'!E438="","",'Location Master'!E438)</f>
        <v/>
      </c>
      <c r="B437" s="85" t="str">
        <f>IF(A437="","",'Location Master'!H438)</f>
        <v/>
      </c>
      <c r="C437" s="87" t="str">
        <f>IF(A437="","",'Location Master'!I438)</f>
        <v/>
      </c>
      <c r="D437" s="87" t="str">
        <f>IF(A437="","",'Location Master'!A438)</f>
        <v/>
      </c>
      <c r="E437" s="87" t="str">
        <f>IF(A437="","",'Location Master'!B438)</f>
        <v/>
      </c>
      <c r="F437" s="87" t="str">
        <f>IF(A437="","",'Location Master'!C438)</f>
        <v/>
      </c>
      <c r="G437" s="87" t="str">
        <f>IF(A437="","",'Location Master'!D438)</f>
        <v/>
      </c>
      <c r="H437" s="87"/>
    </row>
    <row r="438" ht="15.75" customHeight="1">
      <c r="A438" s="91" t="str">
        <f>IF('Location Master'!E439="","",'Location Master'!E439)</f>
        <v/>
      </c>
      <c r="B438" s="69" t="str">
        <f>IF(A438="","",'Location Master'!H439)</f>
        <v/>
      </c>
      <c r="C438" s="77" t="str">
        <f>IF(A438="","",'Location Master'!I439)</f>
        <v/>
      </c>
      <c r="D438" s="77" t="str">
        <f>IF(A438="","",'Location Master'!A439)</f>
        <v/>
      </c>
      <c r="E438" s="77" t="str">
        <f>IF(A438="","",'Location Master'!B439)</f>
        <v/>
      </c>
      <c r="F438" s="77" t="str">
        <f>IF(A438="","",'Location Master'!C439)</f>
        <v/>
      </c>
      <c r="G438" s="77" t="str">
        <f>IF(A438="","",'Location Master'!D439)</f>
        <v/>
      </c>
      <c r="H438" s="77"/>
    </row>
    <row r="439" ht="15.75" customHeight="1">
      <c r="A439" s="83" t="str">
        <f>IF('Location Master'!E440="","",'Location Master'!E440)</f>
        <v/>
      </c>
      <c r="B439" s="85" t="str">
        <f>IF(A439="","",'Location Master'!H440)</f>
        <v/>
      </c>
      <c r="C439" s="87" t="str">
        <f>IF(A439="","",'Location Master'!I440)</f>
        <v/>
      </c>
      <c r="D439" s="87" t="str">
        <f>IF(A439="","",'Location Master'!A440)</f>
        <v/>
      </c>
      <c r="E439" s="87" t="str">
        <f>IF(A439="","",'Location Master'!B440)</f>
        <v/>
      </c>
      <c r="F439" s="87" t="str">
        <f>IF(A439="","",'Location Master'!C440)</f>
        <v/>
      </c>
      <c r="G439" s="87" t="str">
        <f>IF(A439="","",'Location Master'!D440)</f>
        <v/>
      </c>
      <c r="H439" s="87"/>
    </row>
    <row r="440" ht="15.75" customHeight="1">
      <c r="A440" s="91" t="str">
        <f>IF('Location Master'!E441="","",'Location Master'!E441)</f>
        <v/>
      </c>
      <c r="B440" s="69" t="str">
        <f>IF(A440="","",'Location Master'!H441)</f>
        <v/>
      </c>
      <c r="C440" s="77" t="str">
        <f>IF(A440="","",'Location Master'!I441)</f>
        <v/>
      </c>
      <c r="D440" s="77" t="str">
        <f>IF(A440="","",'Location Master'!A441)</f>
        <v/>
      </c>
      <c r="E440" s="77" t="str">
        <f>IF(A440="","",'Location Master'!B441)</f>
        <v/>
      </c>
      <c r="F440" s="77" t="str">
        <f>IF(A440="","",'Location Master'!C441)</f>
        <v/>
      </c>
      <c r="G440" s="77" t="str">
        <f>IF(A440="","",'Location Master'!D441)</f>
        <v/>
      </c>
      <c r="H440" s="77"/>
    </row>
    <row r="441" ht="15.75" customHeight="1">
      <c r="A441" s="83" t="str">
        <f>IF('Location Master'!E442="","",'Location Master'!E442)</f>
        <v/>
      </c>
      <c r="B441" s="85" t="str">
        <f>IF(A441="","",'Location Master'!H442)</f>
        <v/>
      </c>
      <c r="C441" s="87" t="str">
        <f>IF(A441="","",'Location Master'!I442)</f>
        <v/>
      </c>
      <c r="D441" s="87" t="str">
        <f>IF(A441="","",'Location Master'!A442)</f>
        <v/>
      </c>
      <c r="E441" s="87" t="str">
        <f>IF(A441="","",'Location Master'!B442)</f>
        <v/>
      </c>
      <c r="F441" s="87" t="str">
        <f>IF(A441="","",'Location Master'!C442)</f>
        <v/>
      </c>
      <c r="G441" s="87" t="str">
        <f>IF(A441="","",'Location Master'!D442)</f>
        <v/>
      </c>
      <c r="H441" s="87"/>
    </row>
    <row r="442" ht="15.75" customHeight="1">
      <c r="A442" s="91" t="str">
        <f>IF('Location Master'!E443="","",'Location Master'!E443)</f>
        <v/>
      </c>
      <c r="B442" s="69" t="str">
        <f>IF(A442="","",'Location Master'!H443)</f>
        <v/>
      </c>
      <c r="C442" s="77" t="str">
        <f>IF(A442="","",'Location Master'!I443)</f>
        <v/>
      </c>
      <c r="D442" s="77" t="str">
        <f>IF(A442="","",'Location Master'!A443)</f>
        <v/>
      </c>
      <c r="E442" s="77" t="str">
        <f>IF(A442="","",'Location Master'!B443)</f>
        <v/>
      </c>
      <c r="F442" s="77" t="str">
        <f>IF(A442="","",'Location Master'!C443)</f>
        <v/>
      </c>
      <c r="G442" s="77" t="str">
        <f>IF(A442="","",'Location Master'!D443)</f>
        <v/>
      </c>
      <c r="H442" s="77"/>
    </row>
    <row r="443" ht="15.75" customHeight="1">
      <c r="A443" s="83" t="str">
        <f>IF('Location Master'!E444="","",'Location Master'!E444)</f>
        <v/>
      </c>
      <c r="B443" s="85" t="str">
        <f>IF(A443="","",'Location Master'!H444)</f>
        <v/>
      </c>
      <c r="C443" s="87" t="str">
        <f>IF(A443="","",'Location Master'!I444)</f>
        <v/>
      </c>
      <c r="D443" s="87" t="str">
        <f>IF(A443="","",'Location Master'!A444)</f>
        <v/>
      </c>
      <c r="E443" s="87" t="str">
        <f>IF(A443="","",'Location Master'!B444)</f>
        <v/>
      </c>
      <c r="F443" s="87" t="str">
        <f>IF(A443="","",'Location Master'!C444)</f>
        <v/>
      </c>
      <c r="G443" s="87" t="str">
        <f>IF(A443="","",'Location Master'!D444)</f>
        <v/>
      </c>
      <c r="H443" s="87"/>
    </row>
    <row r="444" ht="15.75" customHeight="1">
      <c r="A444" s="91" t="str">
        <f>IF('Location Master'!E445="","",'Location Master'!E445)</f>
        <v/>
      </c>
      <c r="B444" s="69" t="str">
        <f>IF(A444="","",'Location Master'!H445)</f>
        <v/>
      </c>
      <c r="C444" s="77" t="str">
        <f>IF(A444="","",'Location Master'!I445)</f>
        <v/>
      </c>
      <c r="D444" s="77" t="str">
        <f>IF(A444="","",'Location Master'!A445)</f>
        <v/>
      </c>
      <c r="E444" s="77" t="str">
        <f>IF(A444="","",'Location Master'!B445)</f>
        <v/>
      </c>
      <c r="F444" s="77" t="str">
        <f>IF(A444="","",'Location Master'!C445)</f>
        <v/>
      </c>
      <c r="G444" s="77" t="str">
        <f>IF(A444="","",'Location Master'!D445)</f>
        <v/>
      </c>
      <c r="H444" s="77"/>
    </row>
    <row r="445" ht="15.75" customHeight="1">
      <c r="A445" s="83" t="str">
        <f>IF('Location Master'!E446="","",'Location Master'!E446)</f>
        <v/>
      </c>
      <c r="B445" s="85" t="str">
        <f>IF(A445="","",'Location Master'!H446)</f>
        <v/>
      </c>
      <c r="C445" s="87" t="str">
        <f>IF(A445="","",'Location Master'!I446)</f>
        <v/>
      </c>
      <c r="D445" s="87" t="str">
        <f>IF(A445="","",'Location Master'!A446)</f>
        <v/>
      </c>
      <c r="E445" s="87" t="str">
        <f>IF(A445="","",'Location Master'!B446)</f>
        <v/>
      </c>
      <c r="F445" s="87" t="str">
        <f>IF(A445="","",'Location Master'!C446)</f>
        <v/>
      </c>
      <c r="G445" s="87" t="str">
        <f>IF(A445="","",'Location Master'!D446)</f>
        <v/>
      </c>
      <c r="H445" s="87"/>
    </row>
    <row r="446" ht="15.75" customHeight="1">
      <c r="A446" s="91" t="str">
        <f>IF('Location Master'!E447="","",'Location Master'!E447)</f>
        <v/>
      </c>
      <c r="B446" s="69" t="str">
        <f>IF(A446="","",'Location Master'!H447)</f>
        <v/>
      </c>
      <c r="C446" s="77" t="str">
        <f>IF(A446="","",'Location Master'!I447)</f>
        <v/>
      </c>
      <c r="D446" s="77" t="str">
        <f>IF(A446="","",'Location Master'!A447)</f>
        <v/>
      </c>
      <c r="E446" s="77" t="str">
        <f>IF(A446="","",'Location Master'!B447)</f>
        <v/>
      </c>
      <c r="F446" s="77" t="str">
        <f>IF(A446="","",'Location Master'!C447)</f>
        <v/>
      </c>
      <c r="G446" s="77" t="str">
        <f>IF(A446="","",'Location Master'!D447)</f>
        <v/>
      </c>
      <c r="H446" s="77"/>
    </row>
    <row r="447" ht="15.75" customHeight="1">
      <c r="A447" s="83" t="str">
        <f>IF('Location Master'!E448="","",'Location Master'!E448)</f>
        <v/>
      </c>
      <c r="B447" s="85" t="str">
        <f>IF(A447="","",'Location Master'!H448)</f>
        <v/>
      </c>
      <c r="C447" s="87" t="str">
        <f>IF(A447="","",'Location Master'!I448)</f>
        <v/>
      </c>
      <c r="D447" s="87" t="str">
        <f>IF(A447="","",'Location Master'!A448)</f>
        <v/>
      </c>
      <c r="E447" s="87" t="str">
        <f>IF(A447="","",'Location Master'!B448)</f>
        <v/>
      </c>
      <c r="F447" s="87" t="str">
        <f>IF(A447="","",'Location Master'!C448)</f>
        <v/>
      </c>
      <c r="G447" s="87" t="str">
        <f>IF(A447="","",'Location Master'!D448)</f>
        <v/>
      </c>
      <c r="H447" s="87"/>
    </row>
    <row r="448" ht="15.75" customHeight="1">
      <c r="A448" s="91" t="str">
        <f>IF('Location Master'!E449="","",'Location Master'!E449)</f>
        <v/>
      </c>
      <c r="B448" s="69" t="str">
        <f>IF(A448="","",'Location Master'!H449)</f>
        <v/>
      </c>
      <c r="C448" s="77" t="str">
        <f>IF(A448="","",'Location Master'!I449)</f>
        <v/>
      </c>
      <c r="D448" s="77" t="str">
        <f>IF(A448="","",'Location Master'!A449)</f>
        <v/>
      </c>
      <c r="E448" s="77" t="str">
        <f>IF(A448="","",'Location Master'!B449)</f>
        <v/>
      </c>
      <c r="F448" s="77" t="str">
        <f>IF(A448="","",'Location Master'!C449)</f>
        <v/>
      </c>
      <c r="G448" s="77" t="str">
        <f>IF(A448="","",'Location Master'!D449)</f>
        <v/>
      </c>
      <c r="H448" s="77"/>
    </row>
    <row r="449" ht="15.75" customHeight="1">
      <c r="A449" s="83" t="str">
        <f>IF('Location Master'!E450="","",'Location Master'!E450)</f>
        <v/>
      </c>
      <c r="B449" s="85" t="str">
        <f>IF(A449="","",'Location Master'!H450)</f>
        <v/>
      </c>
      <c r="C449" s="87" t="str">
        <f>IF(A449="","",'Location Master'!I450)</f>
        <v/>
      </c>
      <c r="D449" s="87" t="str">
        <f>IF(A449="","",'Location Master'!A450)</f>
        <v/>
      </c>
      <c r="E449" s="87" t="str">
        <f>IF(A449="","",'Location Master'!B450)</f>
        <v/>
      </c>
      <c r="F449" s="87" t="str">
        <f>IF(A449="","",'Location Master'!C450)</f>
        <v/>
      </c>
      <c r="G449" s="87" t="str">
        <f>IF(A449="","",'Location Master'!D450)</f>
        <v/>
      </c>
      <c r="H449" s="87"/>
    </row>
    <row r="450" ht="15.75" customHeight="1">
      <c r="A450" s="91" t="str">
        <f>IF('Location Master'!E451="","",'Location Master'!E451)</f>
        <v/>
      </c>
      <c r="B450" s="69" t="str">
        <f>IF(A450="","",'Location Master'!H451)</f>
        <v/>
      </c>
      <c r="C450" s="77" t="str">
        <f>IF(A450="","",'Location Master'!I451)</f>
        <v/>
      </c>
      <c r="D450" s="77" t="str">
        <f>IF(A450="","",'Location Master'!A451)</f>
        <v/>
      </c>
      <c r="E450" s="77" t="str">
        <f>IF(A450="","",'Location Master'!B451)</f>
        <v/>
      </c>
      <c r="F450" s="77" t="str">
        <f>IF(A450="","",'Location Master'!C451)</f>
        <v/>
      </c>
      <c r="G450" s="77" t="str">
        <f>IF(A450="","",'Location Master'!D451)</f>
        <v/>
      </c>
      <c r="H450" s="77"/>
    </row>
    <row r="451" ht="15.75" customHeight="1">
      <c r="A451" s="83" t="str">
        <f>IF('Location Master'!E452="","",'Location Master'!E452)</f>
        <v/>
      </c>
      <c r="B451" s="85" t="str">
        <f>IF(A451="","",'Location Master'!H452)</f>
        <v/>
      </c>
      <c r="C451" s="87" t="str">
        <f>IF(A451="","",'Location Master'!I452)</f>
        <v/>
      </c>
      <c r="D451" s="87" t="str">
        <f>IF(A451="","",'Location Master'!A452)</f>
        <v/>
      </c>
      <c r="E451" s="87" t="str">
        <f>IF(A451="","",'Location Master'!B452)</f>
        <v/>
      </c>
      <c r="F451" s="87" t="str">
        <f>IF(A451="","",'Location Master'!C452)</f>
        <v/>
      </c>
      <c r="G451" s="87" t="str">
        <f>IF(A451="","",'Location Master'!D452)</f>
        <v/>
      </c>
      <c r="H451" s="87"/>
    </row>
    <row r="452" ht="15.75" customHeight="1">
      <c r="A452" s="91" t="str">
        <f>IF('Location Master'!E453="","",'Location Master'!E453)</f>
        <v/>
      </c>
      <c r="B452" s="69" t="str">
        <f>IF(A452="","",'Location Master'!H453)</f>
        <v/>
      </c>
      <c r="C452" s="77" t="str">
        <f>IF(A452="","",'Location Master'!I453)</f>
        <v/>
      </c>
      <c r="D452" s="77" t="str">
        <f>IF(A452="","",'Location Master'!A453)</f>
        <v/>
      </c>
      <c r="E452" s="77" t="str">
        <f>IF(A452="","",'Location Master'!B453)</f>
        <v/>
      </c>
      <c r="F452" s="77" t="str">
        <f>IF(A452="","",'Location Master'!C453)</f>
        <v/>
      </c>
      <c r="G452" s="77" t="str">
        <f>IF(A452="","",'Location Master'!D453)</f>
        <v/>
      </c>
      <c r="H452" s="77"/>
    </row>
    <row r="453" ht="15.75" customHeight="1">
      <c r="A453" s="83" t="str">
        <f>IF('Location Master'!E454="","",'Location Master'!E454)</f>
        <v/>
      </c>
      <c r="B453" s="85" t="str">
        <f>IF(A453="","",'Location Master'!H454)</f>
        <v/>
      </c>
      <c r="C453" s="87" t="str">
        <f>IF(A453="","",'Location Master'!I454)</f>
        <v/>
      </c>
      <c r="D453" s="87" t="str">
        <f>IF(A453="","",'Location Master'!A454)</f>
        <v/>
      </c>
      <c r="E453" s="87" t="str">
        <f>IF(A453="","",'Location Master'!B454)</f>
        <v/>
      </c>
      <c r="F453" s="87" t="str">
        <f>IF(A453="","",'Location Master'!C454)</f>
        <v/>
      </c>
      <c r="G453" s="87" t="str">
        <f>IF(A453="","",'Location Master'!D454)</f>
        <v/>
      </c>
      <c r="H453" s="87"/>
    </row>
    <row r="454" ht="15.75" customHeight="1">
      <c r="A454" s="91" t="str">
        <f>IF('Location Master'!E455="","",'Location Master'!E455)</f>
        <v/>
      </c>
      <c r="B454" s="69" t="str">
        <f>IF(A454="","",'Location Master'!H455)</f>
        <v/>
      </c>
      <c r="C454" s="77" t="str">
        <f>IF(A454="","",'Location Master'!I455)</f>
        <v/>
      </c>
      <c r="D454" s="77" t="str">
        <f>IF(A454="","",'Location Master'!A455)</f>
        <v/>
      </c>
      <c r="E454" s="77" t="str">
        <f>IF(A454="","",'Location Master'!B455)</f>
        <v/>
      </c>
      <c r="F454" s="77" t="str">
        <f>IF(A454="","",'Location Master'!C455)</f>
        <v/>
      </c>
      <c r="G454" s="77" t="str">
        <f>IF(A454="","",'Location Master'!D455)</f>
        <v/>
      </c>
      <c r="H454" s="77"/>
    </row>
    <row r="455" ht="15.75" customHeight="1">
      <c r="A455" s="83" t="str">
        <f>IF('Location Master'!E456="","",'Location Master'!E456)</f>
        <v/>
      </c>
      <c r="B455" s="85" t="str">
        <f>IF(A455="","",'Location Master'!H456)</f>
        <v/>
      </c>
      <c r="C455" s="87" t="str">
        <f>IF(A455="","",'Location Master'!I456)</f>
        <v/>
      </c>
      <c r="D455" s="87" t="str">
        <f>IF(A455="","",'Location Master'!A456)</f>
        <v/>
      </c>
      <c r="E455" s="87" t="str">
        <f>IF(A455="","",'Location Master'!B456)</f>
        <v/>
      </c>
      <c r="F455" s="87" t="str">
        <f>IF(A455="","",'Location Master'!C456)</f>
        <v/>
      </c>
      <c r="G455" s="87" t="str">
        <f>IF(A455="","",'Location Master'!D456)</f>
        <v/>
      </c>
      <c r="H455" s="87"/>
    </row>
    <row r="456" ht="15.75" customHeight="1">
      <c r="A456" s="91" t="str">
        <f>IF('Location Master'!E457="","",'Location Master'!E457)</f>
        <v/>
      </c>
      <c r="B456" s="69" t="str">
        <f>IF(A456="","",'Location Master'!H457)</f>
        <v/>
      </c>
      <c r="C456" s="77" t="str">
        <f>IF(A456="","",'Location Master'!I457)</f>
        <v/>
      </c>
      <c r="D456" s="77" t="str">
        <f>IF(A456="","",'Location Master'!A457)</f>
        <v/>
      </c>
      <c r="E456" s="77" t="str">
        <f>IF(A456="","",'Location Master'!B457)</f>
        <v/>
      </c>
      <c r="F456" s="77" t="str">
        <f>IF(A456="","",'Location Master'!C457)</f>
        <v/>
      </c>
      <c r="G456" s="77" t="str">
        <f>IF(A456="","",'Location Master'!D457)</f>
        <v/>
      </c>
      <c r="H456" s="77"/>
    </row>
    <row r="457" ht="15.75" customHeight="1">
      <c r="A457" s="83" t="str">
        <f>IF('Location Master'!E458="","",'Location Master'!E458)</f>
        <v/>
      </c>
      <c r="B457" s="85" t="str">
        <f>IF(A457="","",'Location Master'!H458)</f>
        <v/>
      </c>
      <c r="C457" s="87" t="str">
        <f>IF(A457="","",'Location Master'!I458)</f>
        <v/>
      </c>
      <c r="D457" s="87" t="str">
        <f>IF(A457="","",'Location Master'!A458)</f>
        <v/>
      </c>
      <c r="E457" s="87" t="str">
        <f>IF(A457="","",'Location Master'!B458)</f>
        <v/>
      </c>
      <c r="F457" s="87" t="str">
        <f>IF(A457="","",'Location Master'!C458)</f>
        <v/>
      </c>
      <c r="G457" s="87" t="str">
        <f>IF(A457="","",'Location Master'!D458)</f>
        <v/>
      </c>
      <c r="H457" s="87"/>
    </row>
    <row r="458" ht="15.75" customHeight="1">
      <c r="A458" s="91" t="str">
        <f>IF('Location Master'!E459="","",'Location Master'!E459)</f>
        <v/>
      </c>
      <c r="B458" s="69" t="str">
        <f>IF(A458="","",'Location Master'!H459)</f>
        <v/>
      </c>
      <c r="C458" s="77" t="str">
        <f>IF(A458="","",'Location Master'!I459)</f>
        <v/>
      </c>
      <c r="D458" s="77" t="str">
        <f>IF(A458="","",'Location Master'!A459)</f>
        <v/>
      </c>
      <c r="E458" s="77" t="str">
        <f>IF(A458="","",'Location Master'!B459)</f>
        <v/>
      </c>
      <c r="F458" s="77" t="str">
        <f>IF(A458="","",'Location Master'!C459)</f>
        <v/>
      </c>
      <c r="G458" s="77" t="str">
        <f>IF(A458="","",'Location Master'!D459)</f>
        <v/>
      </c>
      <c r="H458" s="77"/>
    </row>
    <row r="459" ht="15.75" customHeight="1">
      <c r="A459" s="83" t="str">
        <f>IF('Location Master'!E460="","",'Location Master'!E460)</f>
        <v/>
      </c>
      <c r="B459" s="85" t="str">
        <f>IF(A459="","",'Location Master'!H460)</f>
        <v/>
      </c>
      <c r="C459" s="87" t="str">
        <f>IF(A459="","",'Location Master'!I460)</f>
        <v/>
      </c>
      <c r="D459" s="87" t="str">
        <f>IF(A459="","",'Location Master'!A460)</f>
        <v/>
      </c>
      <c r="E459" s="87" t="str">
        <f>IF(A459="","",'Location Master'!B460)</f>
        <v/>
      </c>
      <c r="F459" s="87" t="str">
        <f>IF(A459="","",'Location Master'!C460)</f>
        <v/>
      </c>
      <c r="G459" s="87" t="str">
        <f>IF(A459="","",'Location Master'!D460)</f>
        <v/>
      </c>
      <c r="H459" s="87"/>
    </row>
    <row r="460" ht="15.75" customHeight="1">
      <c r="A460" s="91" t="str">
        <f>IF('Location Master'!E461="","",'Location Master'!E461)</f>
        <v/>
      </c>
      <c r="B460" s="69" t="str">
        <f>IF(A460="","",'Location Master'!H461)</f>
        <v/>
      </c>
      <c r="C460" s="77" t="str">
        <f>IF(A460="","",'Location Master'!I461)</f>
        <v/>
      </c>
      <c r="D460" s="77" t="str">
        <f>IF(A460="","",'Location Master'!A461)</f>
        <v/>
      </c>
      <c r="E460" s="77" t="str">
        <f>IF(A460="","",'Location Master'!B461)</f>
        <v/>
      </c>
      <c r="F460" s="77" t="str">
        <f>IF(A460="","",'Location Master'!C461)</f>
        <v/>
      </c>
      <c r="G460" s="77" t="str">
        <f>IF(A460="","",'Location Master'!D461)</f>
        <v/>
      </c>
      <c r="H460" s="77"/>
    </row>
    <row r="461" ht="15.75" customHeight="1">
      <c r="A461" s="83" t="str">
        <f>IF('Location Master'!E462="","",'Location Master'!E462)</f>
        <v/>
      </c>
      <c r="B461" s="85" t="str">
        <f>IF(A461="","",'Location Master'!H462)</f>
        <v/>
      </c>
      <c r="C461" s="87" t="str">
        <f>IF(A461="","",'Location Master'!I462)</f>
        <v/>
      </c>
      <c r="D461" s="87" t="str">
        <f>IF(A461="","",'Location Master'!A462)</f>
        <v/>
      </c>
      <c r="E461" s="87" t="str">
        <f>IF(A461="","",'Location Master'!B462)</f>
        <v/>
      </c>
      <c r="F461" s="87" t="str">
        <f>IF(A461="","",'Location Master'!C462)</f>
        <v/>
      </c>
      <c r="G461" s="87" t="str">
        <f>IF(A461="","",'Location Master'!D462)</f>
        <v/>
      </c>
      <c r="H461" s="87"/>
    </row>
    <row r="462" ht="15.75" customHeight="1">
      <c r="A462" s="91" t="str">
        <f>IF('Location Master'!E463="","",'Location Master'!E463)</f>
        <v/>
      </c>
      <c r="B462" s="69" t="str">
        <f>IF(A462="","",'Location Master'!H463)</f>
        <v/>
      </c>
      <c r="C462" s="77" t="str">
        <f>IF(A462="","",'Location Master'!I463)</f>
        <v/>
      </c>
      <c r="D462" s="77" t="str">
        <f>IF(A462="","",'Location Master'!A463)</f>
        <v/>
      </c>
      <c r="E462" s="77" t="str">
        <f>IF(A462="","",'Location Master'!B463)</f>
        <v/>
      </c>
      <c r="F462" s="77" t="str">
        <f>IF(A462="","",'Location Master'!C463)</f>
        <v/>
      </c>
      <c r="G462" s="77" t="str">
        <f>IF(A462="","",'Location Master'!D463)</f>
        <v/>
      </c>
      <c r="H462" s="77"/>
    </row>
    <row r="463" ht="15.75" customHeight="1">
      <c r="A463" s="83" t="str">
        <f>IF('Location Master'!E464="","",'Location Master'!E464)</f>
        <v/>
      </c>
      <c r="B463" s="85" t="str">
        <f>IF(A463="","",'Location Master'!H464)</f>
        <v/>
      </c>
      <c r="C463" s="87" t="str">
        <f>IF(A463="","",'Location Master'!I464)</f>
        <v/>
      </c>
      <c r="D463" s="87" t="str">
        <f>IF(A463="","",'Location Master'!A464)</f>
        <v/>
      </c>
      <c r="E463" s="87" t="str">
        <f>IF(A463="","",'Location Master'!B464)</f>
        <v/>
      </c>
      <c r="F463" s="87" t="str">
        <f>IF(A463="","",'Location Master'!C464)</f>
        <v/>
      </c>
      <c r="G463" s="87" t="str">
        <f>IF(A463="","",'Location Master'!D464)</f>
        <v/>
      </c>
      <c r="H463" s="87"/>
    </row>
    <row r="464" ht="15.75" customHeight="1">
      <c r="A464" s="91" t="str">
        <f>IF('Location Master'!E465="","",'Location Master'!E465)</f>
        <v/>
      </c>
      <c r="B464" s="69" t="str">
        <f>IF(A464="","",'Location Master'!H465)</f>
        <v/>
      </c>
      <c r="C464" s="77" t="str">
        <f>IF(A464="","",'Location Master'!I465)</f>
        <v/>
      </c>
      <c r="D464" s="77" t="str">
        <f>IF(A464="","",'Location Master'!A465)</f>
        <v/>
      </c>
      <c r="E464" s="77" t="str">
        <f>IF(A464="","",'Location Master'!B465)</f>
        <v/>
      </c>
      <c r="F464" s="77" t="str">
        <f>IF(A464="","",'Location Master'!C465)</f>
        <v/>
      </c>
      <c r="G464" s="77" t="str">
        <f>IF(A464="","",'Location Master'!D465)</f>
        <v/>
      </c>
      <c r="H464" s="77"/>
    </row>
    <row r="465" ht="15.75" customHeight="1">
      <c r="A465" s="83" t="str">
        <f>IF('Location Master'!E466="","",'Location Master'!E466)</f>
        <v/>
      </c>
      <c r="B465" s="85" t="str">
        <f>IF(A465="","",'Location Master'!H466)</f>
        <v/>
      </c>
      <c r="C465" s="87" t="str">
        <f>IF(A465="","",'Location Master'!I466)</f>
        <v/>
      </c>
      <c r="D465" s="87" t="str">
        <f>IF(A465="","",'Location Master'!A466)</f>
        <v/>
      </c>
      <c r="E465" s="87" t="str">
        <f>IF(A465="","",'Location Master'!B466)</f>
        <v/>
      </c>
      <c r="F465" s="87" t="str">
        <f>IF(A465="","",'Location Master'!C466)</f>
        <v/>
      </c>
      <c r="G465" s="87" t="str">
        <f>IF(A465="","",'Location Master'!D466)</f>
        <v/>
      </c>
      <c r="H465" s="87"/>
    </row>
    <row r="466" ht="15.75" customHeight="1">
      <c r="A466" s="91" t="str">
        <f>IF('Location Master'!E467="","",'Location Master'!E467)</f>
        <v/>
      </c>
      <c r="B466" s="69" t="str">
        <f>IF(A466="","",'Location Master'!H467)</f>
        <v/>
      </c>
      <c r="C466" s="77" t="str">
        <f>IF(A466="","",'Location Master'!I467)</f>
        <v/>
      </c>
      <c r="D466" s="77" t="str">
        <f>IF(A466="","",'Location Master'!A467)</f>
        <v/>
      </c>
      <c r="E466" s="77" t="str">
        <f>IF(A466="","",'Location Master'!B467)</f>
        <v/>
      </c>
      <c r="F466" s="77" t="str">
        <f>IF(A466="","",'Location Master'!C467)</f>
        <v/>
      </c>
      <c r="G466" s="77" t="str">
        <f>IF(A466="","",'Location Master'!D467)</f>
        <v/>
      </c>
      <c r="H466" s="77"/>
    </row>
    <row r="467" ht="15.75" customHeight="1">
      <c r="A467" s="83" t="str">
        <f>IF('Location Master'!E468="","",'Location Master'!E468)</f>
        <v/>
      </c>
      <c r="B467" s="85" t="str">
        <f>IF(A467="","",'Location Master'!H468)</f>
        <v/>
      </c>
      <c r="C467" s="87" t="str">
        <f>IF(A467="","",'Location Master'!I468)</f>
        <v/>
      </c>
      <c r="D467" s="87" t="str">
        <f>IF(A467="","",'Location Master'!A468)</f>
        <v/>
      </c>
      <c r="E467" s="87" t="str">
        <f>IF(A467="","",'Location Master'!B468)</f>
        <v/>
      </c>
      <c r="F467" s="87" t="str">
        <f>IF(A467="","",'Location Master'!C468)</f>
        <v/>
      </c>
      <c r="G467" s="87" t="str">
        <f>IF(A467="","",'Location Master'!D468)</f>
        <v/>
      </c>
      <c r="H467" s="87"/>
    </row>
    <row r="468" ht="15.75" customHeight="1">
      <c r="A468" s="91" t="str">
        <f>IF('Location Master'!E469="","",'Location Master'!E469)</f>
        <v/>
      </c>
      <c r="B468" s="69" t="str">
        <f>IF(A468="","",'Location Master'!H469)</f>
        <v/>
      </c>
      <c r="C468" s="77" t="str">
        <f>IF(A468="","",'Location Master'!I469)</f>
        <v/>
      </c>
      <c r="D468" s="77" t="str">
        <f>IF(A468="","",'Location Master'!A469)</f>
        <v/>
      </c>
      <c r="E468" s="77" t="str">
        <f>IF(A468="","",'Location Master'!B469)</f>
        <v/>
      </c>
      <c r="F468" s="77" t="str">
        <f>IF(A468="","",'Location Master'!C469)</f>
        <v/>
      </c>
      <c r="G468" s="77" t="str">
        <f>IF(A468="","",'Location Master'!D469)</f>
        <v/>
      </c>
      <c r="H468" s="77"/>
    </row>
    <row r="469" ht="15.75" customHeight="1">
      <c r="A469" s="83" t="str">
        <f>IF('Location Master'!E470="","",'Location Master'!E470)</f>
        <v/>
      </c>
      <c r="B469" s="85" t="str">
        <f>IF(A469="","",'Location Master'!H470)</f>
        <v/>
      </c>
      <c r="C469" s="87" t="str">
        <f>IF(A469="","",'Location Master'!I470)</f>
        <v/>
      </c>
      <c r="D469" s="87" t="str">
        <f>IF(A469="","",'Location Master'!A470)</f>
        <v/>
      </c>
      <c r="E469" s="87" t="str">
        <f>IF(A469="","",'Location Master'!B470)</f>
        <v/>
      </c>
      <c r="F469" s="87" t="str">
        <f>IF(A469="","",'Location Master'!C470)</f>
        <v/>
      </c>
      <c r="G469" s="87" t="str">
        <f>IF(A469="","",'Location Master'!D470)</f>
        <v/>
      </c>
      <c r="H469" s="87"/>
    </row>
    <row r="470" ht="15.75" customHeight="1">
      <c r="A470" s="91" t="str">
        <f>IF('Location Master'!E471="","",'Location Master'!E471)</f>
        <v/>
      </c>
      <c r="B470" s="69" t="str">
        <f>IF(A470="","",'Location Master'!H471)</f>
        <v/>
      </c>
      <c r="C470" s="77" t="str">
        <f>IF(A470="","",'Location Master'!I471)</f>
        <v/>
      </c>
      <c r="D470" s="77" t="str">
        <f>IF(A470="","",'Location Master'!A471)</f>
        <v/>
      </c>
      <c r="E470" s="77" t="str">
        <f>IF(A470="","",'Location Master'!B471)</f>
        <v/>
      </c>
      <c r="F470" s="77" t="str">
        <f>IF(A470="","",'Location Master'!C471)</f>
        <v/>
      </c>
      <c r="G470" s="77" t="str">
        <f>IF(A470="","",'Location Master'!D471)</f>
        <v/>
      </c>
      <c r="H470" s="77"/>
    </row>
    <row r="471" ht="15.75" customHeight="1">
      <c r="A471" s="83" t="str">
        <f>IF('Location Master'!E472="","",'Location Master'!E472)</f>
        <v/>
      </c>
      <c r="B471" s="85" t="str">
        <f>IF(A471="","",'Location Master'!H472)</f>
        <v/>
      </c>
      <c r="C471" s="87" t="str">
        <f>IF(A471="","",'Location Master'!I472)</f>
        <v/>
      </c>
      <c r="D471" s="87" t="str">
        <f>IF(A471="","",'Location Master'!A472)</f>
        <v/>
      </c>
      <c r="E471" s="87" t="str">
        <f>IF(A471="","",'Location Master'!B472)</f>
        <v/>
      </c>
      <c r="F471" s="87" t="str">
        <f>IF(A471="","",'Location Master'!C472)</f>
        <v/>
      </c>
      <c r="G471" s="87" t="str">
        <f>IF(A471="","",'Location Master'!D472)</f>
        <v/>
      </c>
      <c r="H471" s="87"/>
    </row>
    <row r="472" ht="15.75" customHeight="1">
      <c r="A472" s="91" t="str">
        <f>IF('Location Master'!E473="","",'Location Master'!E473)</f>
        <v/>
      </c>
      <c r="B472" s="69" t="str">
        <f>IF(A472="","",'Location Master'!H473)</f>
        <v/>
      </c>
      <c r="C472" s="77" t="str">
        <f>IF(A472="","",'Location Master'!I473)</f>
        <v/>
      </c>
      <c r="D472" s="77" t="str">
        <f>IF(A472="","",'Location Master'!A473)</f>
        <v/>
      </c>
      <c r="E472" s="77" t="str">
        <f>IF(A472="","",'Location Master'!B473)</f>
        <v/>
      </c>
      <c r="F472" s="77" t="str">
        <f>IF(A472="","",'Location Master'!C473)</f>
        <v/>
      </c>
      <c r="G472" s="77" t="str">
        <f>IF(A472="","",'Location Master'!D473)</f>
        <v/>
      </c>
      <c r="H472" s="77"/>
    </row>
    <row r="473" ht="15.75" customHeight="1">
      <c r="A473" s="83" t="str">
        <f>IF('Location Master'!E474="","",'Location Master'!E474)</f>
        <v/>
      </c>
      <c r="B473" s="85" t="str">
        <f>IF(A473="","",'Location Master'!H474)</f>
        <v/>
      </c>
      <c r="C473" s="87" t="str">
        <f>IF(A473="","",'Location Master'!I474)</f>
        <v/>
      </c>
      <c r="D473" s="87" t="str">
        <f>IF(A473="","",'Location Master'!A474)</f>
        <v/>
      </c>
      <c r="E473" s="87" t="str">
        <f>IF(A473="","",'Location Master'!B474)</f>
        <v/>
      </c>
      <c r="F473" s="87" t="str">
        <f>IF(A473="","",'Location Master'!C474)</f>
        <v/>
      </c>
      <c r="G473" s="87" t="str">
        <f>IF(A473="","",'Location Master'!D474)</f>
        <v/>
      </c>
      <c r="H473" s="87"/>
    </row>
    <row r="474" ht="15.75" customHeight="1">
      <c r="A474" s="91" t="str">
        <f>IF('Location Master'!E475="","",'Location Master'!E475)</f>
        <v/>
      </c>
      <c r="B474" s="69" t="str">
        <f>IF(A474="","",'Location Master'!H475)</f>
        <v/>
      </c>
      <c r="C474" s="77" t="str">
        <f>IF(A474="","",'Location Master'!I475)</f>
        <v/>
      </c>
      <c r="D474" s="77" t="str">
        <f>IF(A474="","",'Location Master'!A475)</f>
        <v/>
      </c>
      <c r="E474" s="77" t="str">
        <f>IF(A474="","",'Location Master'!B475)</f>
        <v/>
      </c>
      <c r="F474" s="77" t="str">
        <f>IF(A474="","",'Location Master'!C475)</f>
        <v/>
      </c>
      <c r="G474" s="77" t="str">
        <f>IF(A474="","",'Location Master'!D475)</f>
        <v/>
      </c>
      <c r="H474" s="77"/>
    </row>
    <row r="475" ht="15.75" customHeight="1">
      <c r="A475" s="83" t="str">
        <f>IF('Location Master'!E476="","",'Location Master'!E476)</f>
        <v/>
      </c>
      <c r="B475" s="85" t="str">
        <f>IF(A475="","",'Location Master'!H476)</f>
        <v/>
      </c>
      <c r="C475" s="87" t="str">
        <f>IF(A475="","",'Location Master'!I476)</f>
        <v/>
      </c>
      <c r="D475" s="87" t="str">
        <f>IF(A475="","",'Location Master'!A476)</f>
        <v/>
      </c>
      <c r="E475" s="87" t="str">
        <f>IF(A475="","",'Location Master'!B476)</f>
        <v/>
      </c>
      <c r="F475" s="87" t="str">
        <f>IF(A475="","",'Location Master'!C476)</f>
        <v/>
      </c>
      <c r="G475" s="87" t="str">
        <f>IF(A475="","",'Location Master'!D476)</f>
        <v/>
      </c>
      <c r="H475" s="87"/>
    </row>
    <row r="476" ht="15.75" customHeight="1">
      <c r="A476" s="91" t="str">
        <f>IF('Location Master'!E477="","",'Location Master'!E477)</f>
        <v/>
      </c>
      <c r="B476" s="69" t="str">
        <f>IF(A476="","",'Location Master'!H477)</f>
        <v/>
      </c>
      <c r="C476" s="77" t="str">
        <f>IF(A476="","",'Location Master'!I477)</f>
        <v/>
      </c>
      <c r="D476" s="77" t="str">
        <f>IF(A476="","",'Location Master'!A477)</f>
        <v/>
      </c>
      <c r="E476" s="77" t="str">
        <f>IF(A476="","",'Location Master'!B477)</f>
        <v/>
      </c>
      <c r="F476" s="77" t="str">
        <f>IF(A476="","",'Location Master'!C477)</f>
        <v/>
      </c>
      <c r="G476" s="77" t="str">
        <f>IF(A476="","",'Location Master'!D477)</f>
        <v/>
      </c>
      <c r="H476" s="77"/>
    </row>
    <row r="477" ht="15.75" customHeight="1">
      <c r="A477" s="83" t="str">
        <f>IF('Location Master'!E478="","",'Location Master'!E478)</f>
        <v/>
      </c>
      <c r="B477" s="85" t="str">
        <f>IF(A477="","",'Location Master'!H478)</f>
        <v/>
      </c>
      <c r="C477" s="87" t="str">
        <f>IF(A477="","",'Location Master'!I478)</f>
        <v/>
      </c>
      <c r="D477" s="87" t="str">
        <f>IF(A477="","",'Location Master'!A478)</f>
        <v/>
      </c>
      <c r="E477" s="87" t="str">
        <f>IF(A477="","",'Location Master'!B478)</f>
        <v/>
      </c>
      <c r="F477" s="87" t="str">
        <f>IF(A477="","",'Location Master'!C478)</f>
        <v/>
      </c>
      <c r="G477" s="87" t="str">
        <f>IF(A477="","",'Location Master'!D478)</f>
        <v/>
      </c>
      <c r="H477" s="87"/>
    </row>
    <row r="478" ht="15.75" customHeight="1">
      <c r="A478" s="91" t="str">
        <f>IF('Location Master'!E479="","",'Location Master'!E479)</f>
        <v/>
      </c>
      <c r="B478" s="69" t="str">
        <f>IF(A478="","",'Location Master'!H479)</f>
        <v/>
      </c>
      <c r="C478" s="77" t="str">
        <f>IF(A478="","",'Location Master'!I479)</f>
        <v/>
      </c>
      <c r="D478" s="77" t="str">
        <f>IF(A478="","",'Location Master'!A479)</f>
        <v/>
      </c>
      <c r="E478" s="77" t="str">
        <f>IF(A478="","",'Location Master'!B479)</f>
        <v/>
      </c>
      <c r="F478" s="77" t="str">
        <f>IF(A478="","",'Location Master'!C479)</f>
        <v/>
      </c>
      <c r="G478" s="77" t="str">
        <f>IF(A478="","",'Location Master'!D479)</f>
        <v/>
      </c>
      <c r="H478" s="77"/>
    </row>
    <row r="479" ht="15.75" customHeight="1">
      <c r="A479" s="83" t="str">
        <f>IF('Location Master'!E480="","",'Location Master'!E480)</f>
        <v/>
      </c>
      <c r="B479" s="85" t="str">
        <f>IF(A479="","",'Location Master'!H480)</f>
        <v/>
      </c>
      <c r="C479" s="87" t="str">
        <f>IF(A479="","",'Location Master'!I480)</f>
        <v/>
      </c>
      <c r="D479" s="87" t="str">
        <f>IF(A479="","",'Location Master'!A480)</f>
        <v/>
      </c>
      <c r="E479" s="87" t="str">
        <f>IF(A479="","",'Location Master'!B480)</f>
        <v/>
      </c>
      <c r="F479" s="87" t="str">
        <f>IF(A479="","",'Location Master'!C480)</f>
        <v/>
      </c>
      <c r="G479" s="87" t="str">
        <f>IF(A479="","",'Location Master'!D480)</f>
        <v/>
      </c>
      <c r="H479" s="87"/>
    </row>
    <row r="480" ht="15.75" customHeight="1">
      <c r="A480" s="91" t="str">
        <f>IF('Location Master'!E481="","",'Location Master'!E481)</f>
        <v/>
      </c>
      <c r="B480" s="69" t="str">
        <f>IF(A480="","",'Location Master'!H481)</f>
        <v/>
      </c>
      <c r="C480" s="77" t="str">
        <f>IF(A480="","",'Location Master'!I481)</f>
        <v/>
      </c>
      <c r="D480" s="77" t="str">
        <f>IF(A480="","",'Location Master'!A481)</f>
        <v/>
      </c>
      <c r="E480" s="77" t="str">
        <f>IF(A480="","",'Location Master'!B481)</f>
        <v/>
      </c>
      <c r="F480" s="77" t="str">
        <f>IF(A480="","",'Location Master'!C481)</f>
        <v/>
      </c>
      <c r="G480" s="77" t="str">
        <f>IF(A480="","",'Location Master'!D481)</f>
        <v/>
      </c>
      <c r="H480" s="77"/>
    </row>
    <row r="481" ht="15.75" customHeight="1">
      <c r="A481" s="83" t="str">
        <f>IF('Location Master'!E482="","",'Location Master'!E482)</f>
        <v/>
      </c>
      <c r="B481" s="85" t="str">
        <f>IF(A481="","",'Location Master'!H482)</f>
        <v/>
      </c>
      <c r="C481" s="87" t="str">
        <f>IF(A481="","",'Location Master'!I482)</f>
        <v/>
      </c>
      <c r="D481" s="87" t="str">
        <f>IF(A481="","",'Location Master'!A482)</f>
        <v/>
      </c>
      <c r="E481" s="87" t="str">
        <f>IF(A481="","",'Location Master'!B482)</f>
        <v/>
      </c>
      <c r="F481" s="87" t="str">
        <f>IF(A481="","",'Location Master'!C482)</f>
        <v/>
      </c>
      <c r="G481" s="87" t="str">
        <f>IF(A481="","",'Location Master'!D482)</f>
        <v/>
      </c>
      <c r="H481" s="87"/>
    </row>
    <row r="482" ht="15.75" customHeight="1">
      <c r="A482" s="91" t="str">
        <f>IF('Location Master'!E483="","",'Location Master'!E483)</f>
        <v/>
      </c>
      <c r="B482" s="69" t="str">
        <f>IF(A482="","",'Location Master'!H483)</f>
        <v/>
      </c>
      <c r="C482" s="77" t="str">
        <f>IF(A482="","",'Location Master'!I483)</f>
        <v/>
      </c>
      <c r="D482" s="77" t="str">
        <f>IF(A482="","",'Location Master'!A483)</f>
        <v/>
      </c>
      <c r="E482" s="77" t="str">
        <f>IF(A482="","",'Location Master'!B483)</f>
        <v/>
      </c>
      <c r="F482" s="77" t="str">
        <f>IF(A482="","",'Location Master'!C483)</f>
        <v/>
      </c>
      <c r="G482" s="77" t="str">
        <f>IF(A482="","",'Location Master'!D483)</f>
        <v/>
      </c>
      <c r="H482" s="77"/>
    </row>
    <row r="483" ht="15.75" customHeight="1">
      <c r="A483" s="83" t="str">
        <f>IF('Location Master'!E484="","",'Location Master'!E484)</f>
        <v/>
      </c>
      <c r="B483" s="85" t="str">
        <f>IF(A483="","",'Location Master'!H484)</f>
        <v/>
      </c>
      <c r="C483" s="87" t="str">
        <f>IF(A483="","",'Location Master'!I484)</f>
        <v/>
      </c>
      <c r="D483" s="87" t="str">
        <f>IF(A483="","",'Location Master'!A484)</f>
        <v/>
      </c>
      <c r="E483" s="87" t="str">
        <f>IF(A483="","",'Location Master'!B484)</f>
        <v/>
      </c>
      <c r="F483" s="87" t="str">
        <f>IF(A483="","",'Location Master'!C484)</f>
        <v/>
      </c>
      <c r="G483" s="87" t="str">
        <f>IF(A483="","",'Location Master'!D484)</f>
        <v/>
      </c>
      <c r="H483" s="87"/>
    </row>
    <row r="484" ht="15.75" customHeight="1">
      <c r="A484" s="91" t="str">
        <f>IF('Location Master'!E485="","",'Location Master'!E485)</f>
        <v/>
      </c>
      <c r="B484" s="69" t="str">
        <f>IF(A484="","",'Location Master'!H485)</f>
        <v/>
      </c>
      <c r="C484" s="77" t="str">
        <f>IF(A484="","",'Location Master'!I485)</f>
        <v/>
      </c>
      <c r="D484" s="77" t="str">
        <f>IF(A484="","",'Location Master'!A485)</f>
        <v/>
      </c>
      <c r="E484" s="77" t="str">
        <f>IF(A484="","",'Location Master'!B485)</f>
        <v/>
      </c>
      <c r="F484" s="77" t="str">
        <f>IF(A484="","",'Location Master'!C485)</f>
        <v/>
      </c>
      <c r="G484" s="77" t="str">
        <f>IF(A484="","",'Location Master'!D485)</f>
        <v/>
      </c>
      <c r="H484" s="77"/>
    </row>
    <row r="485" ht="15.75" customHeight="1">
      <c r="A485" s="83" t="str">
        <f>IF('Location Master'!E486="","",'Location Master'!E486)</f>
        <v/>
      </c>
      <c r="B485" s="85" t="str">
        <f>IF(A485="","",'Location Master'!H486)</f>
        <v/>
      </c>
      <c r="C485" s="87" t="str">
        <f>IF(A485="","",'Location Master'!I486)</f>
        <v/>
      </c>
      <c r="D485" s="87" t="str">
        <f>IF(A485="","",'Location Master'!A486)</f>
        <v/>
      </c>
      <c r="E485" s="87" t="str">
        <f>IF(A485="","",'Location Master'!B486)</f>
        <v/>
      </c>
      <c r="F485" s="87" t="str">
        <f>IF(A485="","",'Location Master'!C486)</f>
        <v/>
      </c>
      <c r="G485" s="87" t="str">
        <f>IF(A485="","",'Location Master'!D486)</f>
        <v/>
      </c>
      <c r="H485" s="87"/>
    </row>
    <row r="486" ht="15.75" customHeight="1">
      <c r="A486" s="91" t="str">
        <f>IF('Location Master'!E487="","",'Location Master'!E487)</f>
        <v/>
      </c>
      <c r="B486" s="69" t="str">
        <f>IF(A486="","",'Location Master'!H487)</f>
        <v/>
      </c>
      <c r="C486" s="77" t="str">
        <f>IF(A486="","",'Location Master'!I487)</f>
        <v/>
      </c>
      <c r="D486" s="77" t="str">
        <f>IF(A486="","",'Location Master'!A487)</f>
        <v/>
      </c>
      <c r="E486" s="77" t="str">
        <f>IF(A486="","",'Location Master'!B487)</f>
        <v/>
      </c>
      <c r="F486" s="77" t="str">
        <f>IF(A486="","",'Location Master'!C487)</f>
        <v/>
      </c>
      <c r="G486" s="77" t="str">
        <f>IF(A486="","",'Location Master'!D487)</f>
        <v/>
      </c>
      <c r="H486" s="77"/>
    </row>
    <row r="487" ht="15.75" customHeight="1">
      <c r="A487" s="83" t="str">
        <f>IF('Location Master'!E488="","",'Location Master'!E488)</f>
        <v/>
      </c>
      <c r="B487" s="85" t="str">
        <f>IF(A487="","",'Location Master'!H488)</f>
        <v/>
      </c>
      <c r="C487" s="87" t="str">
        <f>IF(A487="","",'Location Master'!I488)</f>
        <v/>
      </c>
      <c r="D487" s="87" t="str">
        <f>IF(A487="","",'Location Master'!A488)</f>
        <v/>
      </c>
      <c r="E487" s="87" t="str">
        <f>IF(A487="","",'Location Master'!B488)</f>
        <v/>
      </c>
      <c r="F487" s="87" t="str">
        <f>IF(A487="","",'Location Master'!C488)</f>
        <v/>
      </c>
      <c r="G487" s="87" t="str">
        <f>IF(A487="","",'Location Master'!D488)</f>
        <v/>
      </c>
      <c r="H487" s="87"/>
    </row>
    <row r="488" ht="15.75" customHeight="1">
      <c r="A488" s="91" t="str">
        <f>IF('Location Master'!E489="","",'Location Master'!E489)</f>
        <v/>
      </c>
      <c r="B488" s="69" t="str">
        <f>IF(A488="","",'Location Master'!H489)</f>
        <v/>
      </c>
      <c r="C488" s="77" t="str">
        <f>IF(A488="","",'Location Master'!I489)</f>
        <v/>
      </c>
      <c r="D488" s="77" t="str">
        <f>IF(A488="","",'Location Master'!A489)</f>
        <v/>
      </c>
      <c r="E488" s="77" t="str">
        <f>IF(A488="","",'Location Master'!B489)</f>
        <v/>
      </c>
      <c r="F488" s="77" t="str">
        <f>IF(A488="","",'Location Master'!C489)</f>
        <v/>
      </c>
      <c r="G488" s="77" t="str">
        <f>IF(A488="","",'Location Master'!D489)</f>
        <v/>
      </c>
      <c r="H488" s="77"/>
    </row>
    <row r="489" ht="15.75" customHeight="1">
      <c r="A489" s="83" t="str">
        <f>IF('Location Master'!E490="","",'Location Master'!E490)</f>
        <v/>
      </c>
      <c r="B489" s="85" t="str">
        <f>IF(A489="","",'Location Master'!H490)</f>
        <v/>
      </c>
      <c r="C489" s="87" t="str">
        <f>IF(A489="","",'Location Master'!I490)</f>
        <v/>
      </c>
      <c r="D489" s="87" t="str">
        <f>IF(A489="","",'Location Master'!A490)</f>
        <v/>
      </c>
      <c r="E489" s="87" t="str">
        <f>IF(A489="","",'Location Master'!B490)</f>
        <v/>
      </c>
      <c r="F489" s="87" t="str">
        <f>IF(A489="","",'Location Master'!C490)</f>
        <v/>
      </c>
      <c r="G489" s="87" t="str">
        <f>IF(A489="","",'Location Master'!D490)</f>
        <v/>
      </c>
      <c r="H489" s="87"/>
    </row>
    <row r="490" ht="15.75" customHeight="1">
      <c r="A490" s="91" t="str">
        <f>IF('Location Master'!E491="","",'Location Master'!E491)</f>
        <v/>
      </c>
      <c r="B490" s="69" t="str">
        <f>IF(A490="","",'Location Master'!H491)</f>
        <v/>
      </c>
      <c r="C490" s="77" t="str">
        <f>IF(A490="","",'Location Master'!I491)</f>
        <v/>
      </c>
      <c r="D490" s="77" t="str">
        <f>IF(A490="","",'Location Master'!A491)</f>
        <v/>
      </c>
      <c r="E490" s="77" t="str">
        <f>IF(A490="","",'Location Master'!B491)</f>
        <v/>
      </c>
      <c r="F490" s="77" t="str">
        <f>IF(A490="","",'Location Master'!C491)</f>
        <v/>
      </c>
      <c r="G490" s="77" t="str">
        <f>IF(A490="","",'Location Master'!D491)</f>
        <v/>
      </c>
      <c r="H490" s="77"/>
    </row>
    <row r="491" ht="15.75" customHeight="1">
      <c r="A491" s="83" t="str">
        <f>IF('Location Master'!E492="","",'Location Master'!E492)</f>
        <v/>
      </c>
      <c r="B491" s="85" t="str">
        <f>IF(A491="","",'Location Master'!H492)</f>
        <v/>
      </c>
      <c r="C491" s="87" t="str">
        <f>IF(A491="","",'Location Master'!I492)</f>
        <v/>
      </c>
      <c r="D491" s="87" t="str">
        <f>IF(A491="","",'Location Master'!A492)</f>
        <v/>
      </c>
      <c r="E491" s="87" t="str">
        <f>IF(A491="","",'Location Master'!B492)</f>
        <v/>
      </c>
      <c r="F491" s="87" t="str">
        <f>IF(A491="","",'Location Master'!C492)</f>
        <v/>
      </c>
      <c r="G491" s="87" t="str">
        <f>IF(A491="","",'Location Master'!D492)</f>
        <v/>
      </c>
      <c r="H491" s="87"/>
    </row>
    <row r="492" ht="15.75" customHeight="1">
      <c r="A492" s="91" t="str">
        <f>IF('Location Master'!E493="","",'Location Master'!E493)</f>
        <v/>
      </c>
      <c r="B492" s="69" t="str">
        <f>IF(A492="","",'Location Master'!H493)</f>
        <v/>
      </c>
      <c r="C492" s="77" t="str">
        <f>IF(A492="","",'Location Master'!I493)</f>
        <v/>
      </c>
      <c r="D492" s="77" t="str">
        <f>IF(A492="","",'Location Master'!A493)</f>
        <v/>
      </c>
      <c r="E492" s="77" t="str">
        <f>IF(A492="","",'Location Master'!B493)</f>
        <v/>
      </c>
      <c r="F492" s="77" t="str">
        <f>IF(A492="","",'Location Master'!C493)</f>
        <v/>
      </c>
      <c r="G492" s="77" t="str">
        <f>IF(A492="","",'Location Master'!D493)</f>
        <v/>
      </c>
      <c r="H492" s="77"/>
    </row>
    <row r="493" ht="15.75" customHeight="1">
      <c r="A493" s="83" t="str">
        <f>IF('Location Master'!E494="","",'Location Master'!E494)</f>
        <v/>
      </c>
      <c r="B493" s="85" t="str">
        <f>IF(A493="","",'Location Master'!H494)</f>
        <v/>
      </c>
      <c r="C493" s="87" t="str">
        <f>IF(A493="","",'Location Master'!I494)</f>
        <v/>
      </c>
      <c r="D493" s="87" t="str">
        <f>IF(A493="","",'Location Master'!A494)</f>
        <v/>
      </c>
      <c r="E493" s="87" t="str">
        <f>IF(A493="","",'Location Master'!B494)</f>
        <v/>
      </c>
      <c r="F493" s="87" t="str">
        <f>IF(A493="","",'Location Master'!C494)</f>
        <v/>
      </c>
      <c r="G493" s="87" t="str">
        <f>IF(A493="","",'Location Master'!D494)</f>
        <v/>
      </c>
      <c r="H493" s="87"/>
    </row>
    <row r="494" ht="15.75" customHeight="1">
      <c r="A494" s="91" t="str">
        <f>IF('Location Master'!E495="","",'Location Master'!E495)</f>
        <v/>
      </c>
      <c r="B494" s="69" t="str">
        <f>IF(A494="","",'Location Master'!H495)</f>
        <v/>
      </c>
      <c r="C494" s="77" t="str">
        <f>IF(A494="","",'Location Master'!I495)</f>
        <v/>
      </c>
      <c r="D494" s="77" t="str">
        <f>IF(A494="","",'Location Master'!A495)</f>
        <v/>
      </c>
      <c r="E494" s="77" t="str">
        <f>IF(A494="","",'Location Master'!B495)</f>
        <v/>
      </c>
      <c r="F494" s="77" t="str">
        <f>IF(A494="","",'Location Master'!C495)</f>
        <v/>
      </c>
      <c r="G494" s="77" t="str">
        <f>IF(A494="","",'Location Master'!D495)</f>
        <v/>
      </c>
      <c r="H494" s="77"/>
    </row>
    <row r="495" ht="15.75" customHeight="1">
      <c r="A495" s="83" t="str">
        <f>IF('Location Master'!E496="","",'Location Master'!E496)</f>
        <v/>
      </c>
      <c r="B495" s="85" t="str">
        <f>IF(A495="","",'Location Master'!H496)</f>
        <v/>
      </c>
      <c r="C495" s="87" t="str">
        <f>IF(A495="","",'Location Master'!I496)</f>
        <v/>
      </c>
      <c r="D495" s="87" t="str">
        <f>IF(A495="","",'Location Master'!A496)</f>
        <v/>
      </c>
      <c r="E495" s="87" t="str">
        <f>IF(A495="","",'Location Master'!B496)</f>
        <v/>
      </c>
      <c r="F495" s="87" t="str">
        <f>IF(A495="","",'Location Master'!C496)</f>
        <v/>
      </c>
      <c r="G495" s="87" t="str">
        <f>IF(A495="","",'Location Master'!D496)</f>
        <v/>
      </c>
      <c r="H495" s="87"/>
    </row>
    <row r="496" ht="15.75" customHeight="1">
      <c r="A496" s="91" t="str">
        <f>IF('Location Master'!E497="","",'Location Master'!E497)</f>
        <v/>
      </c>
      <c r="B496" s="69" t="str">
        <f>IF(A496="","",'Location Master'!H497)</f>
        <v/>
      </c>
      <c r="C496" s="77" t="str">
        <f>IF(A496="","",'Location Master'!I497)</f>
        <v/>
      </c>
      <c r="D496" s="77" t="str">
        <f>IF(A496="","",'Location Master'!A497)</f>
        <v/>
      </c>
      <c r="E496" s="77" t="str">
        <f>IF(A496="","",'Location Master'!B497)</f>
        <v/>
      </c>
      <c r="F496" s="77" t="str">
        <f>IF(A496="","",'Location Master'!C497)</f>
        <v/>
      </c>
      <c r="G496" s="77" t="str">
        <f>IF(A496="","",'Location Master'!D497)</f>
        <v/>
      </c>
      <c r="H496" s="77"/>
    </row>
    <row r="497" ht="15.75" customHeight="1">
      <c r="A497" s="83" t="str">
        <f>IF('Location Master'!E498="","",'Location Master'!E498)</f>
        <v/>
      </c>
      <c r="B497" s="85" t="str">
        <f>IF(A497="","",'Location Master'!H498)</f>
        <v/>
      </c>
      <c r="C497" s="87" t="str">
        <f>IF(A497="","",'Location Master'!I498)</f>
        <v/>
      </c>
      <c r="D497" s="87" t="str">
        <f>IF(A497="","",'Location Master'!A498)</f>
        <v/>
      </c>
      <c r="E497" s="87" t="str">
        <f>IF(A497="","",'Location Master'!B498)</f>
        <v/>
      </c>
      <c r="F497" s="87" t="str">
        <f>IF(A497="","",'Location Master'!C498)</f>
        <v/>
      </c>
      <c r="G497" s="87" t="str">
        <f>IF(A497="","",'Location Master'!D498)</f>
        <v/>
      </c>
      <c r="H497" s="87"/>
    </row>
    <row r="498" ht="15.75" customHeight="1">
      <c r="A498" s="91" t="str">
        <f>IF('Location Master'!E499="","",'Location Master'!E499)</f>
        <v/>
      </c>
      <c r="B498" s="69" t="str">
        <f>IF(A498="","",'Location Master'!H499)</f>
        <v/>
      </c>
      <c r="C498" s="77" t="str">
        <f>IF(A498="","",'Location Master'!I499)</f>
        <v/>
      </c>
      <c r="D498" s="77" t="str">
        <f>IF(A498="","",'Location Master'!A499)</f>
        <v/>
      </c>
      <c r="E498" s="77" t="str">
        <f>IF(A498="","",'Location Master'!B499)</f>
        <v/>
      </c>
      <c r="F498" s="77" t="str">
        <f>IF(A498="","",'Location Master'!C499)</f>
        <v/>
      </c>
      <c r="G498" s="77" t="str">
        <f>IF(A498="","",'Location Master'!D499)</f>
        <v/>
      </c>
      <c r="H498" s="77"/>
    </row>
    <row r="499" ht="15.75" customHeight="1">
      <c r="A499" s="83" t="str">
        <f>IF('Location Master'!E500="","",'Location Master'!E500)</f>
        <v/>
      </c>
      <c r="B499" s="85" t="str">
        <f>IF(A499="","",'Location Master'!H500)</f>
        <v/>
      </c>
      <c r="C499" s="87" t="str">
        <f>IF(A499="","",'Location Master'!I500)</f>
        <v/>
      </c>
      <c r="D499" s="87" t="str">
        <f>IF(A499="","",'Location Master'!A500)</f>
        <v/>
      </c>
      <c r="E499" s="87" t="str">
        <f>IF(A499="","",'Location Master'!B500)</f>
        <v/>
      </c>
      <c r="F499" s="87" t="str">
        <f>IF(A499="","",'Location Master'!C500)</f>
        <v/>
      </c>
      <c r="G499" s="87" t="str">
        <f>IF(A499="","",'Location Master'!D500)</f>
        <v/>
      </c>
      <c r="H499" s="87"/>
    </row>
    <row r="500" ht="15.75" customHeight="1">
      <c r="A500" s="91" t="str">
        <f>IF('Location Master'!E501="","",'Location Master'!E501)</f>
        <v/>
      </c>
      <c r="B500" s="69" t="str">
        <f>IF(A500="","",'Location Master'!H501)</f>
        <v/>
      </c>
      <c r="C500" s="77" t="str">
        <f>IF(A500="","",'Location Master'!I501)</f>
        <v/>
      </c>
      <c r="D500" s="77" t="str">
        <f>IF(A500="","",'Location Master'!A501)</f>
        <v/>
      </c>
      <c r="E500" s="77" t="str">
        <f>IF(A500="","",'Location Master'!B501)</f>
        <v/>
      </c>
      <c r="F500" s="77" t="str">
        <f>IF(A500="","",'Location Master'!C501)</f>
        <v/>
      </c>
      <c r="G500" s="77" t="str">
        <f>IF(A500="","",'Location Master'!D501)</f>
        <v/>
      </c>
      <c r="H500" s="77"/>
    </row>
    <row r="501" ht="15.75" customHeight="1">
      <c r="A501" s="83" t="str">
        <f>IF('Location Master'!E502="","",'Location Master'!E502)</f>
        <v/>
      </c>
      <c r="B501" s="85" t="str">
        <f>IF(A501="","",'Location Master'!H502)</f>
        <v/>
      </c>
      <c r="C501" s="87" t="str">
        <f>IF(A501="","",'Location Master'!I502)</f>
        <v/>
      </c>
      <c r="D501" s="87" t="str">
        <f>IF(A501="","",'Location Master'!A502)</f>
        <v/>
      </c>
      <c r="E501" s="87" t="str">
        <f>IF(A501="","",'Location Master'!B502)</f>
        <v/>
      </c>
      <c r="F501" s="87" t="str">
        <f>IF(A501="","",'Location Master'!C502)</f>
        <v/>
      </c>
      <c r="G501" s="87" t="str">
        <f>IF(A501="","",'Location Master'!D502)</f>
        <v/>
      </c>
      <c r="H501" s="87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01"/>
  <customSheetViews>
    <customSheetView guid="{50D98741-8183-4CDE-A936-7E958D8A1B6D}" filter="1" showAutoFilter="1">
      <autoFilter ref="$A$1:$H$501"/>
    </customSheetView>
  </customSheetViews>
  <dataValidations>
    <dataValidation type="list" allowBlank="1" sqref="H2:H501">
      <formula1>"READY,PENDING,PRINTED"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105.0"/>
    <col customWidth="1" min="3" max="26" width="8.71"/>
  </cols>
  <sheetData>
    <row r="1" ht="25.5" customHeight="1">
      <c r="A1" s="157" t="s">
        <v>285</v>
      </c>
      <c r="B1" s="158" t="s">
        <v>286</v>
      </c>
    </row>
    <row r="2">
      <c r="A2" s="159" t="s">
        <v>287</v>
      </c>
      <c r="B2" s="160" t="s">
        <v>288</v>
      </c>
    </row>
    <row r="3">
      <c r="A3" s="159" t="s">
        <v>289</v>
      </c>
      <c r="B3" s="160" t="s">
        <v>290</v>
      </c>
    </row>
    <row r="4">
      <c r="A4" s="159" t="s">
        <v>172</v>
      </c>
      <c r="B4" s="160" t="s">
        <v>291</v>
      </c>
    </row>
    <row r="5">
      <c r="A5" s="159" t="s">
        <v>292</v>
      </c>
      <c r="B5" s="160" t="s">
        <v>293</v>
      </c>
    </row>
    <row r="6">
      <c r="A6" s="159" t="s">
        <v>294</v>
      </c>
      <c r="B6" s="160" t="s">
        <v>295</v>
      </c>
    </row>
    <row r="7">
      <c r="A7" s="159" t="s">
        <v>296</v>
      </c>
      <c r="B7" s="160" t="s">
        <v>297</v>
      </c>
    </row>
    <row r="8">
      <c r="A8" s="159" t="s">
        <v>298</v>
      </c>
      <c r="B8" s="160" t="s">
        <v>299</v>
      </c>
    </row>
    <row r="9">
      <c r="A9" s="159" t="s">
        <v>300</v>
      </c>
      <c r="B9" s="160" t="s">
        <v>301</v>
      </c>
    </row>
    <row r="10">
      <c r="A10" s="159" t="s">
        <v>302</v>
      </c>
      <c r="B10" s="160" t="s">
        <v>303</v>
      </c>
    </row>
    <row r="11">
      <c r="A11" s="159" t="s">
        <v>304</v>
      </c>
      <c r="B11" s="160" t="s">
        <v>305</v>
      </c>
    </row>
    <row r="12">
      <c r="A12" s="159" t="s">
        <v>306</v>
      </c>
      <c r="B12" s="160" t="s">
        <v>307</v>
      </c>
    </row>
    <row r="13">
      <c r="A13" s="159" t="s">
        <v>308</v>
      </c>
      <c r="B13" s="160" t="s">
        <v>309</v>
      </c>
    </row>
    <row r="14">
      <c r="A14" s="159" t="s">
        <v>310</v>
      </c>
      <c r="B14" s="160" t="s">
        <v>311</v>
      </c>
    </row>
    <row r="15">
      <c r="A15" s="161" t="s">
        <v>312</v>
      </c>
      <c r="B15" s="162" t="s">
        <v>313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14"/>
    <col customWidth="1" min="2" max="2" width="71.86"/>
    <col customWidth="1" min="3" max="3" width="28.0"/>
    <col customWidth="1" min="4" max="4" width="59.29"/>
    <col customWidth="1" min="5" max="26" width="8.71"/>
  </cols>
  <sheetData>
    <row r="1" ht="25.5" customHeight="1">
      <c r="A1" s="163" t="s">
        <v>314</v>
      </c>
      <c r="B1" s="163" t="s">
        <v>315</v>
      </c>
      <c r="C1" s="163" t="s">
        <v>316</v>
      </c>
      <c r="D1" s="163" t="s">
        <v>317</v>
      </c>
    </row>
    <row r="2">
      <c r="A2" s="164" t="s">
        <v>318</v>
      </c>
      <c r="B2" s="164" t="s">
        <v>319</v>
      </c>
      <c r="C2" s="164" t="s">
        <v>320</v>
      </c>
      <c r="D2" s="164" t="s">
        <v>321</v>
      </c>
    </row>
    <row r="3">
      <c r="A3" s="164" t="s">
        <v>322</v>
      </c>
      <c r="B3" s="164" t="s">
        <v>323</v>
      </c>
      <c r="C3" s="164" t="s">
        <v>324</v>
      </c>
      <c r="D3" s="164" t="s">
        <v>325</v>
      </c>
    </row>
    <row r="4">
      <c r="A4" s="164" t="s">
        <v>172</v>
      </c>
      <c r="B4" s="164" t="s">
        <v>326</v>
      </c>
      <c r="C4" s="164" t="s">
        <v>327</v>
      </c>
      <c r="D4" s="164" t="s">
        <v>328</v>
      </c>
    </row>
    <row r="5">
      <c r="A5" s="164" t="s">
        <v>329</v>
      </c>
      <c r="B5" s="164" t="s">
        <v>330</v>
      </c>
      <c r="C5" s="164" t="s">
        <v>324</v>
      </c>
      <c r="D5" s="164" t="s">
        <v>331</v>
      </c>
    </row>
    <row r="6">
      <c r="A6" s="164" t="s">
        <v>332</v>
      </c>
      <c r="B6" s="164" t="s">
        <v>333</v>
      </c>
      <c r="C6" s="164" t="s">
        <v>334</v>
      </c>
      <c r="D6" s="164" t="s">
        <v>335</v>
      </c>
    </row>
    <row r="7">
      <c r="A7" s="164" t="s">
        <v>336</v>
      </c>
      <c r="B7" s="164" t="s">
        <v>337</v>
      </c>
      <c r="C7" s="164" t="s">
        <v>338</v>
      </c>
      <c r="D7" s="164" t="s">
        <v>339</v>
      </c>
    </row>
    <row r="8">
      <c r="A8" s="164" t="s">
        <v>340</v>
      </c>
      <c r="B8" s="164" t="s">
        <v>341</v>
      </c>
      <c r="C8" s="164" t="s">
        <v>324</v>
      </c>
      <c r="D8" s="164" t="s">
        <v>342</v>
      </c>
    </row>
    <row r="9">
      <c r="A9" s="164" t="s">
        <v>343</v>
      </c>
      <c r="B9" s="164" t="s">
        <v>344</v>
      </c>
      <c r="C9" s="164" t="s">
        <v>320</v>
      </c>
      <c r="D9" s="164" t="s">
        <v>345</v>
      </c>
    </row>
    <row r="10">
      <c r="A10" s="164" t="s">
        <v>346</v>
      </c>
      <c r="B10" s="164" t="s">
        <v>347</v>
      </c>
      <c r="C10" s="164" t="s">
        <v>348</v>
      </c>
      <c r="D10" s="164" t="s">
        <v>349</v>
      </c>
    </row>
    <row r="11">
      <c r="A11" s="164" t="s">
        <v>350</v>
      </c>
      <c r="B11" s="164" t="s">
        <v>351</v>
      </c>
      <c r="C11" s="164" t="s">
        <v>352</v>
      </c>
      <c r="D11" s="164" t="s">
        <v>353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39.57"/>
    <col customWidth="1" min="3" max="3" width="44.57"/>
    <col customWidth="1" min="4" max="4" width="19.0"/>
    <col customWidth="1" min="5" max="26" width="8.71"/>
  </cols>
  <sheetData>
    <row r="1" ht="25.5" customHeight="1">
      <c r="A1" s="157" t="s">
        <v>354</v>
      </c>
      <c r="B1" s="165" t="s">
        <v>355</v>
      </c>
      <c r="C1" s="165" t="s">
        <v>356</v>
      </c>
      <c r="D1" s="158" t="s">
        <v>357</v>
      </c>
    </row>
    <row r="2">
      <c r="A2" s="159" t="s">
        <v>0</v>
      </c>
      <c r="B2" s="166" t="s">
        <v>358</v>
      </c>
      <c r="C2" s="166" t="s">
        <v>359</v>
      </c>
      <c r="D2" s="160" t="s">
        <v>360</v>
      </c>
    </row>
    <row r="3">
      <c r="A3" s="159" t="s">
        <v>5</v>
      </c>
      <c r="B3" s="166" t="s">
        <v>361</v>
      </c>
      <c r="C3" s="166" t="s">
        <v>362</v>
      </c>
      <c r="D3" s="160" t="s">
        <v>360</v>
      </c>
    </row>
    <row r="4">
      <c r="A4" s="159" t="s">
        <v>6</v>
      </c>
      <c r="B4" s="166" t="s">
        <v>363</v>
      </c>
      <c r="C4" s="166" t="s">
        <v>364</v>
      </c>
      <c r="D4" s="160" t="s">
        <v>360</v>
      </c>
    </row>
    <row r="5">
      <c r="A5" s="159" t="s">
        <v>7</v>
      </c>
      <c r="B5" s="166" t="s">
        <v>365</v>
      </c>
      <c r="C5" s="166" t="s">
        <v>366</v>
      </c>
      <c r="D5" s="160" t="s">
        <v>367</v>
      </c>
    </row>
    <row r="6">
      <c r="A6" s="159" t="s">
        <v>8</v>
      </c>
      <c r="B6" s="166" t="s">
        <v>368</v>
      </c>
      <c r="C6" s="166" t="s">
        <v>369</v>
      </c>
      <c r="D6" s="160" t="s">
        <v>340</v>
      </c>
    </row>
    <row r="7">
      <c r="A7" s="159" t="s">
        <v>1</v>
      </c>
      <c r="B7" s="166" t="s">
        <v>370</v>
      </c>
      <c r="C7" s="166" t="s">
        <v>371</v>
      </c>
      <c r="D7" s="160" t="s">
        <v>372</v>
      </c>
    </row>
    <row r="8">
      <c r="A8" s="159" t="s">
        <v>9</v>
      </c>
      <c r="B8" s="166" t="s">
        <v>373</v>
      </c>
      <c r="C8" s="166" t="s">
        <v>374</v>
      </c>
      <c r="D8" s="160" t="s">
        <v>375</v>
      </c>
    </row>
    <row r="9">
      <c r="A9" s="159" t="s">
        <v>13</v>
      </c>
      <c r="B9" s="166" t="s">
        <v>376</v>
      </c>
      <c r="C9" s="166" t="s">
        <v>377</v>
      </c>
      <c r="D9" s="160" t="s">
        <v>378</v>
      </c>
    </row>
    <row r="10">
      <c r="A10" s="159" t="s">
        <v>14</v>
      </c>
      <c r="B10" s="166" t="s">
        <v>379</v>
      </c>
      <c r="C10" s="166" t="s">
        <v>380</v>
      </c>
      <c r="D10" s="160" t="s">
        <v>381</v>
      </c>
    </row>
    <row r="11">
      <c r="A11" s="161" t="s">
        <v>10</v>
      </c>
      <c r="B11" s="167" t="s">
        <v>382</v>
      </c>
      <c r="C11" s="167" t="s">
        <v>383</v>
      </c>
      <c r="D11" s="162" t="s">
        <v>375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29"/>
    <col customWidth="1" min="2" max="2" width="84.86"/>
    <col customWidth="1" min="3" max="3" width="53.0"/>
    <col customWidth="1" min="4" max="4" width="64.86"/>
    <col customWidth="1" min="5" max="26" width="8.71"/>
  </cols>
  <sheetData>
    <row r="1" ht="25.5" customHeight="1">
      <c r="A1" s="168" t="s">
        <v>384</v>
      </c>
      <c r="B1" s="168" t="s">
        <v>385</v>
      </c>
      <c r="C1" s="168" t="s">
        <v>386</v>
      </c>
      <c r="D1" s="168" t="s">
        <v>387</v>
      </c>
    </row>
    <row r="2">
      <c r="A2" s="169" t="s">
        <v>388</v>
      </c>
      <c r="B2" s="169" t="s">
        <v>389</v>
      </c>
      <c r="C2" s="169" t="s">
        <v>390</v>
      </c>
      <c r="D2" s="169" t="s">
        <v>391</v>
      </c>
    </row>
    <row r="3">
      <c r="A3" s="169" t="s">
        <v>392</v>
      </c>
      <c r="B3" s="169" t="s">
        <v>393</v>
      </c>
      <c r="C3" s="169" t="s">
        <v>394</v>
      </c>
      <c r="D3" s="169" t="s">
        <v>395</v>
      </c>
    </row>
    <row r="4">
      <c r="A4" s="169" t="s">
        <v>396</v>
      </c>
      <c r="B4" s="169" t="s">
        <v>397</v>
      </c>
      <c r="C4" s="169" t="s">
        <v>398</v>
      </c>
      <c r="D4" s="169" t="s">
        <v>399</v>
      </c>
    </row>
    <row r="5">
      <c r="A5" s="169" t="s">
        <v>400</v>
      </c>
      <c r="B5" s="169" t="s">
        <v>401</v>
      </c>
      <c r="C5" s="169" t="s">
        <v>402</v>
      </c>
      <c r="D5" s="169" t="s">
        <v>403</v>
      </c>
    </row>
    <row r="6">
      <c r="A6" s="169" t="s">
        <v>404</v>
      </c>
      <c r="B6" s="169" t="s">
        <v>405</v>
      </c>
      <c r="C6" s="169" t="s">
        <v>406</v>
      </c>
      <c r="D6" s="169" t="s">
        <v>407</v>
      </c>
    </row>
    <row r="7">
      <c r="A7" s="169" t="s">
        <v>408</v>
      </c>
      <c r="B7" s="169" t="s">
        <v>409</v>
      </c>
      <c r="C7" s="169" t="s">
        <v>410</v>
      </c>
      <c r="D7" s="169" t="s">
        <v>411</v>
      </c>
    </row>
    <row r="8">
      <c r="A8" s="169" t="s">
        <v>412</v>
      </c>
      <c r="B8" s="169" t="s">
        <v>413</v>
      </c>
      <c r="C8" s="169" t="s">
        <v>414</v>
      </c>
      <c r="D8" s="169" t="s">
        <v>415</v>
      </c>
    </row>
    <row r="9">
      <c r="A9" s="169" t="s">
        <v>416</v>
      </c>
      <c r="B9" s="169" t="s">
        <v>417</v>
      </c>
      <c r="C9" s="169" t="s">
        <v>418</v>
      </c>
      <c r="D9" s="169" t="s">
        <v>419</v>
      </c>
    </row>
    <row r="10">
      <c r="A10" s="169" t="s">
        <v>420</v>
      </c>
      <c r="B10" s="169" t="s">
        <v>421</v>
      </c>
      <c r="C10" s="169" t="s">
        <v>422</v>
      </c>
      <c r="D10" s="169" t="s">
        <v>423</v>
      </c>
    </row>
    <row r="11">
      <c r="A11" s="169" t="s">
        <v>424</v>
      </c>
      <c r="B11" s="169" t="s">
        <v>425</v>
      </c>
      <c r="C11" s="169" t="s">
        <v>426</v>
      </c>
      <c r="D11" s="169" t="s">
        <v>427</v>
      </c>
    </row>
    <row r="12">
      <c r="A12" s="169" t="s">
        <v>292</v>
      </c>
      <c r="B12" s="169" t="s">
        <v>428</v>
      </c>
      <c r="C12" s="169" t="s">
        <v>429</v>
      </c>
      <c r="D12" s="169" t="s">
        <v>430</v>
      </c>
    </row>
    <row r="13">
      <c r="A13" s="169" t="s">
        <v>431</v>
      </c>
      <c r="B13" s="169" t="s">
        <v>432</v>
      </c>
      <c r="C13" s="169" t="s">
        <v>433</v>
      </c>
      <c r="D13" s="169" t="s">
        <v>434</v>
      </c>
    </row>
    <row r="14">
      <c r="A14" s="169" t="s">
        <v>435</v>
      </c>
      <c r="B14" s="169" t="s">
        <v>436</v>
      </c>
      <c r="C14" s="169" t="s">
        <v>437</v>
      </c>
      <c r="D14" s="169" t="s">
        <v>438</v>
      </c>
    </row>
    <row r="15">
      <c r="A15" s="169" t="s">
        <v>439</v>
      </c>
      <c r="B15" s="169" t="s">
        <v>440</v>
      </c>
      <c r="C15" s="169" t="s">
        <v>441</v>
      </c>
      <c r="D15" s="169" t="s">
        <v>442</v>
      </c>
    </row>
    <row r="16">
      <c r="A16" s="169" t="s">
        <v>298</v>
      </c>
      <c r="B16" s="169" t="s">
        <v>443</v>
      </c>
      <c r="C16" s="169" t="s">
        <v>444</v>
      </c>
      <c r="D16" s="169" t="s">
        <v>445</v>
      </c>
    </row>
    <row r="17">
      <c r="A17" s="169" t="s">
        <v>300</v>
      </c>
      <c r="B17" s="169" t="s">
        <v>446</v>
      </c>
      <c r="C17" s="169" t="s">
        <v>447</v>
      </c>
      <c r="D17" s="169" t="s">
        <v>448</v>
      </c>
    </row>
    <row r="18">
      <c r="A18" s="169" t="s">
        <v>302</v>
      </c>
      <c r="B18" s="169" t="s">
        <v>449</v>
      </c>
      <c r="C18" s="169" t="s">
        <v>450</v>
      </c>
      <c r="D18" s="169" t="s">
        <v>451</v>
      </c>
    </row>
    <row r="19">
      <c r="A19" s="169" t="s">
        <v>452</v>
      </c>
      <c r="B19" s="169" t="s">
        <v>453</v>
      </c>
      <c r="C19" s="169" t="s">
        <v>454</v>
      </c>
      <c r="D19" s="169" t="s">
        <v>455</v>
      </c>
    </row>
    <row r="20">
      <c r="A20" s="169" t="s">
        <v>456</v>
      </c>
      <c r="B20" s="169" t="s">
        <v>457</v>
      </c>
      <c r="C20" s="169" t="s">
        <v>458</v>
      </c>
      <c r="D20" s="169" t="s">
        <v>459</v>
      </c>
    </row>
    <row r="21" ht="15.75" customHeight="1">
      <c r="A21" s="169" t="s">
        <v>460</v>
      </c>
      <c r="B21" s="169" t="s">
        <v>461</v>
      </c>
      <c r="C21" s="169" t="s">
        <v>462</v>
      </c>
      <c r="D21" s="169" t="s">
        <v>463</v>
      </c>
    </row>
    <row r="22" ht="15.75" customHeight="1">
      <c r="A22" s="169" t="s">
        <v>464</v>
      </c>
      <c r="B22" s="169" t="s">
        <v>465</v>
      </c>
      <c r="C22" s="169" t="s">
        <v>466</v>
      </c>
      <c r="D22" s="169" t="s">
        <v>467</v>
      </c>
    </row>
    <row r="23" ht="15.75" customHeight="1">
      <c r="A23" s="169" t="s">
        <v>468</v>
      </c>
      <c r="B23" s="169" t="s">
        <v>469</v>
      </c>
      <c r="C23" s="169" t="s">
        <v>470</v>
      </c>
      <c r="D23" s="169" t="s">
        <v>471</v>
      </c>
    </row>
    <row r="24" ht="15.75" customHeight="1">
      <c r="A24" s="169" t="s">
        <v>472</v>
      </c>
      <c r="B24" s="169" t="s">
        <v>473</v>
      </c>
      <c r="C24" s="169" t="s">
        <v>474</v>
      </c>
      <c r="D24" s="169" t="s">
        <v>475</v>
      </c>
    </row>
    <row r="25" ht="15.75" customHeight="1">
      <c r="A25" s="169" t="s">
        <v>476</v>
      </c>
      <c r="B25" s="169" t="s">
        <v>477</v>
      </c>
      <c r="C25" s="169" t="s">
        <v>478</v>
      </c>
      <c r="D25" s="169" t="s">
        <v>479</v>
      </c>
    </row>
    <row r="26" ht="15.75" customHeight="1">
      <c r="A26" s="169" t="s">
        <v>480</v>
      </c>
      <c r="B26" s="169" t="s">
        <v>481</v>
      </c>
      <c r="C26" s="169" t="s">
        <v>482</v>
      </c>
      <c r="D26" s="169" t="s">
        <v>483</v>
      </c>
    </row>
    <row r="27" ht="15.75" customHeight="1">
      <c r="A27" s="169" t="s">
        <v>340</v>
      </c>
      <c r="B27" s="169" t="s">
        <v>484</v>
      </c>
      <c r="C27" s="169" t="s">
        <v>485</v>
      </c>
      <c r="D27" s="169" t="s">
        <v>486</v>
      </c>
    </row>
    <row r="28" ht="15.75" customHeight="1">
      <c r="A28" s="169" t="s">
        <v>487</v>
      </c>
      <c r="B28" s="169" t="s">
        <v>488</v>
      </c>
      <c r="C28" s="169" t="s">
        <v>489</v>
      </c>
      <c r="D28" s="169" t="s">
        <v>490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5F3CDE4-0676-4558-8F17-D2E9DD5D5FF3}" filter="1" showAutoFilter="1">
      <autoFilter ref="$A$1:$D$28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